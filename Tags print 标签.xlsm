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7920" yWindow="1610" windowWidth="14810" windowHeight="8090" tabRatio="807" activeTab="2"/>
  </bookViews>
  <sheets>
    <sheet name="new info" sheetId="2" r:id="rId1"/>
    <sheet name="form" sheetId="13" r:id="rId2"/>
    <sheet name="标签details" sheetId="15" r:id="rId3"/>
    <sheet name="需打标签" sheetId="16" r:id="rId4"/>
    <sheet name="挂钩标签" sheetId="17" r:id="rId5"/>
    <sheet name="样布标签" sheetId="25" r:id="rId6"/>
    <sheet name="船样标签" sheetId="27" r:id="rId7"/>
    <sheet name="报价标签" sheetId="28" r:id="rId8"/>
    <sheet name="意大利库存标签" sheetId="26" r:id="rId9"/>
    <sheet name="如需更改标签内容，复制数值到此表单A列更改" sheetId="18" r:id="rId10"/>
    <sheet name="texworld" sheetId="20" state="hidden" r:id="rId11"/>
    <sheet name="意大利库存款" sheetId="24" state="hidden" r:id="rId12"/>
    <sheet name="固定信息" sheetId="29" state="hidden" r:id="rId13"/>
  </sheets>
  <externalReferences>
    <externalReference r:id="rId14"/>
  </externalReferences>
  <definedNames>
    <definedName name="_xlnm._FilterDatabase" localSheetId="1" hidden="1">form!$A$1:$B$1152</definedName>
    <definedName name="_xlnm._FilterDatabase" localSheetId="0" hidden="1">'new info'!$A$1:$O$1147</definedName>
    <definedName name="_xlnm._FilterDatabase" localSheetId="10" hidden="1">texworld!$A$1:$D$192</definedName>
    <definedName name="_xlnm._FilterDatabase" localSheetId="7" hidden="1">报价标签!$A$1:$A$250</definedName>
    <definedName name="_xlnm._FilterDatabase" localSheetId="2" hidden="1">标签details!$A$1:$B$7188</definedName>
    <definedName name="_xlnm._FilterDatabase" localSheetId="6" hidden="1">船样标签!$A$2:$A$21</definedName>
    <definedName name="_xlnm._FilterDatabase" localSheetId="4" hidden="1">挂钩标签!$A$2:$I$250</definedName>
    <definedName name="_xlnm._FilterDatabase" localSheetId="9" hidden="1">如需更改标签内容,[1]复制数值到此表单A列更改!$A$1:$A$762</definedName>
    <definedName name="_xlnm._FilterDatabase" localSheetId="3" hidden="1">需打标签!$A$1:$I$361</definedName>
    <definedName name="_xlnm._FilterDatabase" localSheetId="5" hidden="1">样布标签!$A$2:$A$13</definedName>
  </definedNames>
  <calcPr calcId="145621"/>
</workbook>
</file>

<file path=xl/calcChain.xml><?xml version="1.0" encoding="utf-8"?>
<calcChain xmlns="http://schemas.openxmlformats.org/spreadsheetml/2006/main">
  <c r="A7" i="16" l="1"/>
  <c r="D7" i="16" s="1"/>
  <c r="A6" i="16"/>
  <c r="A5" i="16"/>
  <c r="E5" i="16" s="1"/>
  <c r="A4" i="16"/>
  <c r="A3" i="16"/>
  <c r="A2" i="16"/>
  <c r="A16" i="16"/>
  <c r="A17" i="16"/>
  <c r="A18" i="16"/>
  <c r="A19" i="16"/>
  <c r="A20" i="16"/>
  <c r="A21" i="16"/>
  <c r="A22" i="16"/>
  <c r="A23" i="16"/>
  <c r="A24" i="16"/>
  <c r="A28" i="16"/>
  <c r="A28" i="17" s="1"/>
  <c r="A27" i="28" s="1"/>
  <c r="A34" i="16"/>
  <c r="A34" i="17"/>
  <c r="A33" i="28" s="1"/>
  <c r="D1" i="18"/>
  <c r="H1" i="18" s="1"/>
  <c r="E3" i="16"/>
  <c r="E4" i="16"/>
  <c r="A8" i="16"/>
  <c r="B7" i="2"/>
  <c r="A6" i="13" s="1"/>
  <c r="C6" i="16"/>
  <c r="A9" i="16"/>
  <c r="E9" i="16" s="1"/>
  <c r="A10" i="16"/>
  <c r="I10" i="16" s="1"/>
  <c r="G10" i="29" s="1"/>
  <c r="A11" i="16"/>
  <c r="C11" i="16"/>
  <c r="A12" i="16"/>
  <c r="E12" i="16"/>
  <c r="A13" i="16"/>
  <c r="I13" i="16"/>
  <c r="A14" i="16"/>
  <c r="A14" i="17"/>
  <c r="A13" i="28" s="1"/>
  <c r="A250" i="28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N1" i="29"/>
  <c r="B3" i="2"/>
  <c r="A2" i="13" s="1"/>
  <c r="B4" i="2"/>
  <c r="A3" i="13" s="1"/>
  <c r="B5" i="2"/>
  <c r="A4" i="13" s="1"/>
  <c r="B6" i="2"/>
  <c r="A5" i="13" s="1"/>
  <c r="B8" i="2"/>
  <c r="A7" i="13" s="1"/>
  <c r="B9" i="2"/>
  <c r="A8" i="13" s="1"/>
  <c r="B10" i="2"/>
  <c r="A9" i="13" s="1"/>
  <c r="B11" i="2"/>
  <c r="A10" i="13" s="1"/>
  <c r="B12" i="2"/>
  <c r="A11" i="13" s="1"/>
  <c r="B13" i="2"/>
  <c r="A12" i="13" s="1"/>
  <c r="B14" i="2"/>
  <c r="A13" i="13" s="1"/>
  <c r="B15" i="2"/>
  <c r="A14" i="13" s="1"/>
  <c r="B16" i="2"/>
  <c r="A15" i="13" s="1"/>
  <c r="B17" i="2"/>
  <c r="A16" i="13" s="1"/>
  <c r="B18" i="2"/>
  <c r="A17" i="13" s="1"/>
  <c r="B19" i="2"/>
  <c r="A18" i="13" s="1"/>
  <c r="B20" i="2"/>
  <c r="A19" i="13" s="1"/>
  <c r="B21" i="2"/>
  <c r="A20" i="13" s="1"/>
  <c r="B22" i="2"/>
  <c r="A21" i="13" s="1"/>
  <c r="B23" i="2"/>
  <c r="A22" i="13" s="1"/>
  <c r="B24" i="2"/>
  <c r="A23" i="13" s="1"/>
  <c r="B25" i="2"/>
  <c r="A24" i="13" s="1"/>
  <c r="B26" i="2"/>
  <c r="A25" i="13" s="1"/>
  <c r="B27" i="2"/>
  <c r="A26" i="13" s="1"/>
  <c r="B28" i="2"/>
  <c r="A27" i="13" s="1"/>
  <c r="B29" i="2"/>
  <c r="A28" i="13" s="1"/>
  <c r="B30" i="2"/>
  <c r="A29" i="13" s="1"/>
  <c r="B31" i="2"/>
  <c r="A30" i="13" s="1"/>
  <c r="B32" i="2"/>
  <c r="A31" i="13" s="1"/>
  <c r="B33" i="2"/>
  <c r="A32" i="13" s="1"/>
  <c r="B34" i="2"/>
  <c r="A33" i="13" s="1"/>
  <c r="B35" i="2"/>
  <c r="A34" i="13" s="1"/>
  <c r="B36" i="2"/>
  <c r="A35" i="13" s="1"/>
  <c r="B37" i="2"/>
  <c r="A36" i="13" s="1"/>
  <c r="B38" i="2"/>
  <c r="A37" i="13" s="1"/>
  <c r="B39" i="2"/>
  <c r="A38" i="13" s="1"/>
  <c r="B40" i="2"/>
  <c r="A39" i="13" s="1"/>
  <c r="B41" i="2"/>
  <c r="A40" i="13" s="1"/>
  <c r="B42" i="2"/>
  <c r="A41" i="13" s="1"/>
  <c r="B43" i="2"/>
  <c r="A42" i="13" s="1"/>
  <c r="B44" i="2"/>
  <c r="A43" i="13" s="1"/>
  <c r="B45" i="2"/>
  <c r="A44" i="13" s="1"/>
  <c r="B46" i="2"/>
  <c r="A45" i="13" s="1"/>
  <c r="B47" i="2"/>
  <c r="A46" i="13" s="1"/>
  <c r="B48" i="2"/>
  <c r="A47" i="13" s="1"/>
  <c r="B49" i="2"/>
  <c r="A48" i="13" s="1"/>
  <c r="B50" i="2"/>
  <c r="A49" i="13" s="1"/>
  <c r="B51" i="2"/>
  <c r="A50" i="13" s="1"/>
  <c r="B52" i="2"/>
  <c r="A51" i="13" s="1"/>
  <c r="B53" i="2"/>
  <c r="A52" i="13" s="1"/>
  <c r="B54" i="2"/>
  <c r="A53" i="13" s="1"/>
  <c r="B55" i="2"/>
  <c r="A54" i="13" s="1"/>
  <c r="B56" i="2"/>
  <c r="A55" i="13" s="1"/>
  <c r="B57" i="2"/>
  <c r="A56" i="13" s="1"/>
  <c r="B58" i="2"/>
  <c r="A57" i="13" s="1"/>
  <c r="B59" i="2"/>
  <c r="A58" i="13" s="1"/>
  <c r="B60" i="2"/>
  <c r="A59" i="13" s="1"/>
  <c r="B61" i="2"/>
  <c r="A60" i="13" s="1"/>
  <c r="B62" i="2"/>
  <c r="A61" i="13" s="1"/>
  <c r="B63" i="2"/>
  <c r="A62" i="13" s="1"/>
  <c r="B64" i="2"/>
  <c r="A63" i="13" s="1"/>
  <c r="B65" i="2"/>
  <c r="A64" i="13" s="1"/>
  <c r="B66" i="2"/>
  <c r="A65" i="13" s="1"/>
  <c r="B67" i="2"/>
  <c r="A66" i="13" s="1"/>
  <c r="B68" i="2"/>
  <c r="A67" i="13" s="1"/>
  <c r="B69" i="2"/>
  <c r="A68" i="13" s="1"/>
  <c r="B70" i="2"/>
  <c r="A69" i="13" s="1"/>
  <c r="B71" i="2"/>
  <c r="A70" i="13" s="1"/>
  <c r="B72" i="2"/>
  <c r="A71" i="13" s="1"/>
  <c r="B73" i="2"/>
  <c r="A72" i="13" s="1"/>
  <c r="B74" i="2"/>
  <c r="A73" i="13" s="1"/>
  <c r="B75" i="2"/>
  <c r="A74" i="13" s="1"/>
  <c r="B76" i="2"/>
  <c r="A75" i="13" s="1"/>
  <c r="B77" i="2"/>
  <c r="A76" i="13" s="1"/>
  <c r="B78" i="2"/>
  <c r="A77" i="13" s="1"/>
  <c r="B79" i="2"/>
  <c r="A78" i="13" s="1"/>
  <c r="B80" i="2"/>
  <c r="A79" i="13" s="1"/>
  <c r="B81" i="2"/>
  <c r="A80" i="13" s="1"/>
  <c r="B82" i="2"/>
  <c r="A81" i="13" s="1"/>
  <c r="B83" i="2"/>
  <c r="A82" i="13" s="1"/>
  <c r="B84" i="2"/>
  <c r="A83" i="13" s="1"/>
  <c r="B85" i="2"/>
  <c r="A84" i="13" s="1"/>
  <c r="B86" i="2"/>
  <c r="A85" i="13" s="1"/>
  <c r="B87" i="2"/>
  <c r="A86" i="13" s="1"/>
  <c r="B88" i="2"/>
  <c r="A87" i="13" s="1"/>
  <c r="B89" i="2"/>
  <c r="A88" i="13" s="1"/>
  <c r="B90" i="2"/>
  <c r="A89" i="13" s="1"/>
  <c r="B91" i="2"/>
  <c r="A90" i="13" s="1"/>
  <c r="B92" i="2"/>
  <c r="A91" i="13" s="1"/>
  <c r="B93" i="2"/>
  <c r="A92" i="13" s="1"/>
  <c r="B94" i="2"/>
  <c r="A93" i="13" s="1"/>
  <c r="B95" i="2"/>
  <c r="A94" i="13" s="1"/>
  <c r="B96" i="2"/>
  <c r="A95" i="13" s="1"/>
  <c r="B97" i="2"/>
  <c r="A96" i="13"/>
  <c r="B98" i="2"/>
  <c r="A97" i="13" s="1"/>
  <c r="B99" i="2"/>
  <c r="A98" i="13" s="1"/>
  <c r="B100" i="2"/>
  <c r="A99" i="13" s="1"/>
  <c r="B101" i="2"/>
  <c r="A100" i="13" s="1"/>
  <c r="B102" i="2"/>
  <c r="A101" i="13" s="1"/>
  <c r="B103" i="2"/>
  <c r="A102" i="13" s="1"/>
  <c r="B104" i="2"/>
  <c r="A103" i="13" s="1"/>
  <c r="B105" i="2"/>
  <c r="A104" i="13" s="1"/>
  <c r="B106" i="2"/>
  <c r="A105" i="13" s="1"/>
  <c r="B107" i="2"/>
  <c r="A106" i="13" s="1"/>
  <c r="B108" i="2"/>
  <c r="A107" i="13" s="1"/>
  <c r="B109" i="2"/>
  <c r="A108" i="13" s="1"/>
  <c r="B110" i="2"/>
  <c r="A109" i="13" s="1"/>
  <c r="B111" i="2"/>
  <c r="A110" i="13" s="1"/>
  <c r="B112" i="2"/>
  <c r="A111" i="13" s="1"/>
  <c r="B113" i="2"/>
  <c r="A112" i="13"/>
  <c r="B114" i="2"/>
  <c r="A113" i="13" s="1"/>
  <c r="B115" i="2"/>
  <c r="A114" i="13" s="1"/>
  <c r="B116" i="2"/>
  <c r="A115" i="13" s="1"/>
  <c r="B117" i="2"/>
  <c r="A116" i="13"/>
  <c r="B118" i="2"/>
  <c r="A117" i="13" s="1"/>
  <c r="B119" i="2"/>
  <c r="A118" i="13" s="1"/>
  <c r="B120" i="2"/>
  <c r="A119" i="13" s="1"/>
  <c r="B121" i="2"/>
  <c r="A120" i="13" s="1"/>
  <c r="B122" i="2"/>
  <c r="A121" i="13" s="1"/>
  <c r="B123" i="2"/>
  <c r="A122" i="13" s="1"/>
  <c r="B124" i="2"/>
  <c r="A123" i="13" s="1"/>
  <c r="B125" i="2"/>
  <c r="A124" i="13" s="1"/>
  <c r="B126" i="2"/>
  <c r="A125" i="13" s="1"/>
  <c r="B127" i="2"/>
  <c r="A126" i="13" s="1"/>
  <c r="B128" i="2"/>
  <c r="A127" i="13" s="1"/>
  <c r="B129" i="2"/>
  <c r="A128" i="13"/>
  <c r="B130" i="2"/>
  <c r="A129" i="13" s="1"/>
  <c r="B131" i="2"/>
  <c r="A130" i="13" s="1"/>
  <c r="B132" i="2"/>
  <c r="A131" i="13" s="1"/>
  <c r="B133" i="2"/>
  <c r="A132" i="13" s="1"/>
  <c r="B134" i="2"/>
  <c r="A133" i="13" s="1"/>
  <c r="B135" i="2"/>
  <c r="A134" i="13" s="1"/>
  <c r="B136" i="2"/>
  <c r="A135" i="13" s="1"/>
  <c r="B137" i="2"/>
  <c r="A136" i="13" s="1"/>
  <c r="B138" i="2"/>
  <c r="A137" i="13" s="1"/>
  <c r="B139" i="2"/>
  <c r="A138" i="13" s="1"/>
  <c r="B140" i="2"/>
  <c r="A139" i="13" s="1"/>
  <c r="B141" i="2"/>
  <c r="A140" i="13" s="1"/>
  <c r="B142" i="2"/>
  <c r="A141" i="13" s="1"/>
  <c r="B143" i="2"/>
  <c r="A142" i="13" s="1"/>
  <c r="B144" i="2"/>
  <c r="A143" i="13" s="1"/>
  <c r="B145" i="2"/>
  <c r="A144" i="13"/>
  <c r="B146" i="2"/>
  <c r="A145" i="13" s="1"/>
  <c r="B147" i="2"/>
  <c r="A146" i="13" s="1"/>
  <c r="B148" i="2"/>
  <c r="A147" i="13" s="1"/>
  <c r="B149" i="2"/>
  <c r="A148" i="13"/>
  <c r="B150" i="2"/>
  <c r="A149" i="13" s="1"/>
  <c r="B151" i="2"/>
  <c r="A150" i="13" s="1"/>
  <c r="B152" i="2"/>
  <c r="A151" i="13" s="1"/>
  <c r="B153" i="2"/>
  <c r="A152" i="13" s="1"/>
  <c r="B154" i="2"/>
  <c r="A153" i="13" s="1"/>
  <c r="B155" i="2"/>
  <c r="A154" i="13" s="1"/>
  <c r="B156" i="2"/>
  <c r="A155" i="13" s="1"/>
  <c r="B157" i="2"/>
  <c r="A156" i="13" s="1"/>
  <c r="B158" i="2"/>
  <c r="A157" i="13" s="1"/>
  <c r="B159" i="2"/>
  <c r="A158" i="13" s="1"/>
  <c r="B160" i="2"/>
  <c r="A159" i="13" s="1"/>
  <c r="B161" i="2"/>
  <c r="A160" i="13"/>
  <c r="B162" i="2"/>
  <c r="A161" i="13" s="1"/>
  <c r="B163" i="2"/>
  <c r="A162" i="13" s="1"/>
  <c r="B164" i="2"/>
  <c r="A163" i="13" s="1"/>
  <c r="B165" i="2"/>
  <c r="A164" i="13" s="1"/>
  <c r="B166" i="2"/>
  <c r="A165" i="13" s="1"/>
  <c r="B167" i="2"/>
  <c r="A166" i="13" s="1"/>
  <c r="B168" i="2"/>
  <c r="A167" i="13" s="1"/>
  <c r="B169" i="2"/>
  <c r="A168" i="13"/>
  <c r="B170" i="2"/>
  <c r="A169" i="13" s="1"/>
  <c r="B171" i="2"/>
  <c r="A170" i="13"/>
  <c r="B172" i="2"/>
  <c r="A171" i="13" s="1"/>
  <c r="B173" i="2"/>
  <c r="A172" i="13" s="1"/>
  <c r="B174" i="2"/>
  <c r="A173" i="13" s="1"/>
  <c r="B175" i="2"/>
  <c r="A174" i="13" s="1"/>
  <c r="B176" i="2"/>
  <c r="A175" i="13" s="1"/>
  <c r="B177" i="2"/>
  <c r="A176" i="13"/>
  <c r="B178" i="2"/>
  <c r="A177" i="13" s="1"/>
  <c r="B179" i="2"/>
  <c r="A178" i="13"/>
  <c r="B180" i="2"/>
  <c r="A179" i="13" s="1"/>
  <c r="B181" i="2"/>
  <c r="A180" i="13" s="1"/>
  <c r="B182" i="2"/>
  <c r="A181" i="13" s="1"/>
  <c r="B183" i="2"/>
  <c r="A182" i="13" s="1"/>
  <c r="B184" i="2"/>
  <c r="A183" i="13" s="1"/>
  <c r="B185" i="2"/>
  <c r="A184" i="13"/>
  <c r="B186" i="2"/>
  <c r="A185" i="13" s="1"/>
  <c r="B187" i="2"/>
  <c r="A186" i="13"/>
  <c r="B188" i="2"/>
  <c r="A187" i="13" s="1"/>
  <c r="B189" i="2"/>
  <c r="A188" i="13" s="1"/>
  <c r="B190" i="2"/>
  <c r="A189" i="13" s="1"/>
  <c r="B191" i="2"/>
  <c r="A190" i="13" s="1"/>
  <c r="B192" i="2"/>
  <c r="A191" i="13" s="1"/>
  <c r="B193" i="2"/>
  <c r="A192" i="13"/>
  <c r="B194" i="2"/>
  <c r="A193" i="13" s="1"/>
  <c r="B195" i="2"/>
  <c r="A194" i="13"/>
  <c r="B196" i="2"/>
  <c r="A195" i="13" s="1"/>
  <c r="B197" i="2"/>
  <c r="A196" i="13" s="1"/>
  <c r="B198" i="2"/>
  <c r="A197" i="13" s="1"/>
  <c r="B199" i="2"/>
  <c r="A198" i="13" s="1"/>
  <c r="B200" i="2"/>
  <c r="A199" i="13" s="1"/>
  <c r="B201" i="2"/>
  <c r="A200" i="13"/>
  <c r="B202" i="2"/>
  <c r="A201" i="13" s="1"/>
  <c r="B203" i="2"/>
  <c r="A202" i="13"/>
  <c r="B204" i="2"/>
  <c r="A203" i="13" s="1"/>
  <c r="B205" i="2"/>
  <c r="A204" i="13" s="1"/>
  <c r="B206" i="2"/>
  <c r="A205" i="13" s="1"/>
  <c r="B207" i="2"/>
  <c r="A206" i="13" s="1"/>
  <c r="B208" i="2"/>
  <c r="A207" i="13" s="1"/>
  <c r="B209" i="2"/>
  <c r="A208" i="13"/>
  <c r="B210" i="2"/>
  <c r="A209" i="13" s="1"/>
  <c r="B211" i="2"/>
  <c r="A210" i="13"/>
  <c r="B212" i="2"/>
  <c r="A211" i="13" s="1"/>
  <c r="B213" i="2"/>
  <c r="A212" i="13" s="1"/>
  <c r="B214" i="2"/>
  <c r="A213" i="13" s="1"/>
  <c r="B215" i="2"/>
  <c r="A214" i="13" s="1"/>
  <c r="B216" i="2"/>
  <c r="A215" i="13" s="1"/>
  <c r="B217" i="2"/>
  <c r="A216" i="13"/>
  <c r="B218" i="2"/>
  <c r="A217" i="13" s="1"/>
  <c r="B219" i="2"/>
  <c r="A218" i="13"/>
  <c r="B220" i="2"/>
  <c r="A219" i="13" s="1"/>
  <c r="B221" i="2"/>
  <c r="A220" i="13" s="1"/>
  <c r="B222" i="2"/>
  <c r="A221" i="13" s="1"/>
  <c r="B223" i="2"/>
  <c r="A222" i="13" s="1"/>
  <c r="B224" i="2"/>
  <c r="A223" i="13" s="1"/>
  <c r="B225" i="2"/>
  <c r="A224" i="13"/>
  <c r="B226" i="2"/>
  <c r="A225" i="13" s="1"/>
  <c r="B227" i="2"/>
  <c r="A226" i="13"/>
  <c r="B228" i="2"/>
  <c r="A227" i="13" s="1"/>
  <c r="B229" i="2"/>
  <c r="A228" i="13" s="1"/>
  <c r="B230" i="2"/>
  <c r="A229" i="13" s="1"/>
  <c r="B231" i="2"/>
  <c r="A230" i="13" s="1"/>
  <c r="B232" i="2"/>
  <c r="A231" i="13" s="1"/>
  <c r="B233" i="2"/>
  <c r="A232" i="13"/>
  <c r="B234" i="2"/>
  <c r="A233" i="13" s="1"/>
  <c r="B235" i="2"/>
  <c r="A234" i="13"/>
  <c r="B236" i="2"/>
  <c r="A235" i="13" s="1"/>
  <c r="B237" i="2"/>
  <c r="A236" i="13" s="1"/>
  <c r="B238" i="2"/>
  <c r="A237" i="13" s="1"/>
  <c r="B239" i="2"/>
  <c r="A238" i="13" s="1"/>
  <c r="B240" i="2"/>
  <c r="A239" i="13" s="1"/>
  <c r="B241" i="2"/>
  <c r="A240" i="13"/>
  <c r="B242" i="2"/>
  <c r="A241" i="13" s="1"/>
  <c r="B243" i="2"/>
  <c r="A242" i="13"/>
  <c r="B244" i="2"/>
  <c r="A243" i="13" s="1"/>
  <c r="B245" i="2"/>
  <c r="A244" i="13" s="1"/>
  <c r="B246" i="2"/>
  <c r="A245" i="13" s="1"/>
  <c r="B247" i="2"/>
  <c r="A246" i="13" s="1"/>
  <c r="B248" i="2"/>
  <c r="A247" i="13" s="1"/>
  <c r="B249" i="2"/>
  <c r="A248" i="13"/>
  <c r="B250" i="2"/>
  <c r="A249" i="13" s="1"/>
  <c r="B251" i="2"/>
  <c r="A250" i="13"/>
  <c r="B252" i="2"/>
  <c r="A251" i="13" s="1"/>
  <c r="B253" i="2"/>
  <c r="A252" i="13" s="1"/>
  <c r="B254" i="2"/>
  <c r="A253" i="13" s="1"/>
  <c r="B255" i="2"/>
  <c r="A254" i="13" s="1"/>
  <c r="B256" i="2"/>
  <c r="A255" i="13" s="1"/>
  <c r="B257" i="2"/>
  <c r="A256" i="13"/>
  <c r="B258" i="2"/>
  <c r="A257" i="13" s="1"/>
  <c r="B2" i="2"/>
  <c r="A1" i="13" s="1"/>
  <c r="A15" i="16"/>
  <c r="C15" i="16"/>
  <c r="E16" i="16"/>
  <c r="A17" i="17"/>
  <c r="A16" i="28" s="1"/>
  <c r="C18" i="16"/>
  <c r="C19" i="16"/>
  <c r="A20" i="17"/>
  <c r="A19" i="28" s="1"/>
  <c r="I21" i="16"/>
  <c r="I21" i="29" s="1"/>
  <c r="I22" i="16"/>
  <c r="H22" i="29" s="1"/>
  <c r="C23" i="16"/>
  <c r="E24" i="16"/>
  <c r="A25" i="16"/>
  <c r="A25" i="17"/>
  <c r="A24" i="28" s="1"/>
  <c r="A26" i="16"/>
  <c r="C26" i="16" s="1"/>
  <c r="A27" i="16"/>
  <c r="I27" i="16" s="1"/>
  <c r="G27" i="29" s="1"/>
  <c r="D28" i="16"/>
  <c r="A29" i="16"/>
  <c r="D29" i="16"/>
  <c r="A30" i="16"/>
  <c r="I30" i="16"/>
  <c r="G30" i="29" s="1"/>
  <c r="A31" i="16"/>
  <c r="E31" i="16"/>
  <c r="A32" i="16"/>
  <c r="I32" i="16"/>
  <c r="I32" i="29" s="1"/>
  <c r="A33" i="16"/>
  <c r="A33" i="17"/>
  <c r="A32" i="28" s="1"/>
  <c r="A35" i="16"/>
  <c r="C35" i="16" s="1"/>
  <c r="A36" i="16"/>
  <c r="I36" i="16" s="1"/>
  <c r="I36" i="29" s="1"/>
  <c r="A37" i="16"/>
  <c r="D37" i="16" s="1"/>
  <c r="A38" i="16"/>
  <c r="A39" i="16"/>
  <c r="I39" i="16" s="1"/>
  <c r="H39" i="29" s="1"/>
  <c r="A40" i="16"/>
  <c r="D40" i="16"/>
  <c r="A41" i="16"/>
  <c r="C41" i="16"/>
  <c r="A42" i="16"/>
  <c r="A42" i="17"/>
  <c r="A41" i="28" s="1"/>
  <c r="A43" i="16"/>
  <c r="D43" i="16" s="1"/>
  <c r="A44" i="16"/>
  <c r="E44" i="16" s="1"/>
  <c r="A45" i="16"/>
  <c r="E45" i="16" s="1"/>
  <c r="A46" i="16"/>
  <c r="E46" i="16" s="1"/>
  <c r="A47" i="16"/>
  <c r="I47" i="16" s="1"/>
  <c r="G47" i="29" s="1"/>
  <c r="A48" i="16"/>
  <c r="A48" i="17" s="1"/>
  <c r="A47" i="28" s="1"/>
  <c r="A49" i="16"/>
  <c r="E49" i="16"/>
  <c r="A50" i="16"/>
  <c r="C50" i="16"/>
  <c r="A51" i="16"/>
  <c r="I51" i="16"/>
  <c r="A52" i="16"/>
  <c r="E52" i="16" s="1"/>
  <c r="A53" i="16"/>
  <c r="E53" i="16" s="1"/>
  <c r="A54" i="16"/>
  <c r="A55" i="16"/>
  <c r="A55" i="17" s="1"/>
  <c r="A54" i="28" s="1"/>
  <c r="A56" i="16"/>
  <c r="E56" i="16"/>
  <c r="A57" i="16"/>
  <c r="I57" i="16"/>
  <c r="H57" i="29" s="1"/>
  <c r="A58" i="16"/>
  <c r="A58" i="17"/>
  <c r="A57" i="28" s="1"/>
  <c r="C58" i="16"/>
  <c r="A59" i="16"/>
  <c r="A59" i="17"/>
  <c r="A58" i="28" s="1"/>
  <c r="A60" i="16"/>
  <c r="A61" i="16"/>
  <c r="I61" i="16" s="1"/>
  <c r="G61" i="29" s="1"/>
  <c r="A62" i="16"/>
  <c r="I62" i="16" s="1"/>
  <c r="H62" i="29" s="1"/>
  <c r="A63" i="16"/>
  <c r="C63" i="16"/>
  <c r="A64" i="16"/>
  <c r="A64" i="17"/>
  <c r="A63" i="28" s="1"/>
  <c r="A65" i="16"/>
  <c r="A65" i="17" s="1"/>
  <c r="A64" i="28" s="1"/>
  <c r="A66" i="16"/>
  <c r="I66" i="16"/>
  <c r="I66" i="29" s="1"/>
  <c r="A67" i="16"/>
  <c r="A68" i="16"/>
  <c r="I68" i="16"/>
  <c r="G68" i="29" s="1"/>
  <c r="A69" i="16"/>
  <c r="C69" i="16" s="1"/>
  <c r="A70" i="16"/>
  <c r="A71" i="16"/>
  <c r="A71" i="17"/>
  <c r="A70" i="28" s="1"/>
  <c r="A72" i="16"/>
  <c r="I72" i="16" s="1"/>
  <c r="I72" i="29" s="1"/>
  <c r="A73" i="16"/>
  <c r="D73" i="16" s="1"/>
  <c r="A74" i="16"/>
  <c r="A75" i="16"/>
  <c r="E75" i="16"/>
  <c r="A76" i="16"/>
  <c r="A77" i="16"/>
  <c r="A77" i="17" s="1"/>
  <c r="A76" i="28" s="1"/>
  <c r="A78" i="16"/>
  <c r="A79" i="16"/>
  <c r="C79" i="16" s="1"/>
  <c r="A80" i="16"/>
  <c r="A81" i="16"/>
  <c r="D81" i="16"/>
  <c r="A82" i="16"/>
  <c r="A83" i="16"/>
  <c r="A84" i="16"/>
  <c r="A85" i="16"/>
  <c r="A86" i="16"/>
  <c r="A87" i="16"/>
  <c r="E87" i="16"/>
  <c r="A88" i="16"/>
  <c r="A89" i="16"/>
  <c r="D89" i="16" s="1"/>
  <c r="A90" i="16"/>
  <c r="A91" i="16"/>
  <c r="A91" i="17"/>
  <c r="A90" i="28" s="1"/>
  <c r="A92" i="16"/>
  <c r="A92" i="17" s="1"/>
  <c r="A91" i="28" s="1"/>
  <c r="A93" i="16"/>
  <c r="A93" i="17"/>
  <c r="A92" i="28" s="1"/>
  <c r="A94" i="16"/>
  <c r="I94" i="16" s="1"/>
  <c r="I94" i="29" s="1"/>
  <c r="A95" i="16"/>
  <c r="E95" i="16"/>
  <c r="A96" i="16"/>
  <c r="A97" i="16"/>
  <c r="A98" i="16"/>
  <c r="A99" i="16"/>
  <c r="C99" i="16" s="1"/>
  <c r="A100" i="16"/>
  <c r="A101" i="16"/>
  <c r="A102" i="16"/>
  <c r="A103" i="16"/>
  <c r="E103" i="16"/>
  <c r="A104" i="16"/>
  <c r="E104" i="16"/>
  <c r="A105" i="16"/>
  <c r="A106" i="16"/>
  <c r="A107" i="16"/>
  <c r="I107" i="16"/>
  <c r="G107" i="29" s="1"/>
  <c r="A108" i="16"/>
  <c r="E108" i="16" s="1"/>
  <c r="A109" i="16"/>
  <c r="A110" i="16"/>
  <c r="E110" i="16" s="1"/>
  <c r="A111" i="16"/>
  <c r="A111" i="17" s="1"/>
  <c r="A110" i="28" s="1"/>
  <c r="A112" i="16"/>
  <c r="A113" i="16"/>
  <c r="A114" i="16"/>
  <c r="D114" i="16" s="1"/>
  <c r="A115" i="16"/>
  <c r="D115" i="16" s="1"/>
  <c r="A116" i="16"/>
  <c r="A117" i="16"/>
  <c r="A118" i="16"/>
  <c r="I118" i="16" s="1"/>
  <c r="G118" i="29" s="1"/>
  <c r="A119" i="16"/>
  <c r="A120" i="16"/>
  <c r="E120" i="16" s="1"/>
  <c r="A121" i="16"/>
  <c r="I121" i="16"/>
  <c r="G121" i="29" s="1"/>
  <c r="A122" i="16"/>
  <c r="A123" i="16"/>
  <c r="A124" i="16"/>
  <c r="A125" i="16"/>
  <c r="A125" i="17"/>
  <c r="A124" i="28" s="1"/>
  <c r="A126" i="16"/>
  <c r="A126" i="17" s="1"/>
  <c r="A125" i="28" s="1"/>
  <c r="A127" i="16"/>
  <c r="A128" i="16"/>
  <c r="A129" i="16"/>
  <c r="A130" i="16"/>
  <c r="A131" i="16"/>
  <c r="A132" i="16"/>
  <c r="A133" i="16"/>
  <c r="C133" i="16" s="1"/>
  <c r="A134" i="16"/>
  <c r="A135" i="16"/>
  <c r="A136" i="16"/>
  <c r="E136" i="16" s="1"/>
  <c r="A137" i="16"/>
  <c r="A137" i="17" s="1"/>
  <c r="A136" i="28" s="1"/>
  <c r="A138" i="16"/>
  <c r="A139" i="16"/>
  <c r="A139" i="17" s="1"/>
  <c r="A138" i="28" s="1"/>
  <c r="A140" i="16"/>
  <c r="A141" i="16"/>
  <c r="I141" i="16" s="1"/>
  <c r="I141" i="29" s="1"/>
  <c r="A142" i="16"/>
  <c r="A143" i="16"/>
  <c r="A144" i="16"/>
  <c r="A145" i="16"/>
  <c r="C145" i="16" s="1"/>
  <c r="A146" i="16"/>
  <c r="C146" i="16" s="1"/>
  <c r="A147" i="16"/>
  <c r="A148" i="16"/>
  <c r="A148" i="17"/>
  <c r="A147" i="28" s="1"/>
  <c r="A149" i="16"/>
  <c r="C149" i="16" s="1"/>
  <c r="A150" i="16"/>
  <c r="C150" i="16" s="1"/>
  <c r="A151" i="16"/>
  <c r="A152" i="16"/>
  <c r="A153" i="16"/>
  <c r="E153" i="16" s="1"/>
  <c r="A154" i="16"/>
  <c r="A155" i="16"/>
  <c r="A156" i="16"/>
  <c r="A157" i="16"/>
  <c r="E157" i="16"/>
  <c r="A158" i="16"/>
  <c r="E158" i="16"/>
  <c r="A159" i="16"/>
  <c r="E159" i="16"/>
  <c r="A160" i="16"/>
  <c r="A161" i="16"/>
  <c r="E161" i="16" s="1"/>
  <c r="A162" i="16"/>
  <c r="E162" i="16" s="1"/>
  <c r="A163" i="16"/>
  <c r="D163" i="16" s="1"/>
  <c r="A164" i="16"/>
  <c r="C164" i="16" s="1"/>
  <c r="A165" i="16"/>
  <c r="D165" i="16" s="1"/>
  <c r="A166" i="16"/>
  <c r="A167" i="16"/>
  <c r="A168" i="16"/>
  <c r="A169" i="16"/>
  <c r="A170" i="16"/>
  <c r="A171" i="16"/>
  <c r="A171" i="17"/>
  <c r="A170" i="28" s="1"/>
  <c r="A172" i="16"/>
  <c r="A173" i="16"/>
  <c r="D173" i="16"/>
  <c r="A174" i="16"/>
  <c r="A175" i="16"/>
  <c r="C175" i="16" s="1"/>
  <c r="A176" i="16"/>
  <c r="E176" i="16" s="1"/>
  <c r="A177" i="16"/>
  <c r="E177" i="16" s="1"/>
  <c r="A178" i="16"/>
  <c r="A179" i="16"/>
  <c r="D179" i="16"/>
  <c r="A180" i="16"/>
  <c r="A180" i="17"/>
  <c r="A179" i="28" s="1"/>
  <c r="A181" i="16"/>
  <c r="I181" i="16" s="1"/>
  <c r="H181" i="29" s="1"/>
  <c r="A182" i="16"/>
  <c r="A183" i="16"/>
  <c r="E183" i="16" s="1"/>
  <c r="A184" i="16"/>
  <c r="E184" i="16" s="1"/>
  <c r="A185" i="16"/>
  <c r="C185" i="16" s="1"/>
  <c r="A186" i="16"/>
  <c r="A187" i="16"/>
  <c r="C187" i="16" s="1"/>
  <c r="A188" i="16"/>
  <c r="A189" i="16"/>
  <c r="D189" i="16"/>
  <c r="A190" i="16"/>
  <c r="A191" i="16"/>
  <c r="D191" i="16" s="1"/>
  <c r="A192" i="16"/>
  <c r="A193" i="16"/>
  <c r="I193" i="16"/>
  <c r="G193" i="29" s="1"/>
  <c r="A194" i="16"/>
  <c r="A195" i="16"/>
  <c r="A196" i="16"/>
  <c r="A197" i="16"/>
  <c r="A198" i="16"/>
  <c r="C198" i="16" s="1"/>
  <c r="A199" i="16"/>
  <c r="D199" i="16" s="1"/>
  <c r="A200" i="16"/>
  <c r="A201" i="16"/>
  <c r="C201" i="16"/>
  <c r="A202" i="16"/>
  <c r="A203" i="16"/>
  <c r="D203" i="16" s="1"/>
  <c r="A204" i="16"/>
  <c r="A205" i="16"/>
  <c r="C205" i="16"/>
  <c r="A206" i="16"/>
  <c r="E206" i="16"/>
  <c r="A207" i="16"/>
  <c r="C207" i="16"/>
  <c r="A208" i="16"/>
  <c r="A209" i="16"/>
  <c r="I209" i="16" s="1"/>
  <c r="A210" i="16"/>
  <c r="A211" i="16"/>
  <c r="A212" i="16"/>
  <c r="A213" i="16"/>
  <c r="A213" i="17" s="1"/>
  <c r="A212" i="28" s="1"/>
  <c r="A214" i="16"/>
  <c r="A215" i="16"/>
  <c r="D215" i="16" s="1"/>
  <c r="A216" i="16"/>
  <c r="A217" i="16"/>
  <c r="C217" i="16"/>
  <c r="A218" i="16"/>
  <c r="A219" i="16"/>
  <c r="D219" i="16" s="1"/>
  <c r="A220" i="16"/>
  <c r="A221" i="16"/>
  <c r="A221" i="17"/>
  <c r="A220" i="28" s="1"/>
  <c r="A222" i="16"/>
  <c r="A223" i="16"/>
  <c r="A224" i="16"/>
  <c r="A225" i="16"/>
  <c r="C225" i="16"/>
  <c r="A226" i="16"/>
  <c r="A227" i="16"/>
  <c r="E227" i="16" s="1"/>
  <c r="A228" i="16"/>
  <c r="C228" i="16" s="1"/>
  <c r="A229" i="16"/>
  <c r="A229" i="17" s="1"/>
  <c r="A228" i="28" s="1"/>
  <c r="A230" i="16"/>
  <c r="A231" i="16"/>
  <c r="A232" i="16"/>
  <c r="A233" i="16"/>
  <c r="I233" i="16" s="1"/>
  <c r="G233" i="29" s="1"/>
  <c r="A234" i="16"/>
  <c r="A235" i="16"/>
  <c r="D235" i="16" s="1"/>
  <c r="A236" i="16"/>
  <c r="E236" i="16" s="1"/>
  <c r="A237" i="16"/>
  <c r="C237" i="16"/>
  <c r="A238" i="16"/>
  <c r="I238" i="16"/>
  <c r="H238" i="29" s="1"/>
  <c r="A239" i="16"/>
  <c r="A240" i="16"/>
  <c r="A241" i="16"/>
  <c r="A242" i="16"/>
  <c r="A243" i="16"/>
  <c r="D243" i="16"/>
  <c r="A244" i="16"/>
  <c r="A245" i="16"/>
  <c r="C245" i="16" s="1"/>
  <c r="A246" i="16"/>
  <c r="A247" i="16"/>
  <c r="C247" i="16"/>
  <c r="A248" i="16"/>
  <c r="A249" i="16"/>
  <c r="I249" i="16" s="1"/>
  <c r="H249" i="29" s="1"/>
  <c r="A250" i="16"/>
  <c r="A251" i="16"/>
  <c r="E251" i="16"/>
  <c r="A252" i="16"/>
  <c r="A253" i="16"/>
  <c r="D253" i="16" s="1"/>
  <c r="A254" i="16"/>
  <c r="E254" i="16" s="1"/>
  <c r="A255" i="16"/>
  <c r="E255" i="16" s="1"/>
  <c r="A256" i="16"/>
  <c r="C256" i="16" s="1"/>
  <c r="A257" i="16"/>
  <c r="A258" i="16"/>
  <c r="C258" i="16"/>
  <c r="A259" i="16"/>
  <c r="C259" i="16"/>
  <c r="A260" i="16"/>
  <c r="I260" i="16"/>
  <c r="A261" i="16"/>
  <c r="I261" i="16"/>
  <c r="A262" i="16"/>
  <c r="C262" i="16"/>
  <c r="A263" i="16"/>
  <c r="D263" i="16"/>
  <c r="A264" i="16"/>
  <c r="D264" i="16"/>
  <c r="A265" i="16"/>
  <c r="C265" i="16"/>
  <c r="A266" i="16"/>
  <c r="C266" i="16"/>
  <c r="A267" i="16"/>
  <c r="E267" i="16"/>
  <c r="A268" i="16"/>
  <c r="A269" i="16"/>
  <c r="E269" i="16" s="1"/>
  <c r="A270" i="16"/>
  <c r="A271" i="16"/>
  <c r="D271" i="16"/>
  <c r="A272" i="16"/>
  <c r="E272" i="16"/>
  <c r="A273" i="16"/>
  <c r="A274" i="16"/>
  <c r="A275" i="16"/>
  <c r="A276" i="16"/>
  <c r="I276" i="16" s="1"/>
  <c r="A277" i="16"/>
  <c r="C277" i="16" s="1"/>
  <c r="A278" i="16"/>
  <c r="C278" i="16" s="1"/>
  <c r="A279" i="16"/>
  <c r="A280" i="16"/>
  <c r="E280" i="16"/>
  <c r="A281" i="16"/>
  <c r="D281" i="16" s="1"/>
  <c r="E281" i="16"/>
  <c r="A282" i="16"/>
  <c r="A283" i="16"/>
  <c r="C283" i="16"/>
  <c r="A284" i="16"/>
  <c r="A285" i="16"/>
  <c r="I285" i="16" s="1"/>
  <c r="A286" i="16"/>
  <c r="C286" i="16" s="1"/>
  <c r="A287" i="16"/>
  <c r="C287" i="16" s="1"/>
  <c r="A288" i="16"/>
  <c r="A289" i="16"/>
  <c r="A290" i="16"/>
  <c r="A291" i="16"/>
  <c r="E291" i="16"/>
  <c r="A292" i="16"/>
  <c r="I292" i="16"/>
  <c r="A293" i="16"/>
  <c r="A294" i="16"/>
  <c r="E294" i="16" s="1"/>
  <c r="A295" i="16"/>
  <c r="D295" i="16" s="1"/>
  <c r="A296" i="16"/>
  <c r="I296" i="16" s="1"/>
  <c r="A297" i="16"/>
  <c r="A298" i="16"/>
  <c r="A299" i="16"/>
  <c r="I299" i="16" s="1"/>
  <c r="A300" i="16"/>
  <c r="D300" i="16" s="1"/>
  <c r="A301" i="16"/>
  <c r="A302" i="16"/>
  <c r="A303" i="16"/>
  <c r="C303" i="16"/>
  <c r="A304" i="16"/>
  <c r="E304" i="16"/>
  <c r="A305" i="16"/>
  <c r="E305" i="16"/>
  <c r="A306" i="16"/>
  <c r="I306" i="16"/>
  <c r="A307" i="16"/>
  <c r="A308" i="16"/>
  <c r="A309" i="16"/>
  <c r="A310" i="16"/>
  <c r="E310" i="16" s="1"/>
  <c r="A311" i="16"/>
  <c r="A312" i="16"/>
  <c r="A313" i="16"/>
  <c r="E313" i="16" s="1"/>
  <c r="A314" i="16"/>
  <c r="C314" i="16" s="1"/>
  <c r="A315" i="16"/>
  <c r="I315" i="16" s="1"/>
  <c r="A316" i="16"/>
  <c r="E316" i="16" s="1"/>
  <c r="A317" i="16"/>
  <c r="C317" i="16" s="1"/>
  <c r="A318" i="16"/>
  <c r="A319" i="16"/>
  <c r="A320" i="16"/>
  <c r="A321" i="16"/>
  <c r="C321" i="16"/>
  <c r="A322" i="16"/>
  <c r="A323" i="16"/>
  <c r="A324" i="16"/>
  <c r="I324" i="16"/>
  <c r="A325" i="16"/>
  <c r="D325" i="16"/>
  <c r="A326" i="16"/>
  <c r="A327" i="16"/>
  <c r="A328" i="16"/>
  <c r="I328" i="16"/>
  <c r="A329" i="16"/>
  <c r="I329" i="16"/>
  <c r="A330" i="16"/>
  <c r="A331" i="16"/>
  <c r="A332" i="16"/>
  <c r="A333" i="16"/>
  <c r="A334" i="16"/>
  <c r="A335" i="16"/>
  <c r="C335" i="16" s="1"/>
  <c r="A336" i="16"/>
  <c r="A337" i="16"/>
  <c r="D337" i="16"/>
  <c r="A338" i="16"/>
  <c r="A339" i="16"/>
  <c r="A340" i="16"/>
  <c r="A341" i="16"/>
  <c r="A342" i="16"/>
  <c r="C342" i="16" s="1"/>
  <c r="A343" i="16"/>
  <c r="D343" i="16" s="1"/>
  <c r="A344" i="16"/>
  <c r="A345" i="16"/>
  <c r="D345" i="16"/>
  <c r="A346" i="16"/>
  <c r="A347" i="16"/>
  <c r="E347" i="16" s="1"/>
  <c r="A348" i="16"/>
  <c r="A349" i="16"/>
  <c r="A350" i="16"/>
  <c r="A351" i="16"/>
  <c r="A352" i="16"/>
  <c r="I352" i="16" s="1"/>
  <c r="A353" i="16"/>
  <c r="D353" i="16" s="1"/>
  <c r="A354" i="16"/>
  <c r="I354" i="16" s="1"/>
  <c r="A355" i="16"/>
  <c r="A356" i="16"/>
  <c r="E356" i="16"/>
  <c r="A357" i="16"/>
  <c r="E357" i="16"/>
  <c r="A358" i="16"/>
  <c r="E358" i="16"/>
  <c r="A359" i="16"/>
  <c r="D359" i="16"/>
  <c r="A360" i="16"/>
  <c r="D360" i="16"/>
  <c r="A361" i="16"/>
  <c r="E361" i="16"/>
  <c r="B4" i="13"/>
  <c r="B3" i="13"/>
  <c r="B2" i="13"/>
  <c r="B1" i="13"/>
  <c r="B6" i="13"/>
  <c r="B5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D134" i="29"/>
  <c r="D145" i="29"/>
  <c r="D138" i="29"/>
  <c r="D160" i="29"/>
  <c r="D165" i="29"/>
  <c r="D140" i="29"/>
  <c r="D142" i="29"/>
  <c r="D143" i="29"/>
  <c r="D172" i="29"/>
  <c r="D159" i="29"/>
  <c r="D171" i="29"/>
  <c r="D161" i="29"/>
  <c r="D149" i="29"/>
  <c r="D167" i="29"/>
  <c r="D144" i="29"/>
  <c r="D146" i="29"/>
  <c r="D169" i="29"/>
  <c r="D155" i="29"/>
  <c r="D151" i="29"/>
  <c r="D141" i="29"/>
  <c r="D156" i="29"/>
  <c r="D163" i="29"/>
  <c r="D153" i="29"/>
  <c r="D173" i="29"/>
  <c r="D147" i="29"/>
  <c r="D137" i="29"/>
  <c r="D136" i="29"/>
  <c r="D139" i="29"/>
  <c r="D132" i="29"/>
  <c r="D133" i="29"/>
  <c r="D135" i="29"/>
  <c r="D158" i="29"/>
  <c r="D162" i="29"/>
  <c r="D157" i="29"/>
  <c r="D148" i="29"/>
  <c r="D150" i="29"/>
  <c r="D168" i="29"/>
  <c r="D170" i="29"/>
  <c r="D164" i="29"/>
  <c r="D130" i="29"/>
  <c r="D152" i="29"/>
  <c r="D166" i="29"/>
  <c r="D154" i="29"/>
  <c r="D131" i="29"/>
  <c r="C34" i="16"/>
  <c r="D314" i="16"/>
  <c r="E306" i="16"/>
  <c r="A96" i="17"/>
  <c r="A95" i="28" s="1"/>
  <c r="A168" i="17"/>
  <c r="A167" i="28" s="1"/>
  <c r="I112" i="16"/>
  <c r="H112" i="29" s="1"/>
  <c r="I172" i="16"/>
  <c r="I172" i="29" s="1"/>
  <c r="D172" i="16"/>
  <c r="C72" i="16"/>
  <c r="C310" i="16"/>
  <c r="I294" i="16"/>
  <c r="D100" i="29"/>
  <c r="D115" i="29"/>
  <c r="D120" i="29"/>
  <c r="D118" i="29"/>
  <c r="D123" i="29"/>
  <c r="D106" i="29"/>
  <c r="D54" i="29"/>
  <c r="D103" i="29"/>
  <c r="D129" i="29"/>
  <c r="D127" i="29"/>
  <c r="D128" i="29"/>
  <c r="D105" i="29"/>
  <c r="D117" i="29"/>
  <c r="D121" i="29"/>
  <c r="D126" i="29"/>
  <c r="D102" i="29"/>
  <c r="D116" i="29"/>
  <c r="D113" i="29"/>
  <c r="D114" i="29"/>
  <c r="D101" i="29"/>
  <c r="D109" i="29"/>
  <c r="D98" i="29"/>
  <c r="D107" i="29"/>
  <c r="D112" i="29"/>
  <c r="D125" i="29"/>
  <c r="D99" i="29"/>
  <c r="D122" i="29"/>
  <c r="D111" i="29"/>
  <c r="D124" i="29"/>
  <c r="D108" i="29"/>
  <c r="D119" i="29"/>
  <c r="D104" i="29"/>
  <c r="D97" i="29"/>
  <c r="D110" i="29"/>
  <c r="D58" i="29"/>
  <c r="D52" i="29"/>
  <c r="D60" i="29"/>
  <c r="D55" i="29"/>
  <c r="D51" i="29"/>
  <c r="D56" i="29"/>
  <c r="D59" i="29"/>
  <c r="D57" i="29"/>
  <c r="D53" i="29"/>
  <c r="D61" i="29"/>
  <c r="D50" i="29"/>
  <c r="D84" i="16"/>
  <c r="C172" i="16"/>
  <c r="D184" i="16"/>
  <c r="E112" i="16"/>
  <c r="D317" i="16"/>
  <c r="D291" i="16"/>
  <c r="A118" i="17"/>
  <c r="A117" i="28" s="1"/>
  <c r="A226" i="17"/>
  <c r="A225" i="28" s="1"/>
  <c r="E214" i="16"/>
  <c r="I153" i="16"/>
  <c r="I126" i="16"/>
  <c r="G126" i="29" s="1"/>
  <c r="C118" i="16"/>
  <c r="A142" i="17"/>
  <c r="A141" i="28" s="1"/>
  <c r="A102" i="17"/>
  <c r="A101" i="28" s="1"/>
  <c r="E126" i="16"/>
  <c r="I194" i="16"/>
  <c r="I194" i="29" s="1"/>
  <c r="D210" i="16"/>
  <c r="E165" i="16"/>
  <c r="A222" i="17"/>
  <c r="A221" i="28"/>
  <c r="E118" i="16"/>
  <c r="E195" i="16"/>
  <c r="I131" i="16"/>
  <c r="H131" i="29" s="1"/>
  <c r="E115" i="16"/>
  <c r="C95" i="16"/>
  <c r="C91" i="16"/>
  <c r="E344" i="16"/>
  <c r="D344" i="16"/>
  <c r="D316" i="16"/>
  <c r="D304" i="16"/>
  <c r="C94" i="16"/>
  <c r="I142" i="16"/>
  <c r="H142" i="29" s="1"/>
  <c r="E234" i="16"/>
  <c r="E150" i="16"/>
  <c r="A150" i="17"/>
  <c r="A149" i="28" s="1"/>
  <c r="D142" i="16"/>
  <c r="D118" i="16"/>
  <c r="D150" i="16"/>
  <c r="I150" i="16"/>
  <c r="E73" i="16"/>
  <c r="I93" i="16"/>
  <c r="G93" i="29" s="1"/>
  <c r="E298" i="16"/>
  <c r="I298" i="16"/>
  <c r="C66" i="16"/>
  <c r="E50" i="16"/>
  <c r="D294" i="16"/>
  <c r="A210" i="17"/>
  <c r="A209" i="28" s="1"/>
  <c r="A234" i="17"/>
  <c r="A233" i="28" s="1"/>
  <c r="A195" i="17"/>
  <c r="A194" i="28" s="1"/>
  <c r="C180" i="16"/>
  <c r="D176" i="16"/>
  <c r="I176" i="16"/>
  <c r="G176" i="29" s="1"/>
  <c r="I146" i="16"/>
  <c r="D146" i="16"/>
  <c r="I138" i="16"/>
  <c r="G138" i="29" s="1"/>
  <c r="D134" i="16"/>
  <c r="I134" i="16"/>
  <c r="H134" i="29" s="1"/>
  <c r="C134" i="16"/>
  <c r="A88" i="17"/>
  <c r="A87" i="28" s="1"/>
  <c r="E258" i="16"/>
  <c r="D246" i="16"/>
  <c r="E246" i="16"/>
  <c r="D238" i="16"/>
  <c r="A164" i="17"/>
  <c r="A163" i="28" s="1"/>
  <c r="I115" i="16"/>
  <c r="H115" i="29" s="1"/>
  <c r="I44" i="16"/>
  <c r="C240" i="16"/>
  <c r="E284" i="16"/>
  <c r="A200" i="17"/>
  <c r="A199" i="28"/>
  <c r="C246" i="16"/>
  <c r="D164" i="16"/>
  <c r="D298" i="16"/>
  <c r="C294" i="16"/>
  <c r="D340" i="16"/>
  <c r="I314" i="16"/>
  <c r="E314" i="16"/>
  <c r="I310" i="16"/>
  <c r="D310" i="16"/>
  <c r="C102" i="16"/>
  <c r="A90" i="17"/>
  <c r="A89" i="28"/>
  <c r="C190" i="16"/>
  <c r="E168" i="16"/>
  <c r="I168" i="16"/>
  <c r="G168" i="29" s="1"/>
  <c r="I76" i="16"/>
  <c r="I76" i="29" s="1"/>
  <c r="E262" i="16"/>
  <c r="E76" i="16"/>
  <c r="I342" i="16"/>
  <c r="E190" i="16"/>
  <c r="I200" i="16"/>
  <c r="G200" i="29" s="1"/>
  <c r="E146" i="16"/>
  <c r="A146" i="17"/>
  <c r="A145" i="28"/>
  <c r="D306" i="16"/>
  <c r="C281" i="16"/>
  <c r="I270" i="16"/>
  <c r="I255" i="16"/>
  <c r="C222" i="16"/>
  <c r="D222" i="16"/>
  <c r="D272" i="16"/>
  <c r="C270" i="16"/>
  <c r="E41" i="16"/>
  <c r="E277" i="16"/>
  <c r="A99" i="17"/>
  <c r="A98" i="28"/>
  <c r="C306" i="16"/>
  <c r="D158" i="16"/>
  <c r="C214" i="16"/>
  <c r="I214" i="16"/>
  <c r="C210" i="16"/>
  <c r="A206" i="17"/>
  <c r="A205" i="28" s="1"/>
  <c r="E202" i="16"/>
  <c r="I180" i="16"/>
  <c r="E180" i="16"/>
  <c r="D180" i="16"/>
  <c r="C169" i="16"/>
  <c r="D96" i="16"/>
  <c r="E96" i="16"/>
  <c r="C330" i="16"/>
  <c r="A242" i="17"/>
  <c r="A241" i="28" s="1"/>
  <c r="E242" i="16"/>
  <c r="D208" i="16"/>
  <c r="D111" i="16"/>
  <c r="C104" i="16"/>
  <c r="E160" i="16"/>
  <c r="D137" i="16"/>
  <c r="C242" i="16"/>
  <c r="I226" i="16"/>
  <c r="G226" i="29" s="1"/>
  <c r="I198" i="16"/>
  <c r="C181" i="16"/>
  <c r="E98" i="16"/>
  <c r="I98" i="16"/>
  <c r="D95" i="16"/>
  <c r="I58" i="16"/>
  <c r="G58" i="29" s="1"/>
  <c r="E187" i="16"/>
  <c r="I252" i="16"/>
  <c r="I120" i="16"/>
  <c r="H120" i="29" s="1"/>
  <c r="C120" i="16"/>
  <c r="E111" i="16"/>
  <c r="E192" i="16"/>
  <c r="A74" i="17"/>
  <c r="A73" i="28" s="1"/>
  <c r="C43" i="16"/>
  <c r="D324" i="16"/>
  <c r="D302" i="16"/>
  <c r="C302" i="16"/>
  <c r="E250" i="16"/>
  <c r="A160" i="17"/>
  <c r="A159" i="28" s="1"/>
  <c r="C160" i="16"/>
  <c r="C78" i="16"/>
  <c r="A54" i="17"/>
  <c r="A53" i="28" s="1"/>
  <c r="E360" i="16"/>
  <c r="E343" i="16"/>
  <c r="D128" i="16"/>
  <c r="I128" i="16"/>
  <c r="G128" i="29" s="1"/>
  <c r="D122" i="16"/>
  <c r="I122" i="16"/>
  <c r="H122" i="29" s="1"/>
  <c r="E122" i="16"/>
  <c r="A52" i="17"/>
  <c r="A51" i="28" s="1"/>
  <c r="A80" i="17"/>
  <c r="A79" i="28" s="1"/>
  <c r="D103" i="16"/>
  <c r="I345" i="16"/>
  <c r="I273" i="16"/>
  <c r="D273" i="16"/>
  <c r="C254" i="16"/>
  <c r="D201" i="16"/>
  <c r="A124" i="17"/>
  <c r="A123" i="28" s="1"/>
  <c r="E70" i="16"/>
  <c r="I64" i="16"/>
  <c r="E64" i="16"/>
  <c r="I284" i="16"/>
  <c r="I80" i="16"/>
  <c r="C124" i="16"/>
  <c r="C64" i="16"/>
  <c r="D254" i="16"/>
  <c r="I360" i="16"/>
  <c r="C334" i="16"/>
  <c r="I254" i="16"/>
  <c r="C122" i="16"/>
  <c r="A122" i="17"/>
  <c r="A121" i="28" s="1"/>
  <c r="D110" i="16"/>
  <c r="D124" i="16"/>
  <c r="D80" i="16"/>
  <c r="C103" i="16"/>
  <c r="C110" i="16"/>
  <c r="A248" i="17"/>
  <c r="A247" i="28" s="1"/>
  <c r="A128" i="17"/>
  <c r="A127" i="28" s="1"/>
  <c r="D64" i="16"/>
  <c r="C326" i="16"/>
  <c r="C70" i="16"/>
  <c r="D354" i="16"/>
  <c r="A201" i="17"/>
  <c r="A200" i="28" s="1"/>
  <c r="E332" i="16"/>
  <c r="I332" i="16"/>
  <c r="I326" i="16"/>
  <c r="C320" i="16"/>
  <c r="E320" i="16"/>
  <c r="E312" i="16"/>
  <c r="D312" i="16"/>
  <c r="I304" i="16"/>
  <c r="C304" i="16"/>
  <c r="I264" i="16"/>
  <c r="E185" i="16"/>
  <c r="A162" i="17"/>
  <c r="A161" i="28" s="1"/>
  <c r="D162" i="16"/>
  <c r="C98" i="16"/>
  <c r="D98" i="16"/>
  <c r="A98" i="17"/>
  <c r="A97" i="28" s="1"/>
  <c r="C92" i="16"/>
  <c r="C126" i="16"/>
  <c r="D126" i="16"/>
  <c r="C298" i="16"/>
  <c r="C62" i="16"/>
  <c r="E19" i="16"/>
  <c r="I38" i="16"/>
  <c r="G38" i="29" s="1"/>
  <c r="A38" i="17"/>
  <c r="A37" i="28" s="1"/>
  <c r="D85" i="29"/>
  <c r="D71" i="29"/>
  <c r="D70" i="29"/>
  <c r="D81" i="29"/>
  <c r="D93" i="29"/>
  <c r="D82" i="29"/>
  <c r="D84" i="29"/>
  <c r="D79" i="29"/>
  <c r="D72" i="29"/>
  <c r="D88" i="29"/>
  <c r="D92" i="29"/>
  <c r="D96" i="29"/>
  <c r="D91" i="29"/>
  <c r="D87" i="29"/>
  <c r="D90" i="29"/>
  <c r="D69" i="29"/>
  <c r="D68" i="29"/>
  <c r="D65" i="29"/>
  <c r="D75" i="29"/>
  <c r="D77" i="29"/>
  <c r="D89" i="29"/>
  <c r="D95" i="29"/>
  <c r="D94" i="29"/>
  <c r="D83" i="29"/>
  <c r="D73" i="29"/>
  <c r="D78" i="29"/>
  <c r="D80" i="29"/>
  <c r="D64" i="29"/>
  <c r="D86" i="29"/>
  <c r="D76" i="29"/>
  <c r="D62" i="29"/>
  <c r="D67" i="29"/>
  <c r="D74" i="29"/>
  <c r="D63" i="29"/>
  <c r="D66" i="29"/>
  <c r="A2" i="17"/>
  <c r="A2" i="25" s="1"/>
  <c r="I179" i="16"/>
  <c r="I179" i="29" s="1"/>
  <c r="E137" i="16"/>
  <c r="C111" i="16"/>
  <c r="I111" i="16"/>
  <c r="I111" i="29" s="1"/>
  <c r="E99" i="16"/>
  <c r="A115" i="17"/>
  <c r="A114" i="28" s="1"/>
  <c r="E22" i="16"/>
  <c r="D276" i="16"/>
  <c r="E91" i="16"/>
  <c r="C115" i="16"/>
  <c r="I291" i="16"/>
  <c r="D177" i="16"/>
  <c r="E261" i="16"/>
  <c r="D245" i="16"/>
  <c r="A177" i="17"/>
  <c r="A176" i="28"/>
  <c r="C61" i="16"/>
  <c r="I95" i="16"/>
  <c r="H95" i="29" s="1"/>
  <c r="I361" i="16"/>
  <c r="A95" i="17"/>
  <c r="A94" i="28" s="1"/>
  <c r="D41" i="16"/>
  <c r="D149" i="16"/>
  <c r="E173" i="16"/>
  <c r="I213" i="16"/>
  <c r="G213" i="29" s="1"/>
  <c r="A133" i="17"/>
  <c r="A132" i="28" s="1"/>
  <c r="E201" i="16"/>
  <c r="I245" i="16"/>
  <c r="I245" i="29" s="1"/>
  <c r="I343" i="16"/>
  <c r="I77" i="16"/>
  <c r="E145" i="16"/>
  <c r="I237" i="16"/>
  <c r="H237" i="29" s="1"/>
  <c r="D261" i="16"/>
  <c r="D157" i="16"/>
  <c r="D145" i="16"/>
  <c r="C221" i="16"/>
  <c r="C272" i="16"/>
  <c r="I41" i="16"/>
  <c r="G41" i="29" s="1"/>
  <c r="A149" i="17"/>
  <c r="A148" i="28" s="1"/>
  <c r="E213" i="16"/>
  <c r="A245" i="17"/>
  <c r="A244" i="28" s="1"/>
  <c r="E61" i="16"/>
  <c r="I201" i="16"/>
  <c r="E245" i="16"/>
  <c r="C137" i="16"/>
  <c r="A145" i="17"/>
  <c r="A144" i="28" s="1"/>
  <c r="I265" i="16"/>
  <c r="I303" i="16"/>
  <c r="C161" i="16"/>
  <c r="D280" i="16"/>
  <c r="C81" i="16"/>
  <c r="C291" i="16"/>
  <c r="E225" i="16"/>
  <c r="A153" i="17"/>
  <c r="A152" i="28"/>
  <c r="C165" i="16"/>
  <c r="D269" i="16"/>
  <c r="I335" i="16"/>
  <c r="D53" i="16"/>
  <c r="D287" i="16"/>
  <c r="C343" i="16"/>
  <c r="I137" i="16"/>
  <c r="I145" i="16"/>
  <c r="G145" i="29" s="1"/>
  <c r="C157" i="16"/>
  <c r="A69" i="17"/>
  <c r="A68" i="28" s="1"/>
  <c r="I280" i="16"/>
  <c r="C280" i="16"/>
  <c r="E287" i="16"/>
  <c r="A165" i="17"/>
  <c r="A164" i="28" s="1"/>
  <c r="E221" i="16"/>
  <c r="I287" i="16"/>
  <c r="I272" i="16"/>
  <c r="I227" i="16"/>
  <c r="H227" i="29" s="1"/>
  <c r="A187" i="17"/>
  <c r="A186" i="28" s="1"/>
  <c r="C199" i="16"/>
  <c r="I199" i="16"/>
  <c r="I199" i="29" s="1"/>
  <c r="C251" i="16"/>
  <c r="C191" i="16"/>
  <c r="A207" i="17"/>
  <c r="A206" i="28" s="1"/>
  <c r="D251" i="16"/>
  <c r="E285" i="16"/>
  <c r="D185" i="16"/>
  <c r="A185" i="17"/>
  <c r="A184" i="28" s="1"/>
  <c r="C177" i="16"/>
  <c r="I177" i="16"/>
  <c r="I173" i="16"/>
  <c r="A173" i="17"/>
  <c r="A172" i="28" s="1"/>
  <c r="C173" i="16"/>
  <c r="D169" i="16"/>
  <c r="A169" i="17"/>
  <c r="A168" i="28" s="1"/>
  <c r="E149" i="16"/>
  <c r="I149" i="16"/>
  <c r="G149" i="29" s="1"/>
  <c r="A141" i="17"/>
  <c r="A140" i="28" s="1"/>
  <c r="D141" i="16"/>
  <c r="E141" i="16"/>
  <c r="I133" i="16"/>
  <c r="G133" i="29" s="1"/>
  <c r="E133" i="16"/>
  <c r="C89" i="16"/>
  <c r="I89" i="16"/>
  <c r="H89" i="29" s="1"/>
  <c r="C73" i="16"/>
  <c r="A41" i="17"/>
  <c r="A40" i="28" s="1"/>
  <c r="E89" i="16"/>
  <c r="I185" i="16"/>
  <c r="I185" i="29" s="1"/>
  <c r="D133" i="16"/>
  <c r="C203" i="16"/>
  <c r="I37" i="16"/>
  <c r="I37" i="29" s="1"/>
  <c r="E292" i="16"/>
  <c r="I281" i="16"/>
  <c r="A157" i="17"/>
  <c r="A156" i="28" s="1"/>
  <c r="D278" i="16"/>
  <c r="C238" i="16"/>
  <c r="I157" i="16"/>
  <c r="G157" i="29" s="1"/>
  <c r="D361" i="16"/>
  <c r="E328" i="16"/>
  <c r="C255" i="16"/>
  <c r="I165" i="16"/>
  <c r="I165" i="29" s="1"/>
  <c r="D153" i="16"/>
  <c r="A89" i="17"/>
  <c r="A88" i="28"/>
  <c r="C141" i="16"/>
  <c r="C153" i="16"/>
  <c r="A73" i="17"/>
  <c r="A72" i="28"/>
  <c r="D200" i="16"/>
  <c r="C200" i="16"/>
  <c r="E200" i="16"/>
  <c r="C168" i="16"/>
  <c r="D168" i="16"/>
  <c r="A140" i="17"/>
  <c r="A139" i="28" s="1"/>
  <c r="C140" i="16"/>
  <c r="E128" i="16"/>
  <c r="C128" i="16"/>
  <c r="E124" i="16"/>
  <c r="I124" i="16"/>
  <c r="I124" i="29" s="1"/>
  <c r="I96" i="16"/>
  <c r="H96" i="29" s="1"/>
  <c r="C96" i="16"/>
  <c r="E80" i="16"/>
  <c r="C80" i="16"/>
  <c r="A76" i="17"/>
  <c r="A75" i="28" s="1"/>
  <c r="D76" i="16"/>
  <c r="C76" i="16"/>
  <c r="A40" i="17"/>
  <c r="A39" i="28" s="1"/>
  <c r="D259" i="16"/>
  <c r="E259" i="16"/>
  <c r="E243" i="16"/>
  <c r="A243" i="17"/>
  <c r="A242" i="28" s="1"/>
  <c r="A239" i="17"/>
  <c r="A238" i="28" s="1"/>
  <c r="C239" i="16"/>
  <c r="C231" i="16"/>
  <c r="I231" i="16"/>
  <c r="C219" i="16"/>
  <c r="E219" i="16"/>
  <c r="C215" i="16"/>
  <c r="I215" i="16"/>
  <c r="C195" i="16"/>
  <c r="I195" i="16"/>
  <c r="I195" i="29" s="1"/>
  <c r="A191" i="17"/>
  <c r="A190" i="28" s="1"/>
  <c r="I191" i="16"/>
  <c r="I191" i="29" s="1"/>
  <c r="D187" i="16"/>
  <c r="I187" i="16"/>
  <c r="H187" i="29" s="1"/>
  <c r="D227" i="16"/>
  <c r="E239" i="16"/>
  <c r="I259" i="16"/>
  <c r="A199" i="17"/>
  <c r="A198" i="28" s="1"/>
  <c r="D255" i="16"/>
  <c r="D195" i="16"/>
  <c r="E191" i="16"/>
  <c r="I251" i="16"/>
  <c r="E199" i="16"/>
  <c r="E352" i="16"/>
  <c r="D352" i="16"/>
  <c r="C348" i="16"/>
  <c r="I348" i="16"/>
  <c r="I344" i="16"/>
  <c r="C344" i="16"/>
  <c r="D332" i="16"/>
  <c r="C332" i="16"/>
  <c r="I320" i="16"/>
  <c r="D320" i="16"/>
  <c r="C316" i="16"/>
  <c r="I316" i="16"/>
  <c r="C312" i="16"/>
  <c r="I312" i="16"/>
  <c r="I277" i="16"/>
  <c r="D277" i="16"/>
  <c r="E273" i="16"/>
  <c r="C273" i="16"/>
  <c r="D262" i="16"/>
  <c r="I262" i="16"/>
  <c r="D258" i="16"/>
  <c r="I258" i="16"/>
  <c r="D250" i="16"/>
  <c r="C250" i="16"/>
  <c r="D242" i="16"/>
  <c r="I242" i="16"/>
  <c r="I242" i="29" s="1"/>
  <c r="C234" i="16"/>
  <c r="D234" i="16"/>
  <c r="I234" i="16"/>
  <c r="G234" i="29" s="1"/>
  <c r="C226" i="16"/>
  <c r="D226" i="16"/>
  <c r="E226" i="16"/>
  <c r="I222" i="16"/>
  <c r="E222" i="16"/>
  <c r="A214" i="17"/>
  <c r="A213" i="28" s="1"/>
  <c r="D214" i="16"/>
  <c r="E210" i="16"/>
  <c r="I210" i="16"/>
  <c r="G210" i="29" s="1"/>
  <c r="C202" i="16"/>
  <c r="I202" i="16"/>
  <c r="D202" i="16"/>
  <c r="A202" i="17"/>
  <c r="A201" i="28"/>
  <c r="E34" i="16"/>
  <c r="E143" i="16"/>
  <c r="C143" i="16"/>
  <c r="D135" i="16"/>
  <c r="I135" i="16"/>
  <c r="G135" i="29" s="1"/>
  <c r="A135" i="17"/>
  <c r="A134" i="28" s="1"/>
  <c r="C127" i="16"/>
  <c r="A127" i="17"/>
  <c r="A126" i="28" s="1"/>
  <c r="E127" i="16"/>
  <c r="I127" i="16"/>
  <c r="G127" i="29" s="1"/>
  <c r="D127" i="16"/>
  <c r="D119" i="16"/>
  <c r="C119" i="16"/>
  <c r="A119" i="17"/>
  <c r="A118" i="28" s="1"/>
  <c r="E119" i="16"/>
  <c r="I119" i="16"/>
  <c r="H119" i="29" s="1"/>
  <c r="E71" i="16"/>
  <c r="C71" i="16"/>
  <c r="D71" i="16"/>
  <c r="E67" i="16"/>
  <c r="C67" i="16"/>
  <c r="I67" i="16"/>
  <c r="A67" i="17"/>
  <c r="A66" i="28" s="1"/>
  <c r="D67" i="16"/>
  <c r="E63" i="16"/>
  <c r="E43" i="16"/>
  <c r="A43" i="17"/>
  <c r="A42" i="28" s="1"/>
  <c r="D14" i="16"/>
  <c r="C346" i="16"/>
  <c r="I346" i="16"/>
  <c r="D338" i="16"/>
  <c r="I338" i="16"/>
  <c r="E338" i="16"/>
  <c r="C338" i="16"/>
  <c r="D290" i="16"/>
  <c r="I290" i="16"/>
  <c r="C268" i="16"/>
  <c r="E268" i="16"/>
  <c r="D268" i="16"/>
  <c r="D252" i="16"/>
  <c r="E252" i="16"/>
  <c r="C252" i="16"/>
  <c r="C236" i="16"/>
  <c r="D236" i="16"/>
  <c r="A236" i="17"/>
  <c r="A235" i="28" s="1"/>
  <c r="I236" i="16"/>
  <c r="H236" i="29" s="1"/>
  <c r="C232" i="16"/>
  <c r="D232" i="16"/>
  <c r="E232" i="16"/>
  <c r="A224" i="17"/>
  <c r="A223" i="28"/>
  <c r="C224" i="16"/>
  <c r="A216" i="17"/>
  <c r="A215" i="28" s="1"/>
  <c r="D216" i="16"/>
  <c r="E216" i="16"/>
  <c r="C216" i="16"/>
  <c r="A208" i="17"/>
  <c r="A207" i="28"/>
  <c r="C208" i="16"/>
  <c r="A197" i="17"/>
  <c r="A196" i="28" s="1"/>
  <c r="E197" i="16"/>
  <c r="C193" i="16"/>
  <c r="D193" i="16"/>
  <c r="E193" i="16"/>
  <c r="E178" i="16"/>
  <c r="D178" i="16"/>
  <c r="C170" i="16"/>
  <c r="I170" i="16"/>
  <c r="G170" i="29" s="1"/>
  <c r="E90" i="16"/>
  <c r="I90" i="16"/>
  <c r="C90" i="16"/>
  <c r="D90" i="16"/>
  <c r="C82" i="16"/>
  <c r="D82" i="16"/>
  <c r="A82" i="17"/>
  <c r="A81" i="28" s="1"/>
  <c r="E78" i="16"/>
  <c r="I78" i="16"/>
  <c r="I232" i="16"/>
  <c r="I232" i="29" s="1"/>
  <c r="I208" i="16"/>
  <c r="G208" i="29" s="1"/>
  <c r="I216" i="16"/>
  <c r="I268" i="16"/>
  <c r="E116" i="16"/>
  <c r="C116" i="16"/>
  <c r="I116" i="16"/>
  <c r="H116" i="29" s="1"/>
  <c r="D116" i="16"/>
  <c r="A116" i="17"/>
  <c r="A115" i="28" s="1"/>
  <c r="E155" i="16"/>
  <c r="D155" i="16"/>
  <c r="D139" i="16"/>
  <c r="I139" i="16"/>
  <c r="I139" i="29" s="1"/>
  <c r="I123" i="16"/>
  <c r="G123" i="29" s="1"/>
  <c r="C123" i="16"/>
  <c r="E123" i="16"/>
  <c r="D123" i="16"/>
  <c r="E47" i="16"/>
  <c r="A19" i="17"/>
  <c r="A18" i="28" s="1"/>
  <c r="A143" i="17"/>
  <c r="A142" i="28" s="1"/>
  <c r="A123" i="17"/>
  <c r="A122" i="28"/>
  <c r="D342" i="16"/>
  <c r="E342" i="16"/>
  <c r="D248" i="16"/>
  <c r="E248" i="16"/>
  <c r="I248" i="16"/>
  <c r="I248" i="29" s="1"/>
  <c r="C248" i="16"/>
  <c r="D240" i="16"/>
  <c r="A240" i="17"/>
  <c r="A239" i="28" s="1"/>
  <c r="E240" i="16"/>
  <c r="I240" i="16"/>
  <c r="H240" i="29" s="1"/>
  <c r="A220" i="17"/>
  <c r="A219" i="28" s="1"/>
  <c r="C220" i="16"/>
  <c r="E212" i="16"/>
  <c r="C212" i="16"/>
  <c r="A212" i="17"/>
  <c r="A211" i="28" s="1"/>
  <c r="E204" i="16"/>
  <c r="A204" i="17"/>
  <c r="A203" i="28" s="1"/>
  <c r="E182" i="16"/>
  <c r="A182" i="17"/>
  <c r="A181" i="28"/>
  <c r="I174" i="16"/>
  <c r="I174" i="29" s="1"/>
  <c r="E174" i="16"/>
  <c r="C174" i="16"/>
  <c r="D166" i="16"/>
  <c r="C166" i="16"/>
  <c r="I166" i="16"/>
  <c r="H166" i="29" s="1"/>
  <c r="D86" i="16"/>
  <c r="A86" i="17"/>
  <c r="A85" i="28" s="1"/>
  <c r="E86" i="16"/>
  <c r="I86" i="16"/>
  <c r="I86" i="29" s="1"/>
  <c r="A232" i="17"/>
  <c r="A231" i="28"/>
  <c r="C86" i="16"/>
  <c r="E113" i="16"/>
  <c r="A105" i="17"/>
  <c r="A104" i="28"/>
  <c r="I105" i="16"/>
  <c r="G105" i="29" s="1"/>
  <c r="C101" i="16"/>
  <c r="A101" i="17"/>
  <c r="A100" i="28" s="1"/>
  <c r="D101" i="16"/>
  <c r="I101" i="16"/>
  <c r="E101" i="16"/>
  <c r="A97" i="17"/>
  <c r="A96" i="28"/>
  <c r="E97" i="16"/>
  <c r="E93" i="16"/>
  <c r="C93" i="16"/>
  <c r="D93" i="16"/>
  <c r="I357" i="16"/>
  <c r="D357" i="16"/>
  <c r="D349" i="16"/>
  <c r="E349" i="16"/>
  <c r="I349" i="16"/>
  <c r="C341" i="16"/>
  <c r="D341" i="16"/>
  <c r="D329" i="16"/>
  <c r="C329" i="16"/>
  <c r="I325" i="16"/>
  <c r="E325" i="16"/>
  <c r="I321" i="16"/>
  <c r="E321" i="16"/>
  <c r="D313" i="16"/>
  <c r="I313" i="16"/>
  <c r="E309" i="16"/>
  <c r="I309" i="16"/>
  <c r="D309" i="16"/>
  <c r="D297" i="16"/>
  <c r="C297" i="16"/>
  <c r="C293" i="16"/>
  <c r="D293" i="16"/>
  <c r="D285" i="16"/>
  <c r="C285" i="16"/>
  <c r="I278" i="16"/>
  <c r="E278" i="16"/>
  <c r="E274" i="16"/>
  <c r="I293" i="16"/>
  <c r="D274" i="16"/>
  <c r="C325" i="16"/>
  <c r="C309" i="16"/>
  <c r="E293" i="16"/>
  <c r="I297" i="16"/>
  <c r="E317" i="16"/>
  <c r="D321" i="16"/>
  <c r="E335" i="16"/>
  <c r="D335" i="16"/>
  <c r="C331" i="16"/>
  <c r="D331" i="16"/>
  <c r="I257" i="16"/>
  <c r="D257" i="16"/>
  <c r="C249" i="16"/>
  <c r="A249" i="17"/>
  <c r="A248" i="28"/>
  <c r="E249" i="16"/>
  <c r="I229" i="16"/>
  <c r="H229" i="29" s="1"/>
  <c r="E229" i="16"/>
  <c r="C229" i="16"/>
  <c r="A217" i="17"/>
  <c r="A216" i="28" s="1"/>
  <c r="I217" i="16"/>
  <c r="H217" i="29" s="1"/>
  <c r="E217" i="16"/>
  <c r="D213" i="16"/>
  <c r="C213" i="16"/>
  <c r="I205" i="16"/>
  <c r="A205" i="17"/>
  <c r="A204" i="28"/>
  <c r="E205" i="16"/>
  <c r="C194" i="16"/>
  <c r="A194" i="17"/>
  <c r="A193" i="28"/>
  <c r="E194" i="16"/>
  <c r="D194" i="16"/>
  <c r="A190" i="17"/>
  <c r="A189" i="28"/>
  <c r="D190" i="16"/>
  <c r="I190" i="16"/>
  <c r="I190" i="29" s="1"/>
  <c r="D167" i="16"/>
  <c r="I167" i="16"/>
  <c r="I167" i="29" s="1"/>
  <c r="D160" i="16"/>
  <c r="I160" i="16"/>
  <c r="I102" i="16"/>
  <c r="I102" i="29" s="1"/>
  <c r="E102" i="16"/>
  <c r="D102" i="16"/>
  <c r="C83" i="16"/>
  <c r="E83" i="16"/>
  <c r="D75" i="16"/>
  <c r="D56" i="16"/>
  <c r="D229" i="16"/>
  <c r="D205" i="16"/>
  <c r="E353" i="16"/>
  <c r="I353" i="16"/>
  <c r="C313" i="16"/>
  <c r="D225" i="16"/>
  <c r="D217" i="16"/>
  <c r="E167" i="16"/>
  <c r="E331" i="16"/>
  <c r="E297" i="16"/>
  <c r="E329" i="16"/>
  <c r="I331" i="16"/>
  <c r="I317" i="16"/>
  <c r="C253" i="16"/>
  <c r="C336" i="16"/>
  <c r="C328" i="16"/>
  <c r="D328" i="16"/>
  <c r="C324" i="16"/>
  <c r="E324" i="16"/>
  <c r="E308" i="16"/>
  <c r="I308" i="16"/>
  <c r="D308" i="16"/>
  <c r="C308" i="16"/>
  <c r="E140" i="16"/>
  <c r="C121" i="16"/>
  <c r="C148" i="16"/>
  <c r="E355" i="16"/>
  <c r="I355" i="16"/>
  <c r="D355" i="16"/>
  <c r="E351" i="16"/>
  <c r="I351" i="16"/>
  <c r="D351" i="16"/>
  <c r="I347" i="16"/>
  <c r="D347" i="16"/>
  <c r="C347" i="16"/>
  <c r="C340" i="16"/>
  <c r="I340" i="16"/>
  <c r="C337" i="16"/>
  <c r="I337" i="16"/>
  <c r="E334" i="16"/>
  <c r="I334" i="16"/>
  <c r="E330" i="16"/>
  <c r="I330" i="16"/>
  <c r="I327" i="16"/>
  <c r="C327" i="16"/>
  <c r="E327" i="16"/>
  <c r="C323" i="16"/>
  <c r="E323" i="16"/>
  <c r="D323" i="16"/>
  <c r="I319" i="16"/>
  <c r="C319" i="16"/>
  <c r="C311" i="16"/>
  <c r="I311" i="16"/>
  <c r="D311" i="16"/>
  <c r="D307" i="16"/>
  <c r="I307" i="16"/>
  <c r="E303" i="16"/>
  <c r="D303" i="16"/>
  <c r="E300" i="16"/>
  <c r="I300" i="16"/>
  <c r="C300" i="16"/>
  <c r="C296" i="16"/>
  <c r="E296" i="16"/>
  <c r="D296" i="16"/>
  <c r="C289" i="16"/>
  <c r="I289" i="16"/>
  <c r="D279" i="16"/>
  <c r="E279" i="16"/>
  <c r="E84" i="16"/>
  <c r="A84" i="17"/>
  <c r="A83" i="28" s="1"/>
  <c r="I84" i="16"/>
  <c r="H84" i="29" s="1"/>
  <c r="C84" i="16"/>
  <c r="A44" i="17"/>
  <c r="A43" i="28" s="1"/>
  <c r="C44" i="16"/>
  <c r="D44" i="16"/>
  <c r="C40" i="16"/>
  <c r="C32" i="16"/>
  <c r="I28" i="16"/>
  <c r="H28" i="29" s="1"/>
  <c r="C271" i="16"/>
  <c r="D330" i="16"/>
  <c r="I323" i="16"/>
  <c r="C292" i="16"/>
  <c r="D334" i="16"/>
  <c r="E311" i="16"/>
  <c r="E94" i="16"/>
  <c r="A94" i="17"/>
  <c r="A93" i="28" s="1"/>
  <c r="D94" i="16"/>
  <c r="D87" i="16"/>
  <c r="C87" i="16"/>
  <c r="I87" i="16"/>
  <c r="A87" i="17"/>
  <c r="A86" i="28"/>
  <c r="C159" i="16"/>
  <c r="D159" i="16"/>
  <c r="A159" i="17"/>
  <c r="A158" i="28"/>
  <c r="I159" i="16"/>
  <c r="I159" i="29" s="1"/>
  <c r="E156" i="16"/>
  <c r="D156" i="16"/>
  <c r="A156" i="17"/>
  <c r="A155" i="28" s="1"/>
  <c r="C152" i="16"/>
  <c r="E152" i="16"/>
  <c r="A152" i="17"/>
  <c r="A151" i="28" s="1"/>
  <c r="E144" i="16"/>
  <c r="C144" i="16"/>
  <c r="I144" i="16"/>
  <c r="G144" i="29" s="1"/>
  <c r="D144" i="16"/>
  <c r="A144" i="17"/>
  <c r="A143" i="28" s="1"/>
  <c r="D140" i="16"/>
  <c r="I140" i="16"/>
  <c r="A136" i="17"/>
  <c r="A135" i="28" s="1"/>
  <c r="C136" i="16"/>
  <c r="D136" i="16"/>
  <c r="I132" i="16"/>
  <c r="H132" i="29" s="1"/>
  <c r="A132" i="17"/>
  <c r="A131" i="28"/>
  <c r="E132" i="16"/>
  <c r="C132" i="16"/>
  <c r="C129" i="16"/>
  <c r="E129" i="16"/>
  <c r="I125" i="16"/>
  <c r="G125" i="29" s="1"/>
  <c r="E125" i="16"/>
  <c r="A117" i="17"/>
  <c r="A116" i="28" s="1"/>
  <c r="D117" i="16"/>
  <c r="E114" i="16"/>
  <c r="I114" i="16"/>
  <c r="H114" i="29" s="1"/>
  <c r="A114" i="17"/>
  <c r="A113" i="28"/>
  <c r="C114" i="16"/>
  <c r="I104" i="16"/>
  <c r="D104" i="16"/>
  <c r="D100" i="16"/>
  <c r="E337" i="16"/>
  <c r="D132" i="16"/>
  <c r="D292" i="16"/>
  <c r="A104" i="17"/>
  <c r="A103" i="28" s="1"/>
  <c r="D327" i="16"/>
  <c r="I136" i="16"/>
  <c r="I136" i="29" s="1"/>
  <c r="E340" i="16"/>
  <c r="D266" i="16"/>
  <c r="E266" i="16"/>
  <c r="I266" i="16"/>
  <c r="A227" i="17"/>
  <c r="A226" i="28"/>
  <c r="C227" i="16"/>
  <c r="E264" i="16"/>
  <c r="A193" i="17"/>
  <c r="A192" i="28"/>
  <c r="E215" i="16"/>
  <c r="A215" i="17"/>
  <c r="A214" i="28" s="1"/>
  <c r="I212" i="16"/>
  <c r="A250" i="17"/>
  <c r="A249" i="28" s="1"/>
  <c r="C264" i="16"/>
  <c r="E208" i="16"/>
  <c r="I239" i="16"/>
  <c r="H239" i="29" s="1"/>
  <c r="I253" i="16"/>
  <c r="A219" i="17"/>
  <c r="A218" i="28" s="1"/>
  <c r="I197" i="16"/>
  <c r="I197" i="29" s="1"/>
  <c r="C261" i="16"/>
  <c r="A161" i="17"/>
  <c r="A160" i="28" s="1"/>
  <c r="A231" i="17"/>
  <c r="A230" i="28" s="1"/>
  <c r="D231" i="16"/>
  <c r="D358" i="16"/>
  <c r="I358" i="16"/>
  <c r="E346" i="16"/>
  <c r="D346" i="16"/>
  <c r="I302" i="16"/>
  <c r="E302" i="16"/>
  <c r="C288" i="16"/>
  <c r="E288" i="16"/>
  <c r="I288" i="16"/>
  <c r="D288" i="16"/>
  <c r="C167" i="16"/>
  <c r="A167" i="17"/>
  <c r="A166" i="28" s="1"/>
  <c r="I161" i="16"/>
  <c r="I161" i="29" s="1"/>
  <c r="D143" i="16"/>
  <c r="I143" i="16"/>
  <c r="E139" i="16"/>
  <c r="C139" i="16"/>
  <c r="A131" i="17"/>
  <c r="A130" i="28" s="1"/>
  <c r="D131" i="16"/>
  <c r="D47" i="16"/>
  <c r="E257" i="16"/>
  <c r="C257" i="16"/>
  <c r="I235" i="16"/>
  <c r="A235" i="17"/>
  <c r="A234" i="28" s="1"/>
  <c r="C235" i="16"/>
  <c r="E235" i="16"/>
  <c r="E223" i="16"/>
  <c r="C223" i="16"/>
  <c r="D223" i="16"/>
  <c r="A223" i="17"/>
  <c r="A222" i="28" s="1"/>
  <c r="D204" i="16"/>
  <c r="C204" i="16"/>
  <c r="I204" i="16"/>
  <c r="G204" i="29" s="1"/>
  <c r="I182" i="16"/>
  <c r="H182" i="29" s="1"/>
  <c r="C182" i="16"/>
  <c r="I178" i="16"/>
  <c r="C178" i="16"/>
  <c r="D170" i="16"/>
  <c r="A170" i="17"/>
  <c r="A169" i="28" s="1"/>
  <c r="E170" i="16"/>
  <c r="D79" i="16"/>
  <c r="I79" i="16"/>
  <c r="G79" i="29" s="1"/>
  <c r="A75" i="17"/>
  <c r="A74" i="28"/>
  <c r="A62" i="17"/>
  <c r="A61" i="28" s="1"/>
  <c r="E62" i="16"/>
  <c r="D50" i="16"/>
  <c r="A50" i="17"/>
  <c r="A49" i="28" s="1"/>
  <c r="D212" i="16"/>
  <c r="D239" i="16"/>
  <c r="I250" i="16"/>
  <c r="D174" i="16"/>
  <c r="E72" i="16"/>
  <c r="E231" i="16"/>
  <c r="E189" i="16"/>
  <c r="E253" i="16"/>
  <c r="A72" i="17"/>
  <c r="A71" i="28" s="1"/>
  <c r="D197" i="16"/>
  <c r="A79" i="17"/>
  <c r="A78" i="28"/>
  <c r="D182" i="16"/>
  <c r="D161" i="16"/>
  <c r="I223" i="16"/>
  <c r="H223" i="29" s="1"/>
  <c r="E82" i="16"/>
  <c r="I82" i="16"/>
  <c r="I82" i="29" s="1"/>
  <c r="D62" i="16"/>
  <c r="E79" i="16"/>
  <c r="I219" i="16"/>
  <c r="A174" i="17"/>
  <c r="A173" i="28"/>
  <c r="A178" i="17"/>
  <c r="A177" i="28" s="1"/>
  <c r="C197" i="16"/>
  <c r="I283" i="16"/>
  <c r="D283" i="16"/>
  <c r="E283" i="16"/>
  <c r="C276" i="16"/>
  <c r="E276" i="16"/>
  <c r="C269" i="16"/>
  <c r="I269" i="16"/>
  <c r="A238" i="17"/>
  <c r="A237" i="28" s="1"/>
  <c r="E238" i="16"/>
  <c r="D207" i="16"/>
  <c r="E207" i="16"/>
  <c r="I207" i="16"/>
  <c r="G207" i="29" s="1"/>
  <c r="D181" i="16"/>
  <c r="E181" i="16"/>
  <c r="A181" i="17"/>
  <c r="A180" i="28" s="1"/>
  <c r="I169" i="16"/>
  <c r="G169" i="29" s="1"/>
  <c r="E169" i="16"/>
  <c r="E109" i="16"/>
  <c r="C105" i="16"/>
  <c r="E105" i="16"/>
  <c r="D105" i="16"/>
  <c r="I91" i="16"/>
  <c r="I91" i="29" s="1"/>
  <c r="D91" i="16"/>
  <c r="A81" i="17"/>
  <c r="A80" i="28" s="1"/>
  <c r="I81" i="16"/>
  <c r="E81" i="16"/>
  <c r="A78" i="17"/>
  <c r="A77" i="28" s="1"/>
  <c r="D78" i="16"/>
  <c r="C65" i="16"/>
  <c r="I65" i="16"/>
  <c r="C57" i="16"/>
  <c r="D57" i="16"/>
  <c r="A57" i="17"/>
  <c r="A56" i="28"/>
  <c r="E57" i="16"/>
  <c r="A53" i="17"/>
  <c r="A52" i="28" s="1"/>
  <c r="E179" i="16"/>
  <c r="I171" i="16"/>
  <c r="H171" i="29" s="1"/>
  <c r="A198" i="17"/>
  <c r="A197" i="28" s="1"/>
  <c r="A1" i="17"/>
  <c r="A1" i="25" s="1"/>
  <c r="E92" i="16"/>
  <c r="E51" i="16"/>
  <c r="I247" i="16"/>
  <c r="I59" i="16"/>
  <c r="G59" i="29" s="1"/>
  <c r="D220" i="16"/>
  <c r="I228" i="16"/>
  <c r="I228" i="29" s="1"/>
  <c r="C333" i="16"/>
  <c r="E333" i="16"/>
  <c r="E326" i="16"/>
  <c r="D326" i="16"/>
  <c r="D322" i="16"/>
  <c r="I322" i="16"/>
  <c r="C322" i="16"/>
  <c r="E322" i="16"/>
  <c r="D318" i="16"/>
  <c r="E318" i="16"/>
  <c r="I318" i="16"/>
  <c r="E299" i="16"/>
  <c r="D299" i="16"/>
  <c r="C295" i="16"/>
  <c r="E295" i="16"/>
  <c r="E282" i="16"/>
  <c r="I282" i="16"/>
  <c r="C282" i="16"/>
  <c r="D275" i="16"/>
  <c r="E275" i="16"/>
  <c r="C275" i="16"/>
  <c r="I271" i="16"/>
  <c r="E271" i="16"/>
  <c r="C263" i="16"/>
  <c r="E263" i="16"/>
  <c r="C260" i="16"/>
  <c r="E260" i="16"/>
  <c r="E256" i="16"/>
  <c r="D256" i="16"/>
  <c r="I230" i="16"/>
  <c r="G230" i="29" s="1"/>
  <c r="C230" i="16"/>
  <c r="C218" i="16"/>
  <c r="I218" i="16"/>
  <c r="H218" i="29" s="1"/>
  <c r="E218" i="16"/>
  <c r="D218" i="16"/>
  <c r="C211" i="16"/>
  <c r="D211" i="16"/>
  <c r="A211" i="17"/>
  <c r="A210" i="28" s="1"/>
  <c r="C192" i="16"/>
  <c r="A192" i="17"/>
  <c r="A191" i="28" s="1"/>
  <c r="I192" i="16"/>
  <c r="I192" i="29" s="1"/>
  <c r="E188" i="16"/>
  <c r="I188" i="16"/>
  <c r="G188" i="29" s="1"/>
  <c r="A188" i="17"/>
  <c r="A187" i="28" s="1"/>
  <c r="C188" i="16"/>
  <c r="A166" i="17"/>
  <c r="A165" i="28" s="1"/>
  <c r="E166" i="16"/>
  <c r="A158" i="17"/>
  <c r="A157" i="28" s="1"/>
  <c r="I158" i="16"/>
  <c r="H158" i="29" s="1"/>
  <c r="C158" i="16"/>
  <c r="C155" i="16"/>
  <c r="I155" i="16"/>
  <c r="I155" i="29" s="1"/>
  <c r="I151" i="16"/>
  <c r="G151" i="29" s="1"/>
  <c r="D151" i="16"/>
  <c r="E151" i="16"/>
  <c r="C151" i="16"/>
  <c r="A151" i="17"/>
  <c r="A150" i="28" s="1"/>
  <c r="E74" i="16"/>
  <c r="C74" i="16"/>
  <c r="D74" i="16"/>
  <c r="I162" i="16"/>
  <c r="I295" i="16"/>
  <c r="E230" i="16"/>
  <c r="C290" i="16"/>
  <c r="I279" i="16"/>
  <c r="C179" i="16"/>
  <c r="D230" i="16"/>
  <c r="E354" i="16"/>
  <c r="I74" i="16"/>
  <c r="I74" i="29" s="1"/>
  <c r="A155" i="17"/>
  <c r="A154" i="28" s="1"/>
  <c r="A218" i="17"/>
  <c r="A217" i="28" s="1"/>
  <c r="C299" i="16"/>
  <c r="D51" i="16"/>
  <c r="D249" i="16"/>
  <c r="D260" i="16"/>
  <c r="I256" i="16"/>
  <c r="I275" i="16"/>
  <c r="D282" i="16"/>
  <c r="E348" i="16"/>
  <c r="E211" i="16"/>
  <c r="A179" i="17"/>
  <c r="A178" i="28" s="1"/>
  <c r="I263" i="16"/>
  <c r="D192" i="16"/>
  <c r="D65" i="16"/>
  <c r="E290" i="16"/>
  <c r="E345" i="16"/>
  <c r="C345" i="16"/>
  <c r="D305" i="16"/>
  <c r="I305" i="16"/>
  <c r="C305" i="16"/>
  <c r="E237" i="16"/>
  <c r="A237" i="17"/>
  <c r="A236" i="28" s="1"/>
  <c r="D237" i="16"/>
  <c r="A233" i="17"/>
  <c r="A232" i="28" s="1"/>
  <c r="E233" i="16"/>
  <c r="C233" i="16"/>
  <c r="D233" i="16"/>
  <c r="I206" i="16"/>
  <c r="G206" i="29" s="1"/>
  <c r="D206" i="16"/>
  <c r="C206" i="16"/>
  <c r="C142" i="16"/>
  <c r="E142" i="16"/>
  <c r="A138" i="17"/>
  <c r="A137" i="28" s="1"/>
  <c r="E138" i="16"/>
  <c r="D138" i="16"/>
  <c r="C138" i="16"/>
  <c r="E134" i="16"/>
  <c r="A134" i="17"/>
  <c r="A133" i="28" s="1"/>
  <c r="I110" i="16"/>
  <c r="G110" i="29" s="1"/>
  <c r="A110" i="17"/>
  <c r="A109" i="28" s="1"/>
  <c r="D107" i="16"/>
  <c r="C107" i="16"/>
  <c r="E107" i="16"/>
  <c r="A107" i="17"/>
  <c r="A106" i="28" s="1"/>
  <c r="A103" i="17"/>
  <c r="A102" i="28" s="1"/>
  <c r="I103" i="16"/>
  <c r="I103" i="29" s="1"/>
  <c r="D99" i="16"/>
  <c r="I99" i="16"/>
  <c r="I99" i="29" s="1"/>
  <c r="D83" i="16"/>
  <c r="I83" i="16"/>
  <c r="I83" i="29" s="1"/>
  <c r="A83" i="17"/>
  <c r="A82" i="28" s="1"/>
  <c r="D77" i="16"/>
  <c r="C77" i="16"/>
  <c r="E77" i="16"/>
  <c r="A68" i="17"/>
  <c r="A67" i="28" s="1"/>
  <c r="I356" i="16"/>
  <c r="D356" i="16"/>
  <c r="E341" i="16"/>
  <c r="I341" i="16"/>
  <c r="D286" i="16"/>
  <c r="I286" i="16"/>
  <c r="E286" i="16"/>
  <c r="I267" i="16"/>
  <c r="D267" i="16"/>
  <c r="C267" i="16"/>
  <c r="A247" i="17"/>
  <c r="A246" i="28" s="1"/>
  <c r="E247" i="16"/>
  <c r="D247" i="16"/>
  <c r="A244" i="17"/>
  <c r="A243" i="28" s="1"/>
  <c r="D244" i="16"/>
  <c r="E244" i="16"/>
  <c r="C244" i="16"/>
  <c r="D228" i="16"/>
  <c r="A228" i="17"/>
  <c r="A227" i="28" s="1"/>
  <c r="E228" i="16"/>
  <c r="D224" i="16"/>
  <c r="I224" i="16"/>
  <c r="E220" i="16"/>
  <c r="I220" i="16"/>
  <c r="A209" i="17"/>
  <c r="A208" i="28" s="1"/>
  <c r="C209" i="16"/>
  <c r="E209" i="16"/>
  <c r="E198" i="16"/>
  <c r="D198" i="16"/>
  <c r="C186" i="16"/>
  <c r="A183" i="17"/>
  <c r="A182" i="28" s="1"/>
  <c r="C183" i="16"/>
  <c r="D183" i="16"/>
  <c r="D175" i="16"/>
  <c r="A175" i="17"/>
  <c r="A174" i="28" s="1"/>
  <c r="I175" i="16"/>
  <c r="H175" i="29" s="1"/>
  <c r="E175" i="16"/>
  <c r="E171" i="16"/>
  <c r="C171" i="16"/>
  <c r="D92" i="16"/>
  <c r="I92" i="16"/>
  <c r="H92" i="29" s="1"/>
  <c r="I70" i="16"/>
  <c r="H70" i="29" s="1"/>
  <c r="A70" i="17"/>
  <c r="A69" i="28" s="1"/>
  <c r="E59" i="16"/>
  <c r="D59" i="16"/>
  <c r="C279" i="16"/>
  <c r="C59" i="16"/>
  <c r="C162" i="16"/>
  <c r="A230" i="17"/>
  <c r="A229" i="28"/>
  <c r="E224" i="16"/>
  <c r="E65" i="16"/>
  <c r="D70" i="16"/>
  <c r="D348" i="16"/>
  <c r="D171" i="16"/>
  <c r="I183" i="16"/>
  <c r="G183" i="29" s="1"/>
  <c r="I211" i="16"/>
  <c r="H211" i="29" s="1"/>
  <c r="D333" i="16"/>
  <c r="I333" i="16"/>
  <c r="D209" i="16"/>
  <c r="I244" i="16"/>
  <c r="I244" i="29" s="1"/>
  <c r="C318" i="16"/>
  <c r="D188" i="16"/>
  <c r="I359" i="16"/>
  <c r="E359" i="16"/>
  <c r="E315" i="16"/>
  <c r="D315" i="16"/>
  <c r="C315" i="16"/>
  <c r="C307" i="16"/>
  <c r="E307" i="16"/>
  <c r="D148" i="16"/>
  <c r="E148" i="16"/>
  <c r="I148" i="16"/>
  <c r="H148" i="29" s="1"/>
  <c r="D129" i="16"/>
  <c r="I129" i="16"/>
  <c r="A129" i="17"/>
  <c r="A128" i="28" s="1"/>
  <c r="C125" i="16"/>
  <c r="D125" i="16"/>
  <c r="D121" i="16"/>
  <c r="A121" i="17"/>
  <c r="A120" i="28"/>
  <c r="E121" i="16"/>
  <c r="C117" i="16"/>
  <c r="E117" i="16"/>
  <c r="I117" i="16"/>
  <c r="H117" i="29" s="1"/>
  <c r="D97" i="16"/>
  <c r="C97" i="16"/>
  <c r="I97" i="16"/>
  <c r="I97" i="29" s="1"/>
  <c r="I88" i="16"/>
  <c r="G88" i="29" s="1"/>
  <c r="C88" i="16"/>
  <c r="E88" i="16"/>
  <c r="D88" i="16"/>
  <c r="E319" i="16"/>
  <c r="D319" i="16"/>
  <c r="D284" i="16"/>
  <c r="C284" i="16"/>
  <c r="D265" i="16"/>
  <c r="E265" i="16"/>
  <c r="C184" i="16"/>
  <c r="A184" i="17"/>
  <c r="A183" i="28" s="1"/>
  <c r="I184" i="16"/>
  <c r="G184" i="29" s="1"/>
  <c r="A176" i="17"/>
  <c r="A175" i="28" s="1"/>
  <c r="C176" i="16"/>
  <c r="A172" i="17"/>
  <c r="A171" i="28" s="1"/>
  <c r="E172" i="16"/>
  <c r="C135" i="16"/>
  <c r="E135" i="16"/>
  <c r="C131" i="16"/>
  <c r="E131" i="16"/>
  <c r="A120" i="17"/>
  <c r="A119" i="28" s="1"/>
  <c r="D120" i="16"/>
  <c r="C108" i="16"/>
  <c r="D108" i="16"/>
  <c r="A108" i="17"/>
  <c r="A107" i="28" s="1"/>
  <c r="I108" i="16"/>
  <c r="G108" i="29" s="1"/>
  <c r="I100" i="16"/>
  <c r="I100" i="29" s="1"/>
  <c r="D289" i="16"/>
  <c r="E289" i="16"/>
  <c r="C243" i="16"/>
  <c r="I243" i="16"/>
  <c r="H243" i="29" s="1"/>
  <c r="A225" i="17"/>
  <c r="A224" i="28" s="1"/>
  <c r="I225" i="16"/>
  <c r="I225" i="29" s="1"/>
  <c r="D221" i="16"/>
  <c r="I221" i="16"/>
  <c r="H221" i="29" s="1"/>
  <c r="I203" i="16"/>
  <c r="G203" i="29" s="1"/>
  <c r="A203" i="17"/>
  <c r="A202" i="28" s="1"/>
  <c r="E203" i="16"/>
  <c r="A189" i="17"/>
  <c r="A188" i="28" s="1"/>
  <c r="C189" i="16"/>
  <c r="I189" i="16"/>
  <c r="I189" i="29" s="1"/>
  <c r="I164" i="16"/>
  <c r="I164" i="29" s="1"/>
  <c r="E164" i="16"/>
  <c r="C156" i="16"/>
  <c r="I156" i="16"/>
  <c r="I156" i="29" s="1"/>
  <c r="I152" i="16"/>
  <c r="H152" i="29" s="1"/>
  <c r="D152" i="16"/>
  <c r="A112" i="17"/>
  <c r="A111" i="28" s="1"/>
  <c r="D112" i="16"/>
  <c r="C112" i="16"/>
  <c r="E37" i="16"/>
  <c r="I33" i="16"/>
  <c r="H33" i="29" s="1"/>
  <c r="E25" i="16"/>
  <c r="A22" i="17"/>
  <c r="A21" i="28" s="1"/>
  <c r="D32" i="16"/>
  <c r="I19" i="16"/>
  <c r="I19" i="29" s="1"/>
  <c r="I18" i="16"/>
  <c r="I18" i="29" s="1"/>
  <c r="I25" i="16"/>
  <c r="H25" i="29" s="1"/>
  <c r="I29" i="16"/>
  <c r="I29" i="29" s="1"/>
  <c r="A37" i="17"/>
  <c r="A36" i="28" s="1"/>
  <c r="I20" i="16"/>
  <c r="I20" i="29" s="1"/>
  <c r="C22" i="16"/>
  <c r="A29" i="17"/>
  <c r="A28" i="28" s="1"/>
  <c r="D23" i="16"/>
  <c r="D4" i="16"/>
  <c r="C3" i="16"/>
  <c r="C37" i="16"/>
  <c r="D22" i="16"/>
  <c r="D25" i="16"/>
  <c r="C13" i="16"/>
  <c r="D19" i="16"/>
  <c r="A13" i="17"/>
  <c r="A12" i="28" s="1"/>
  <c r="I3" i="16"/>
  <c r="D3" i="16"/>
  <c r="A3" i="17"/>
  <c r="A3" i="25" s="1"/>
  <c r="I4" i="16"/>
  <c r="C25" i="16"/>
  <c r="D15" i="16"/>
  <c r="E13" i="16"/>
  <c r="A12" i="17"/>
  <c r="A12" i="25" s="1"/>
  <c r="A7" i="17"/>
  <c r="A7" i="25"/>
  <c r="I7" i="16"/>
  <c r="G7" i="29" s="1"/>
  <c r="C7" i="16"/>
  <c r="A61" i="17"/>
  <c r="A60" i="28"/>
  <c r="D72" i="16"/>
  <c r="A66" i="17"/>
  <c r="A65" i="28" s="1"/>
  <c r="I75" i="16"/>
  <c r="I75" i="29" s="1"/>
  <c r="I56" i="16"/>
  <c r="G56" i="29" s="1"/>
  <c r="C75" i="16"/>
  <c r="C14" i="16"/>
  <c r="D63" i="16"/>
  <c r="C56" i="16"/>
  <c r="D69" i="16"/>
  <c r="A11" i="17"/>
  <c r="A11" i="25" s="1"/>
  <c r="E42" i="16"/>
  <c r="C42" i="16"/>
  <c r="I42" i="16"/>
  <c r="G42" i="29" s="1"/>
  <c r="D68" i="16"/>
  <c r="A51" i="17"/>
  <c r="A50" i="28" s="1"/>
  <c r="D61" i="16"/>
  <c r="D66" i="16"/>
  <c r="A24" i="17"/>
  <c r="A23" i="28" s="1"/>
  <c r="I69" i="16"/>
  <c r="I69" i="29" s="1"/>
  <c r="C68" i="16"/>
  <c r="D48" i="16"/>
  <c r="E68" i="16"/>
  <c r="E39" i="16"/>
  <c r="I14" i="16"/>
  <c r="G14" i="29" s="1"/>
  <c r="E14" i="16"/>
  <c r="C51" i="16"/>
  <c r="A63" i="17"/>
  <c r="A62" i="28" s="1"/>
  <c r="I71" i="16"/>
  <c r="H71" i="29" s="1"/>
  <c r="A56" i="17"/>
  <c r="A55" i="28" s="1"/>
  <c r="I73" i="16"/>
  <c r="E69" i="16"/>
  <c r="C12" i="16"/>
  <c r="E58" i="16"/>
  <c r="C60" i="16"/>
  <c r="I50" i="16"/>
  <c r="G50" i="29" s="1"/>
  <c r="C47" i="16"/>
  <c r="C49" i="16"/>
  <c r="E66" i="16"/>
  <c r="D58" i="16"/>
  <c r="C39" i="16"/>
  <c r="I63" i="16"/>
  <c r="H63" i="29" s="1"/>
  <c r="C21" i="16"/>
  <c r="C46" i="16"/>
  <c r="D46" i="16"/>
  <c r="E35" i="16"/>
  <c r="I35" i="16"/>
  <c r="I35" i="29" s="1"/>
  <c r="D35" i="16"/>
  <c r="A35" i="17"/>
  <c r="A34" i="28" s="1"/>
  <c r="I34" i="16"/>
  <c r="G34" i="29" s="1"/>
  <c r="A31" i="17"/>
  <c r="A30" i="28" s="1"/>
  <c r="I31" i="16"/>
  <c r="I31" i="29" s="1"/>
  <c r="D31" i="16"/>
  <c r="C31" i="16"/>
  <c r="A30" i="17"/>
  <c r="A29" i="28" s="1"/>
  <c r="C30" i="16"/>
  <c r="E27" i="16"/>
  <c r="C27" i="16"/>
  <c r="A27" i="17"/>
  <c r="A26" i="28" s="1"/>
  <c r="D26" i="16"/>
  <c r="A26" i="17"/>
  <c r="A25" i="28" s="1"/>
  <c r="E26" i="16"/>
  <c r="I26" i="16"/>
  <c r="H26" i="29" s="1"/>
  <c r="C24" i="16"/>
  <c r="A21" i="17"/>
  <c r="A20" i="28" s="1"/>
  <c r="A18" i="17"/>
  <c r="A17" i="28" s="1"/>
  <c r="D17" i="16"/>
  <c r="D6" i="16"/>
  <c r="E10" i="16"/>
  <c r="C55" i="16"/>
  <c r="I55" i="16"/>
  <c r="H55" i="29" s="1"/>
  <c r="D55" i="16"/>
  <c r="D45" i="16"/>
  <c r="I53" i="16"/>
  <c r="H53" i="29" s="1"/>
  <c r="E7" i="16"/>
  <c r="C28" i="16"/>
  <c r="C33" i="16"/>
  <c r="D33" i="16"/>
  <c r="E55" i="16"/>
  <c r="C53" i="16"/>
  <c r="C54" i="16"/>
  <c r="I12" i="16"/>
  <c r="I12" i="29" s="1"/>
  <c r="I24" i="16"/>
  <c r="H24" i="29" s="1"/>
  <c r="E40" i="16"/>
  <c r="D27" i="16"/>
  <c r="I43" i="16"/>
  <c r="I43" i="29" s="1"/>
  <c r="I40" i="16"/>
  <c r="G40" i="29" s="1"/>
  <c r="A49" i="17"/>
  <c r="A48" i="28" s="1"/>
  <c r="D49" i="16"/>
  <c r="E18" i="16"/>
  <c r="E21" i="16"/>
  <c r="E33" i="16"/>
  <c r="I46" i="16"/>
  <c r="H46" i="29" s="1"/>
  <c r="C52" i="16"/>
  <c r="I52" i="16"/>
  <c r="H52" i="29" s="1"/>
  <c r="D52" i="16"/>
  <c r="A46" i="17"/>
  <c r="A45" i="28" s="1"/>
  <c r="C45" i="16"/>
  <c r="I49" i="16"/>
  <c r="G49" i="29" s="1"/>
  <c r="D24" i="16"/>
  <c r="E28" i="16"/>
  <c r="D12" i="16"/>
  <c r="E30" i="16"/>
  <c r="D18" i="16"/>
  <c r="D21" i="16"/>
  <c r="D30" i="16"/>
  <c r="I15" i="16"/>
  <c r="C48" i="16"/>
  <c r="E48" i="16"/>
  <c r="I48" i="16"/>
  <c r="I48" i="29" s="1"/>
  <c r="A47" i="17"/>
  <c r="A46" i="28" s="1"/>
  <c r="I45" i="16"/>
  <c r="A45" i="17"/>
  <c r="A44" i="28"/>
  <c r="D42" i="16"/>
  <c r="A39" i="17"/>
  <c r="A38" i="28" s="1"/>
  <c r="D39" i="16"/>
  <c r="C36" i="16"/>
  <c r="D36" i="16"/>
  <c r="A36" i="17"/>
  <c r="A35" i="28" s="1"/>
  <c r="E36" i="16"/>
  <c r="E32" i="16"/>
  <c r="A32" i="17"/>
  <c r="A31" i="28" s="1"/>
  <c r="E29" i="16"/>
  <c r="C29" i="16"/>
  <c r="E23" i="16"/>
  <c r="I23" i="16"/>
  <c r="I23" i="29" s="1"/>
  <c r="A23" i="17"/>
  <c r="A22" i="28" s="1"/>
  <c r="D20" i="16"/>
  <c r="C20" i="16"/>
  <c r="E20" i="16"/>
  <c r="I17" i="16"/>
  <c r="I17" i="29" s="1"/>
  <c r="E17" i="16"/>
  <c r="C17" i="16"/>
  <c r="C16" i="16"/>
  <c r="D16" i="16"/>
  <c r="A16" i="17"/>
  <c r="A15" i="28" s="1"/>
  <c r="I16" i="16"/>
  <c r="H16" i="29" s="1"/>
  <c r="D13" i="16"/>
  <c r="A10" i="28"/>
  <c r="C10" i="16"/>
  <c r="I6" i="16"/>
  <c r="G6" i="29" s="1"/>
  <c r="A6" i="17"/>
  <c r="A6" i="25" s="1"/>
  <c r="E6" i="16"/>
  <c r="A4" i="17"/>
  <c r="A4" i="25" s="1"/>
  <c r="D2" i="16"/>
  <c r="C4" i="16"/>
  <c r="I9" i="16"/>
  <c r="A9" i="17"/>
  <c r="A8" i="28" s="1"/>
  <c r="C9" i="16"/>
  <c r="D9" i="16"/>
  <c r="I11" i="16"/>
  <c r="I11" i="29" s="1"/>
  <c r="D10" i="16"/>
  <c r="A10" i="17"/>
  <c r="A9" i="28" s="1"/>
  <c r="E15" i="16"/>
  <c r="A15" i="17"/>
  <c r="A14" i="28" s="1"/>
  <c r="D11" i="16"/>
  <c r="E11" i="16"/>
  <c r="C8" i="16"/>
  <c r="E8" i="16"/>
  <c r="D5" i="16"/>
  <c r="A5" i="17"/>
  <c r="A4" i="28" s="1"/>
  <c r="C5" i="16"/>
  <c r="I5" i="16"/>
  <c r="H5" i="29" s="1"/>
  <c r="I2" i="16"/>
  <c r="H2" i="29" s="1"/>
  <c r="E2" i="16"/>
  <c r="C2" i="16"/>
  <c r="A2" i="28"/>
  <c r="G74" i="29"/>
  <c r="H13" i="29"/>
  <c r="I13" i="29"/>
  <c r="G13" i="29"/>
  <c r="H226" i="29"/>
  <c r="H3" i="29"/>
  <c r="A6" i="28"/>
  <c r="I34" i="29"/>
  <c r="D49" i="29"/>
  <c r="D46" i="29"/>
  <c r="D48" i="29"/>
  <c r="D47" i="29"/>
  <c r="D44" i="29"/>
  <c r="D45" i="29"/>
  <c r="D43" i="29"/>
  <c r="D42" i="29"/>
  <c r="D37" i="29"/>
  <c r="D39" i="29"/>
  <c r="D41" i="29"/>
  <c r="D32" i="29"/>
  <c r="D40" i="29"/>
  <c r="D38" i="29"/>
  <c r="D36" i="29"/>
  <c r="D35" i="29"/>
  <c r="D34" i="29"/>
  <c r="D33" i="29"/>
  <c r="D30" i="29"/>
  <c r="D29" i="29"/>
  <c r="D22" i="29"/>
  <c r="D28" i="29"/>
  <c r="D27" i="29"/>
  <c r="D25" i="29"/>
  <c r="D21" i="29"/>
  <c r="A21" i="27"/>
  <c r="D20" i="29"/>
  <c r="A20" i="27"/>
  <c r="D19" i="29"/>
  <c r="A19" i="27"/>
  <c r="D18" i="29"/>
  <c r="A18" i="27"/>
  <c r="A3" i="28"/>
  <c r="A5" i="25"/>
  <c r="D10" i="29"/>
  <c r="A10" i="27"/>
  <c r="D8" i="29"/>
  <c r="A8" i="27"/>
  <c r="D3" i="29"/>
  <c r="A3" i="27"/>
  <c r="D13" i="29"/>
  <c r="A13" i="27"/>
  <c r="D4" i="29"/>
  <c r="A4" i="27"/>
  <c r="D7" i="29"/>
  <c r="A7" i="27"/>
  <c r="D14" i="29"/>
  <c r="A14" i="27"/>
  <c r="D15" i="29"/>
  <c r="A15" i="27"/>
  <c r="D26" i="29"/>
  <c r="D31" i="29"/>
  <c r="D23" i="29"/>
  <c r="D24" i="29"/>
  <c r="D12" i="29"/>
  <c r="A12" i="27"/>
  <c r="D17" i="29"/>
  <c r="A17" i="27"/>
  <c r="D16" i="29"/>
  <c r="A16" i="27"/>
  <c r="D11" i="29"/>
  <c r="A11" i="27"/>
  <c r="D9" i="29"/>
  <c r="A9" i="27"/>
  <c r="D6" i="29"/>
  <c r="A6" i="27"/>
  <c r="D5" i="29"/>
  <c r="A5" i="27"/>
  <c r="G222" i="29"/>
  <c r="H18" i="29"/>
  <c r="I122" i="29"/>
  <c r="H128" i="29"/>
  <c r="H98" i="29"/>
  <c r="I212" i="29"/>
  <c r="G22" i="29"/>
  <c r="H180" i="29"/>
  <c r="G64" i="29"/>
  <c r="I41" i="29"/>
  <c r="H82" i="29"/>
  <c r="G156" i="29"/>
  <c r="I249" i="29"/>
  <c r="H72" i="29"/>
  <c r="G72" i="29"/>
  <c r="G134" i="29"/>
  <c r="G141" i="29"/>
  <c r="H146" i="29"/>
  <c r="I39" i="29"/>
  <c r="H20" i="29"/>
  <c r="G152" i="29"/>
  <c r="D34" i="16"/>
  <c r="H110" i="29" l="1"/>
  <c r="I59" i="29"/>
  <c r="A13" i="25"/>
  <c r="A10" i="25"/>
  <c r="I135" i="29"/>
  <c r="I42" i="29"/>
  <c r="A5" i="28"/>
  <c r="I46" i="29"/>
  <c r="I171" i="29"/>
  <c r="I152" i="29"/>
  <c r="I243" i="29"/>
  <c r="H192" i="29"/>
  <c r="G71" i="29"/>
  <c r="G167" i="29"/>
  <c r="A9" i="25"/>
  <c r="I30" i="29"/>
  <c r="H213" i="29"/>
  <c r="I145" i="29"/>
  <c r="I213" i="29"/>
  <c r="G131" i="29"/>
  <c r="H59" i="29"/>
  <c r="I230" i="29"/>
  <c r="G155" i="29"/>
  <c r="H42" i="29"/>
  <c r="A11" i="28"/>
  <c r="H34" i="29"/>
  <c r="H167" i="29"/>
  <c r="A1" i="28"/>
  <c r="I28" i="29"/>
  <c r="I84" i="29"/>
  <c r="G240" i="29"/>
  <c r="I181" i="29"/>
  <c r="G36" i="29"/>
  <c r="I239" i="29"/>
  <c r="I227" i="29"/>
  <c r="I226" i="29"/>
  <c r="G83" i="29"/>
  <c r="G221" i="29"/>
  <c r="H199" i="29"/>
  <c r="H32" i="29"/>
  <c r="H133" i="29"/>
  <c r="H149" i="29"/>
  <c r="I149" i="29"/>
  <c r="I188" i="29"/>
  <c r="I121" i="29"/>
  <c r="H102" i="29"/>
  <c r="G211" i="29"/>
  <c r="H230" i="29"/>
  <c r="H83" i="29"/>
  <c r="I221" i="29"/>
  <c r="G237" i="29"/>
  <c r="G239" i="29"/>
  <c r="H195" i="29"/>
  <c r="I151" i="29"/>
  <c r="G243" i="29"/>
  <c r="G20" i="29"/>
  <c r="I110" i="29"/>
  <c r="I58" i="29"/>
  <c r="G194" i="29"/>
  <c r="H190" i="29"/>
  <c r="I63" i="29"/>
  <c r="H184" i="29"/>
  <c r="H141" i="29"/>
  <c r="G164" i="29"/>
  <c r="H108" i="29"/>
  <c r="I108" i="29"/>
  <c r="G112" i="29"/>
  <c r="G236" i="29"/>
  <c r="G142" i="29"/>
  <c r="H30" i="29"/>
  <c r="G24" i="29"/>
  <c r="G32" i="29"/>
  <c r="G53" i="29"/>
  <c r="H191" i="29"/>
  <c r="G242" i="29"/>
  <c r="I208" i="29"/>
  <c r="G122" i="29"/>
  <c r="H170" i="29"/>
  <c r="H121" i="29"/>
  <c r="H68" i="29"/>
  <c r="I118" i="29"/>
  <c r="G39" i="29"/>
  <c r="H194" i="29"/>
  <c r="I142" i="29"/>
  <c r="I170" i="29"/>
  <c r="I238" i="29"/>
  <c r="H242" i="29"/>
  <c r="H118" i="29"/>
  <c r="G55" i="29"/>
  <c r="I131" i="29"/>
  <c r="H36" i="29"/>
  <c r="I182" i="29"/>
  <c r="I68" i="29"/>
  <c r="H103" i="29"/>
  <c r="G19" i="29"/>
  <c r="G181" i="29"/>
  <c r="I134" i="29"/>
  <c r="G171" i="29"/>
  <c r="I116" i="29"/>
  <c r="G43" i="29"/>
  <c r="H145" i="29"/>
  <c r="H248" i="29"/>
  <c r="G238" i="29"/>
  <c r="G26" i="29"/>
  <c r="I236" i="29"/>
  <c r="I184" i="29"/>
  <c r="H74" i="29"/>
  <c r="G102" i="29"/>
  <c r="H88" i="29"/>
  <c r="G28" i="29"/>
  <c r="H208" i="29"/>
  <c r="I157" i="29"/>
  <c r="I237" i="29"/>
  <c r="H157" i="29"/>
  <c r="I240" i="29"/>
  <c r="G57" i="29"/>
  <c r="H228" i="29"/>
  <c r="H10" i="29"/>
  <c r="H58" i="29"/>
  <c r="I10" i="29"/>
  <c r="G217" i="29"/>
  <c r="G192" i="29"/>
  <c r="H49" i="29"/>
  <c r="H75" i="29"/>
  <c r="G195" i="29"/>
  <c r="I207" i="29"/>
  <c r="G12" i="29"/>
  <c r="I107" i="29"/>
  <c r="H156" i="29"/>
  <c r="I53" i="29"/>
  <c r="H38" i="29"/>
  <c r="H159" i="29"/>
  <c r="G185" i="29"/>
  <c r="I128" i="29"/>
  <c r="I132" i="29"/>
  <c r="I217" i="29"/>
  <c r="G245" i="29"/>
  <c r="I6" i="29"/>
  <c r="I89" i="29"/>
  <c r="G18" i="29"/>
  <c r="G84" i="29"/>
  <c r="G89" i="29"/>
  <c r="G159" i="29"/>
  <c r="G182" i="29"/>
  <c r="I57" i="29"/>
  <c r="I22" i="29"/>
  <c r="G11" i="29"/>
  <c r="H6" i="29"/>
  <c r="H23" i="29"/>
  <c r="I49" i="29"/>
  <c r="I26" i="29"/>
  <c r="G37" i="29"/>
  <c r="H185" i="29"/>
  <c r="H200" i="29"/>
  <c r="G199" i="29"/>
  <c r="I47" i="29"/>
  <c r="I166" i="29"/>
  <c r="H99" i="29"/>
  <c r="H48" i="29"/>
  <c r="G227" i="29"/>
  <c r="G218" i="29"/>
  <c r="I56" i="29"/>
  <c r="H37" i="29"/>
  <c r="G99" i="29"/>
  <c r="G225" i="29"/>
  <c r="H19" i="29"/>
  <c r="H203" i="29"/>
  <c r="H207" i="29"/>
  <c r="H12" i="29"/>
  <c r="H47" i="29"/>
  <c r="H107" i="29"/>
  <c r="G166" i="29"/>
  <c r="I183" i="29"/>
  <c r="I16" i="29"/>
  <c r="G82" i="29"/>
  <c r="H233" i="29"/>
  <c r="I203" i="29"/>
  <c r="H124" i="29"/>
  <c r="I200" i="29"/>
  <c r="I71" i="29"/>
  <c r="H245" i="29"/>
  <c r="I24" i="29"/>
  <c r="H212" i="29"/>
  <c r="G212" i="29"/>
  <c r="G160" i="29"/>
  <c r="H160" i="29"/>
  <c r="G148" i="29"/>
  <c r="I70" i="29"/>
  <c r="H244" i="29"/>
  <c r="I1" i="18"/>
  <c r="G69" i="29"/>
  <c r="H135" i="29"/>
  <c r="G172" i="29"/>
  <c r="G116" i="29"/>
  <c r="I133" i="29"/>
  <c r="I95" i="29"/>
  <c r="I176" i="29"/>
  <c r="H41" i="29"/>
  <c r="G35" i="29"/>
  <c r="H189" i="29"/>
  <c r="G189" i="29"/>
  <c r="I92" i="29"/>
  <c r="G92" i="29"/>
  <c r="H197" i="29"/>
  <c r="G197" i="29"/>
  <c r="G136" i="29"/>
  <c r="H136" i="29"/>
  <c r="G104" i="29"/>
  <c r="I104" i="29"/>
  <c r="I114" i="29"/>
  <c r="G114" i="29"/>
  <c r="G229" i="29"/>
  <c r="I229" i="29"/>
  <c r="H179" i="29"/>
  <c r="G179" i="29"/>
  <c r="H80" i="29"/>
  <c r="G80" i="29"/>
  <c r="G98" i="29"/>
  <c r="I98" i="29"/>
  <c r="H138" i="29"/>
  <c r="I138" i="29"/>
  <c r="G21" i="29"/>
  <c r="H21" i="29"/>
  <c r="I148" i="29"/>
  <c r="G70" i="29"/>
  <c r="G244" i="29"/>
  <c r="G103" i="29"/>
  <c r="H225" i="29"/>
  <c r="G132" i="29"/>
  <c r="H155" i="29"/>
  <c r="G96" i="29"/>
  <c r="I160" i="29"/>
  <c r="H151" i="29"/>
  <c r="H183" i="29"/>
  <c r="H69" i="29"/>
  <c r="G190" i="29"/>
  <c r="H50" i="29"/>
  <c r="I233" i="29"/>
  <c r="I80" i="29"/>
  <c r="H104" i="29"/>
  <c r="G191" i="29"/>
  <c r="I33" i="29"/>
  <c r="G33" i="29"/>
  <c r="H91" i="29"/>
  <c r="G91" i="29"/>
  <c r="G219" i="29"/>
  <c r="I219" i="29"/>
  <c r="H219" i="29"/>
  <c r="G111" i="29"/>
  <c r="H111" i="29"/>
  <c r="I180" i="29"/>
  <c r="G180" i="29"/>
  <c r="H27" i="29"/>
  <c r="I27" i="29"/>
  <c r="G97" i="29"/>
  <c r="H97" i="29"/>
  <c r="H123" i="29"/>
  <c r="I123" i="29"/>
  <c r="G173" i="29"/>
  <c r="I173" i="29"/>
  <c r="I93" i="29"/>
  <c r="H93" i="29"/>
  <c r="G209" i="29"/>
  <c r="I209" i="29"/>
  <c r="H209" i="29"/>
  <c r="H193" i="29"/>
  <c r="I193" i="29"/>
  <c r="I211" i="29"/>
  <c r="G1" i="18"/>
  <c r="G249" i="29"/>
  <c r="I96" i="29"/>
  <c r="G95" i="29"/>
  <c r="H176" i="29"/>
  <c r="G9" i="29"/>
  <c r="H9" i="29"/>
  <c r="H56" i="29"/>
  <c r="I25" i="29"/>
  <c r="I220" i="29"/>
  <c r="G220" i="29"/>
  <c r="H220" i="29"/>
  <c r="G158" i="29"/>
  <c r="I158" i="29"/>
  <c r="G161" i="29"/>
  <c r="H161" i="29"/>
  <c r="I222" i="29"/>
  <c r="H222" i="29"/>
  <c r="H234" i="29"/>
  <c r="I234" i="29"/>
  <c r="H173" i="29"/>
  <c r="I126" i="29"/>
  <c r="H126" i="29"/>
  <c r="G62" i="29"/>
  <c r="I62" i="29"/>
  <c r="H178" i="29"/>
  <c r="I178" i="29"/>
  <c r="G153" i="29"/>
  <c r="H153" i="29"/>
  <c r="I153" i="29"/>
  <c r="G139" i="29"/>
  <c r="H172" i="29"/>
  <c r="G63" i="29"/>
  <c r="H139" i="29"/>
  <c r="H31" i="29"/>
  <c r="G31" i="29"/>
  <c r="H4" i="29"/>
  <c r="I4" i="29"/>
  <c r="H204" i="29"/>
  <c r="I204" i="29"/>
  <c r="I78" i="29"/>
  <c r="H78" i="29"/>
  <c r="G78" i="29"/>
  <c r="G90" i="29"/>
  <c r="H90" i="29"/>
  <c r="I90" i="29"/>
  <c r="I231" i="29"/>
  <c r="G231" i="29"/>
  <c r="H231" i="29"/>
  <c r="G44" i="29"/>
  <c r="H44" i="29"/>
  <c r="I44" i="29"/>
  <c r="I73" i="29"/>
  <c r="H73" i="29"/>
  <c r="G73" i="29"/>
  <c r="G140" i="29"/>
  <c r="I140" i="29"/>
  <c r="H140" i="29"/>
  <c r="G87" i="29"/>
  <c r="I87" i="29"/>
  <c r="H87" i="29"/>
  <c r="G175" i="29"/>
  <c r="I175" i="29"/>
  <c r="G65" i="29"/>
  <c r="I65" i="29"/>
  <c r="H65" i="29"/>
  <c r="I169" i="29"/>
  <c r="H169" i="29"/>
  <c r="I125" i="29"/>
  <c r="H125" i="29"/>
  <c r="I101" i="29"/>
  <c r="H101" i="29"/>
  <c r="G101" i="29"/>
  <c r="I105" i="29"/>
  <c r="H105" i="29"/>
  <c r="H174" i="29"/>
  <c r="G174" i="29"/>
  <c r="H67" i="29"/>
  <c r="I67" i="29"/>
  <c r="G67" i="29"/>
  <c r="I127" i="29"/>
  <c r="H127" i="29"/>
  <c r="I210" i="29"/>
  <c r="H210" i="29"/>
  <c r="G187" i="29"/>
  <c r="I187" i="29"/>
  <c r="G150" i="29"/>
  <c r="I150" i="29"/>
  <c r="H150" i="29"/>
  <c r="H66" i="29"/>
  <c r="G66" i="29"/>
  <c r="I61" i="29"/>
  <c r="H61" i="29"/>
  <c r="G51" i="29"/>
  <c r="H51" i="29"/>
  <c r="I51" i="29"/>
  <c r="I223" i="29"/>
  <c r="G223" i="29"/>
  <c r="I144" i="29"/>
  <c r="H144" i="29"/>
  <c r="G77" i="29"/>
  <c r="H77" i="29"/>
  <c r="H168" i="29"/>
  <c r="I168" i="29"/>
  <c r="G1" i="29"/>
  <c r="H1" i="29"/>
  <c r="I1" i="29"/>
  <c r="G17" i="29"/>
  <c r="H17" i="29"/>
  <c r="I77" i="29"/>
  <c r="I3" i="29"/>
  <c r="G3" i="29"/>
  <c r="H29" i="29"/>
  <c r="G29" i="29"/>
  <c r="G117" i="29"/>
  <c r="I117" i="29"/>
  <c r="H162" i="29"/>
  <c r="I162" i="29"/>
  <c r="G162" i="29"/>
  <c r="G235" i="29"/>
  <c r="H235" i="29"/>
  <c r="I235" i="29"/>
  <c r="G137" i="29"/>
  <c r="H137" i="29"/>
  <c r="I137" i="29"/>
  <c r="H201" i="29"/>
  <c r="I201" i="29"/>
  <c r="G201" i="29"/>
  <c r="I64" i="29"/>
  <c r="H64" i="29"/>
  <c r="H198" i="29"/>
  <c r="I198" i="29"/>
  <c r="G198" i="29"/>
  <c r="G146" i="29"/>
  <c r="I146" i="29"/>
  <c r="I112" i="29"/>
  <c r="H43" i="29"/>
  <c r="G16" i="29"/>
  <c r="G46" i="29"/>
  <c r="I88" i="29"/>
  <c r="H11" i="29"/>
  <c r="H164" i="29"/>
  <c r="I55" i="29"/>
  <c r="H35" i="29"/>
  <c r="H188" i="29"/>
  <c r="I218" i="29"/>
  <c r="H202" i="29"/>
  <c r="G202" i="29"/>
  <c r="G177" i="29"/>
  <c r="H177" i="29"/>
  <c r="G120" i="29"/>
  <c r="I120" i="29"/>
  <c r="G214" i="29"/>
  <c r="H214" i="29"/>
  <c r="A154" i="17"/>
  <c r="A153" i="28" s="1"/>
  <c r="I154" i="16"/>
  <c r="E154" i="16"/>
  <c r="D154" i="16"/>
  <c r="C147" i="16"/>
  <c r="D147" i="16"/>
  <c r="I147" i="16"/>
  <c r="E147" i="16"/>
  <c r="I214" i="29"/>
  <c r="G15" i="29"/>
  <c r="I15" i="29"/>
  <c r="I40" i="29"/>
  <c r="H40" i="29"/>
  <c r="G224" i="29"/>
  <c r="I224" i="29"/>
  <c r="H224" i="29"/>
  <c r="I81" i="29"/>
  <c r="H81" i="29"/>
  <c r="I250" i="29"/>
  <c r="G250" i="29"/>
  <c r="G205" i="29"/>
  <c r="I205" i="29"/>
  <c r="H216" i="29"/>
  <c r="I216" i="29"/>
  <c r="H215" i="29"/>
  <c r="G215" i="29"/>
  <c r="I215" i="29"/>
  <c r="I115" i="29"/>
  <c r="G115" i="29"/>
  <c r="E350" i="16"/>
  <c r="I350" i="16"/>
  <c r="D350" i="16"/>
  <c r="I339" i="16"/>
  <c r="C339" i="16"/>
  <c r="E339" i="16"/>
  <c r="D339" i="16"/>
  <c r="E336" i="16"/>
  <c r="D336" i="16"/>
  <c r="I336" i="16"/>
  <c r="C301" i="16"/>
  <c r="D301" i="16"/>
  <c r="E301" i="16"/>
  <c r="I301" i="16"/>
  <c r="C274" i="16"/>
  <c r="I274" i="16"/>
  <c r="C241" i="16"/>
  <c r="A241" i="17"/>
  <c r="A240" i="28" s="1"/>
  <c r="E241" i="16"/>
  <c r="I241" i="16"/>
  <c r="D241" i="16"/>
  <c r="C196" i="16"/>
  <c r="A196" i="17"/>
  <c r="A195" i="28" s="1"/>
  <c r="E196" i="16"/>
  <c r="I196" i="16"/>
  <c r="D196" i="16"/>
  <c r="D186" i="16"/>
  <c r="E186" i="16"/>
  <c r="I186" i="16"/>
  <c r="A186" i="17"/>
  <c r="A185" i="28" s="1"/>
  <c r="C38" i="16"/>
  <c r="E38" i="16"/>
  <c r="D38" i="16"/>
  <c r="I8" i="16"/>
  <c r="D8" i="16"/>
  <c r="A8" i="17"/>
  <c r="I79" i="29"/>
  <c r="H79" i="29"/>
  <c r="A147" i="17"/>
  <c r="A146" i="28" s="1"/>
  <c r="G76" i="29"/>
  <c r="H76" i="29"/>
  <c r="H94" i="29"/>
  <c r="G94" i="29"/>
  <c r="C85" i="16"/>
  <c r="E85" i="16"/>
  <c r="I85" i="16"/>
  <c r="D85" i="16"/>
  <c r="A85" i="17"/>
  <c r="A84" i="28" s="1"/>
  <c r="D60" i="16"/>
  <c r="A60" i="17"/>
  <c r="A59" i="28" s="1"/>
  <c r="I60" i="16"/>
  <c r="E60" i="16"/>
  <c r="I54" i="16"/>
  <c r="D54" i="16"/>
  <c r="E54" i="16"/>
  <c r="G129" i="29"/>
  <c r="H129" i="29"/>
  <c r="H143" i="29"/>
  <c r="I143" i="29"/>
  <c r="C163" i="16"/>
  <c r="E163" i="16"/>
  <c r="I163" i="16"/>
  <c r="A163" i="17"/>
  <c r="A162" i="28" s="1"/>
  <c r="G143" i="29"/>
  <c r="I5" i="29"/>
  <c r="G5" i="29"/>
  <c r="I7" i="29"/>
  <c r="H15" i="29"/>
  <c r="G124" i="29"/>
  <c r="I129" i="29"/>
  <c r="G75" i="29"/>
  <c r="G119" i="29"/>
  <c r="I50" i="29"/>
  <c r="H232" i="29"/>
  <c r="H7" i="29"/>
  <c r="G248" i="29"/>
  <c r="G178" i="29"/>
  <c r="G2" i="29"/>
  <c r="I177" i="29"/>
  <c r="H14" i="29"/>
  <c r="I14" i="29"/>
  <c r="H100" i="29"/>
  <c r="G100" i="29"/>
  <c r="G228" i="29"/>
  <c r="H205" i="29"/>
  <c r="H250" i="29"/>
  <c r="I119" i="29"/>
  <c r="G4" i="29"/>
  <c r="I38" i="29"/>
  <c r="G25" i="29"/>
  <c r="G23" i="29"/>
  <c r="G232" i="29"/>
  <c r="G48" i="29"/>
  <c r="G81" i="29"/>
  <c r="I206" i="29"/>
  <c r="G52" i="29"/>
  <c r="H206" i="29"/>
  <c r="I202" i="29"/>
  <c r="G216" i="29"/>
  <c r="I9" i="29"/>
  <c r="I2" i="29"/>
  <c r="I45" i="29"/>
  <c r="G45" i="29"/>
  <c r="H45" i="29"/>
  <c r="I52" i="29"/>
  <c r="H247" i="29"/>
  <c r="I247" i="29"/>
  <c r="G247" i="29"/>
  <c r="H86" i="29"/>
  <c r="G86" i="29"/>
  <c r="G165" i="29"/>
  <c r="H165" i="29"/>
  <c r="C154" i="16"/>
  <c r="C130" i="16"/>
  <c r="I130" i="16"/>
  <c r="D130" i="16"/>
  <c r="A130" i="17"/>
  <c r="A129" i="28" s="1"/>
  <c r="E130" i="16"/>
  <c r="C113" i="16"/>
  <c r="I113" i="16"/>
  <c r="D113" i="16"/>
  <c r="A113" i="17"/>
  <c r="A112" i="28" s="1"/>
  <c r="C109" i="16"/>
  <c r="D109" i="16"/>
  <c r="A109" i="17"/>
  <c r="A108" i="28" s="1"/>
  <c r="I109" i="16"/>
  <c r="A106" i="17"/>
  <c r="A105" i="28" s="1"/>
  <c r="D106" i="16"/>
  <c r="I106" i="16"/>
  <c r="C106" i="16"/>
  <c r="E106" i="16"/>
  <c r="A100" i="17"/>
  <c r="A99" i="28" s="1"/>
  <c r="C100" i="16"/>
  <c r="E100" i="16"/>
  <c r="E270" i="16"/>
  <c r="D270" i="16"/>
  <c r="I246" i="16"/>
  <c r="A246" i="17"/>
  <c r="A245" i="28" s="1"/>
  <c r="D1" i="29" l="1"/>
  <c r="J1" i="18"/>
  <c r="D2" i="29"/>
  <c r="A2" i="27" s="1"/>
  <c r="I246" i="29"/>
  <c r="H246" i="29"/>
  <c r="G246" i="29"/>
  <c r="I196" i="29"/>
  <c r="H196" i="29"/>
  <c r="G196" i="29"/>
  <c r="I154" i="29"/>
  <c r="H154" i="29"/>
  <c r="G154" i="29"/>
  <c r="G109" i="29"/>
  <c r="H109" i="29"/>
  <c r="I109" i="29"/>
  <c r="G163" i="29"/>
  <c r="H163" i="29"/>
  <c r="I163" i="29"/>
  <c r="I85" i="29"/>
  <c r="H85" i="29"/>
  <c r="G85" i="29"/>
  <c r="I8" i="29"/>
  <c r="G8" i="29"/>
  <c r="H8" i="29"/>
  <c r="H147" i="29"/>
  <c r="G147" i="29"/>
  <c r="I147" i="29"/>
  <c r="I106" i="29"/>
  <c r="H106" i="29"/>
  <c r="G106" i="29"/>
  <c r="G113" i="29"/>
  <c r="I113" i="29"/>
  <c r="H113" i="29"/>
  <c r="A8" i="25"/>
  <c r="A7" i="28"/>
  <c r="I241" i="29"/>
  <c r="G241" i="29"/>
  <c r="H241" i="29"/>
  <c r="G54" i="29"/>
  <c r="I54" i="29"/>
  <c r="H54" i="29"/>
  <c r="H186" i="29"/>
  <c r="I186" i="29"/>
  <c r="G186" i="29"/>
  <c r="H130" i="29"/>
  <c r="I130" i="29"/>
  <c r="G130" i="29"/>
  <c r="G60" i="29"/>
  <c r="I60" i="29"/>
  <c r="H60" i="29"/>
</calcChain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13"/>
            <color indexed="81"/>
            <rFont val="宋体"/>
            <family val="3"/>
            <charset val="134"/>
          </rPr>
          <t xml:space="preserve">打印方法1：
需打标签sheet中输入款号
</t>
        </r>
        <r>
          <rPr>
            <b/>
            <u/>
            <sz val="13"/>
            <color indexed="81"/>
            <rFont val="宋体"/>
            <family val="3"/>
            <charset val="134"/>
          </rPr>
          <t>此sheet中选中需要打印标签的单元格，</t>
        </r>
        <r>
          <rPr>
            <b/>
            <sz val="13"/>
            <color indexed="81"/>
            <rFont val="宋体"/>
            <family val="3"/>
            <charset val="134"/>
          </rPr>
          <t xml:space="preserve">
打印机选择ZDesigner，
</t>
        </r>
        <r>
          <rPr>
            <b/>
            <u/>
            <sz val="13"/>
            <color indexed="81"/>
            <rFont val="宋体"/>
            <family val="3"/>
            <charset val="134"/>
          </rPr>
          <t xml:space="preserve">在设置中，选择打印选定区域 </t>
        </r>
        <r>
          <rPr>
            <b/>
            <sz val="13"/>
            <color indexed="81"/>
            <rFont val="宋体"/>
            <family val="3"/>
            <charset val="134"/>
          </rPr>
          <t xml:space="preserve">
打印</t>
        </r>
      </text>
    </comment>
    <comment ref="I1" authorId="0">
      <text>
        <r>
          <rPr>
            <b/>
            <sz val="14"/>
            <color indexed="81"/>
            <rFont val="宋体"/>
            <family val="3"/>
            <charset val="134"/>
          </rPr>
          <t xml:space="preserve">打印方法2：
需打标签sheet中输入款号
</t>
        </r>
        <r>
          <rPr>
            <b/>
            <u/>
            <sz val="14"/>
            <color indexed="81"/>
            <rFont val="宋体"/>
            <family val="3"/>
            <charset val="134"/>
          </rPr>
          <t>此sheet中在A1单元格筛选掉空白单元格，</t>
        </r>
        <r>
          <rPr>
            <b/>
            <sz val="14"/>
            <color indexed="81"/>
            <rFont val="宋体"/>
            <family val="3"/>
            <charset val="134"/>
          </rPr>
          <t xml:space="preserve">
打印机选择ZDesigner， 
打印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13"/>
            <color indexed="81"/>
            <rFont val="宋体"/>
            <family val="3"/>
            <charset val="134"/>
          </rPr>
          <t xml:space="preserve">打印方法1：
需打标签sheet中输入款号
</t>
        </r>
        <r>
          <rPr>
            <b/>
            <u/>
            <sz val="13"/>
            <color indexed="81"/>
            <rFont val="宋体"/>
            <family val="3"/>
            <charset val="134"/>
          </rPr>
          <t>此sheet中选中需要打印标签的单元格，</t>
        </r>
        <r>
          <rPr>
            <b/>
            <sz val="13"/>
            <color indexed="81"/>
            <rFont val="宋体"/>
            <family val="3"/>
            <charset val="134"/>
          </rPr>
          <t xml:space="preserve">
打印机选择ZDesigner，
</t>
        </r>
        <r>
          <rPr>
            <b/>
            <u/>
            <sz val="13"/>
            <color indexed="81"/>
            <rFont val="宋体"/>
            <family val="3"/>
            <charset val="134"/>
          </rPr>
          <t xml:space="preserve">在设置中，选择打印选定区域 </t>
        </r>
        <r>
          <rPr>
            <b/>
            <sz val="13"/>
            <color indexed="81"/>
            <rFont val="宋体"/>
            <family val="3"/>
            <charset val="134"/>
          </rPr>
          <t xml:space="preserve">
打印</t>
        </r>
      </text>
    </comment>
  </commentList>
</comments>
</file>

<file path=xl/sharedStrings.xml><?xml version="1.0" encoding="utf-8"?>
<sst xmlns="http://schemas.openxmlformats.org/spreadsheetml/2006/main" count="15058" uniqueCount="13662">
  <si>
    <t>Remarks for
Price and MOQ</t>
    <phoneticPr fontId="52" type="noConversion"/>
  </si>
  <si>
    <t>quotation</t>
    <phoneticPr fontId="52" type="noConversion"/>
  </si>
  <si>
    <t>COMP</t>
    <phoneticPr fontId="52" type="noConversion"/>
  </si>
  <si>
    <t>WEIGHT</t>
    <phoneticPr fontId="52" type="noConversion"/>
  </si>
  <si>
    <t>ZEAO</t>
    <phoneticPr fontId="52" type="noConversion"/>
  </si>
  <si>
    <t>MINQI</t>
    <phoneticPr fontId="52" type="noConversion"/>
  </si>
  <si>
    <t>WIDTH</t>
    <phoneticPr fontId="51" type="noConversion"/>
  </si>
  <si>
    <t>EBT250001</t>
  </si>
  <si>
    <t>EBT250002</t>
  </si>
  <si>
    <t xml:space="preserve">EBT250002YD </t>
  </si>
  <si>
    <t>EBT250003</t>
  </si>
  <si>
    <t>EBT250004</t>
  </si>
  <si>
    <t>EBT250005</t>
  </si>
  <si>
    <t>EBT250006</t>
  </si>
  <si>
    <t>EBT250007</t>
  </si>
  <si>
    <t>EBT250008</t>
  </si>
  <si>
    <t>EBT250009</t>
  </si>
  <si>
    <t>EBT250010</t>
  </si>
  <si>
    <t>EBT250011</t>
  </si>
  <si>
    <t>EBT250012</t>
  </si>
  <si>
    <t>EBT250013</t>
  </si>
  <si>
    <t>EBT250014</t>
  </si>
  <si>
    <t>EBT250015</t>
  </si>
  <si>
    <t>EBT250016</t>
  </si>
  <si>
    <t>EBT250017</t>
  </si>
  <si>
    <t>EBT250018</t>
  </si>
  <si>
    <t>EBT250019</t>
  </si>
  <si>
    <t>EBT250020</t>
  </si>
  <si>
    <t>EBT250021</t>
  </si>
  <si>
    <t>EBT250022</t>
  </si>
  <si>
    <t>EBT250023</t>
  </si>
  <si>
    <t>EBT250024</t>
  </si>
  <si>
    <t>EBT250025</t>
  </si>
  <si>
    <t>EBT250026</t>
  </si>
  <si>
    <t>EBT250027</t>
  </si>
  <si>
    <t>EBT250028</t>
  </si>
  <si>
    <t>EBT250029</t>
  </si>
  <si>
    <t>EBT250030</t>
  </si>
  <si>
    <t>EBT250031</t>
  </si>
  <si>
    <t>EBT250032</t>
  </si>
  <si>
    <t>EBT250033</t>
  </si>
  <si>
    <t>EBT250034</t>
  </si>
  <si>
    <t>EBT250035</t>
  </si>
  <si>
    <t>EBT250036</t>
  </si>
  <si>
    <t>EBT250037</t>
  </si>
  <si>
    <t>EBT250038</t>
  </si>
  <si>
    <t>EBT250039</t>
  </si>
  <si>
    <t>EBT250040</t>
  </si>
  <si>
    <t>EBT250041</t>
  </si>
  <si>
    <t>EBT250043</t>
  </si>
  <si>
    <t>EBT250046</t>
  </si>
  <si>
    <t>EBT250047</t>
  </si>
  <si>
    <t>EBT250048</t>
  </si>
  <si>
    <t>EBT250049</t>
  </si>
  <si>
    <t>EBT250050</t>
  </si>
  <si>
    <t>EBT250051</t>
  </si>
  <si>
    <t>EBT250052</t>
  </si>
  <si>
    <t>EBT250053</t>
  </si>
  <si>
    <t>EBT250054</t>
  </si>
  <si>
    <t>EBT250055</t>
  </si>
  <si>
    <t>EBT250056</t>
  </si>
  <si>
    <t>EBT250057</t>
  </si>
  <si>
    <t>EBT250058</t>
  </si>
  <si>
    <t>EBT250059</t>
  </si>
  <si>
    <t>EBT250060</t>
  </si>
  <si>
    <t>EBT250061</t>
  </si>
  <si>
    <t>EBT250062</t>
  </si>
  <si>
    <t>EBT250063</t>
  </si>
  <si>
    <t>EBT250064</t>
  </si>
  <si>
    <t>EBT250065</t>
  </si>
  <si>
    <t>EBT250066</t>
  </si>
  <si>
    <t>EBT250067</t>
  </si>
  <si>
    <t>EBT250068</t>
  </si>
  <si>
    <t>EBT250069</t>
  </si>
  <si>
    <t>EBT250070</t>
  </si>
  <si>
    <t>EBT250071</t>
  </si>
  <si>
    <t>EBT250072</t>
  </si>
  <si>
    <t>EBT250073</t>
  </si>
  <si>
    <t>EBT250074</t>
  </si>
  <si>
    <t>EBT250075</t>
  </si>
  <si>
    <t>EBT250076</t>
  </si>
  <si>
    <t>EBT250077</t>
  </si>
  <si>
    <t>EBT250078</t>
  </si>
  <si>
    <t>EBT250079</t>
  </si>
  <si>
    <t>EBT250080</t>
  </si>
  <si>
    <t>EBT250081</t>
  </si>
  <si>
    <t>EBT250082</t>
  </si>
  <si>
    <t>EBT250083</t>
  </si>
  <si>
    <t>EBT250084</t>
  </si>
  <si>
    <t>EBT250085</t>
  </si>
  <si>
    <t>EBT250086</t>
  </si>
  <si>
    <t>EBT250087</t>
  </si>
  <si>
    <t>EBT250088</t>
  </si>
  <si>
    <t>EBT250089</t>
  </si>
  <si>
    <t>EBT250090</t>
  </si>
  <si>
    <t>EBT250091</t>
  </si>
  <si>
    <t>EBT250092</t>
  </si>
  <si>
    <t>EBT250093</t>
  </si>
  <si>
    <t>EBT250094</t>
  </si>
  <si>
    <t>EBT250095</t>
  </si>
  <si>
    <t>EBT250096</t>
  </si>
  <si>
    <t>EBT250097</t>
  </si>
  <si>
    <t>EBT250098</t>
  </si>
  <si>
    <t>EBT250099</t>
  </si>
  <si>
    <t>EBT250100</t>
  </si>
  <si>
    <t>EBT250101</t>
  </si>
  <si>
    <t>EBT250102</t>
  </si>
  <si>
    <t>EBT250103</t>
  </si>
  <si>
    <t>EBT250104</t>
  </si>
  <si>
    <t>EBT250105</t>
  </si>
  <si>
    <t>EBT250106</t>
  </si>
  <si>
    <t>EBT250107</t>
  </si>
  <si>
    <t>EBT250108</t>
  </si>
  <si>
    <t>EBT250109</t>
  </si>
  <si>
    <t>EBT250110</t>
  </si>
  <si>
    <t>EBT250111</t>
  </si>
  <si>
    <t>EBT250112</t>
  </si>
  <si>
    <t>EBT250113</t>
  </si>
  <si>
    <t>EBT250114</t>
  </si>
  <si>
    <t>EBT250115</t>
  </si>
  <si>
    <t>EBT250116</t>
  </si>
  <si>
    <t>EBT250117</t>
  </si>
  <si>
    <t>EBT250118</t>
  </si>
  <si>
    <t>EBT250119</t>
  </si>
  <si>
    <t>EBT250120</t>
  </si>
  <si>
    <t>EBT250121</t>
  </si>
  <si>
    <t>EBT250122</t>
  </si>
  <si>
    <t>EBT250123</t>
  </si>
  <si>
    <t>EBT250124</t>
  </si>
  <si>
    <t>EBT250125</t>
  </si>
  <si>
    <t>EBT250126</t>
  </si>
  <si>
    <t>EBT250127</t>
  </si>
  <si>
    <t>EBT250128</t>
  </si>
  <si>
    <t>EBT250129</t>
  </si>
  <si>
    <t>EBT250130</t>
  </si>
  <si>
    <t>EBT250131</t>
  </si>
  <si>
    <t>EBT250132</t>
  </si>
  <si>
    <t>EBT250133</t>
  </si>
  <si>
    <t>EBT250134</t>
  </si>
  <si>
    <t>EBT250135</t>
  </si>
  <si>
    <t>EBT250136</t>
  </si>
  <si>
    <t>EBT250137</t>
  </si>
  <si>
    <t>EBT250138</t>
  </si>
  <si>
    <t>EBT250139</t>
  </si>
  <si>
    <t>EBT250140</t>
  </si>
  <si>
    <t>EBT250141</t>
  </si>
  <si>
    <t>EBT250142</t>
  </si>
  <si>
    <t>EBT250143</t>
  </si>
  <si>
    <t>EBT250144</t>
  </si>
  <si>
    <t>EBT250145</t>
  </si>
  <si>
    <t>EBT250146</t>
  </si>
  <si>
    <t>EBT250147</t>
  </si>
  <si>
    <t>EBT250148</t>
  </si>
  <si>
    <t>EBT250149</t>
  </si>
  <si>
    <t>EBT250150</t>
  </si>
  <si>
    <t>EBT250151</t>
  </si>
  <si>
    <t>EBT250152</t>
  </si>
  <si>
    <t>EBT250153</t>
  </si>
  <si>
    <t>EBT250154</t>
  </si>
  <si>
    <t>EBT250155</t>
  </si>
  <si>
    <t>EBT250156</t>
  </si>
  <si>
    <t>EBT250157</t>
  </si>
  <si>
    <t>EBT250158</t>
  </si>
  <si>
    <t>EBT250159</t>
  </si>
  <si>
    <t>EBT250160</t>
  </si>
  <si>
    <t>EBT250161</t>
  </si>
  <si>
    <t>EBT250162</t>
  </si>
  <si>
    <t>EBT250163</t>
  </si>
  <si>
    <t>EBT250164</t>
  </si>
  <si>
    <t>EBT250165</t>
  </si>
  <si>
    <t>EBT250166</t>
  </si>
  <si>
    <t>EBT250167</t>
  </si>
  <si>
    <t>EBT250168</t>
  </si>
  <si>
    <t>EBT250169</t>
  </si>
  <si>
    <t>EBT250170</t>
  </si>
  <si>
    <t>EBT250171</t>
  </si>
  <si>
    <t>EBT250172</t>
  </si>
  <si>
    <t>EBT250173</t>
  </si>
  <si>
    <t>EBT250174</t>
  </si>
  <si>
    <t>EBT250175</t>
  </si>
  <si>
    <t>EBT250176</t>
  </si>
  <si>
    <t>EBT250177</t>
  </si>
  <si>
    <t>EBT250178</t>
  </si>
  <si>
    <t>EBT250179</t>
  </si>
  <si>
    <t>EBT250180</t>
  </si>
  <si>
    <t>EBT250181</t>
  </si>
  <si>
    <t>EBT250182</t>
  </si>
  <si>
    <t>EBT250183</t>
  </si>
  <si>
    <t>EBT250184</t>
  </si>
  <si>
    <t>EBT250185</t>
  </si>
  <si>
    <t>EBT250186</t>
  </si>
  <si>
    <t>EBT250187</t>
  </si>
  <si>
    <t>EBT250188</t>
  </si>
  <si>
    <t>EBT250189</t>
  </si>
  <si>
    <t>EBT250190</t>
  </si>
  <si>
    <t>EBT250191</t>
  </si>
  <si>
    <t>EBT250192</t>
  </si>
  <si>
    <t>EBT250193</t>
  </si>
  <si>
    <t>EBT250194</t>
  </si>
  <si>
    <t>EBT250195</t>
  </si>
  <si>
    <t>EBT250196</t>
  </si>
  <si>
    <t>EBT250197</t>
  </si>
  <si>
    <t>EBT250198</t>
  </si>
  <si>
    <t>EBT250199</t>
  </si>
  <si>
    <t>EBT250200</t>
  </si>
  <si>
    <t>EBT250201</t>
  </si>
  <si>
    <t>EBT250202</t>
  </si>
  <si>
    <t>EBT250203</t>
  </si>
  <si>
    <t>EBT250204</t>
  </si>
  <si>
    <t>EBT250205</t>
  </si>
  <si>
    <t>EBT250206</t>
  </si>
  <si>
    <t>EBT250207</t>
  </si>
  <si>
    <t>EBT250208</t>
  </si>
  <si>
    <t>EBT250209</t>
  </si>
  <si>
    <t>EBT250210</t>
  </si>
  <si>
    <t>EBT250211</t>
  </si>
  <si>
    <t>EBT250212</t>
  </si>
  <si>
    <t>EBT250213</t>
  </si>
  <si>
    <t>EBT250214</t>
  </si>
  <si>
    <t>EBT250215</t>
  </si>
  <si>
    <t>EBT250216</t>
  </si>
  <si>
    <t>EBT250217</t>
  </si>
  <si>
    <t>EBT250218</t>
  </si>
  <si>
    <t>EBT250219</t>
  </si>
  <si>
    <t>EBT250220</t>
  </si>
  <si>
    <t>EBT250221</t>
  </si>
  <si>
    <t>EBT250222</t>
  </si>
  <si>
    <t>EBT250223</t>
  </si>
  <si>
    <t>EBT250224</t>
  </si>
  <si>
    <t>EBT250225</t>
  </si>
  <si>
    <t>EBT250226</t>
  </si>
  <si>
    <t>EBT250227</t>
  </si>
  <si>
    <t>EBT250229</t>
  </si>
  <si>
    <t>EBT250230</t>
  </si>
  <si>
    <t>EBT250231</t>
  </si>
  <si>
    <t>EBT250232</t>
  </si>
  <si>
    <t>EBT250233</t>
  </si>
  <si>
    <t>EBT250234</t>
  </si>
  <si>
    <t>EBT250235</t>
  </si>
  <si>
    <t>EBT250236</t>
  </si>
  <si>
    <t>EBT250237</t>
  </si>
  <si>
    <t>EBT250238</t>
  </si>
  <si>
    <t>EBT250239</t>
  </si>
  <si>
    <t>EBT250240</t>
  </si>
  <si>
    <t>EBT250241</t>
  </si>
  <si>
    <t>EBT250242</t>
  </si>
  <si>
    <t>EBT250243</t>
  </si>
  <si>
    <t>EBT250244</t>
  </si>
  <si>
    <t>EBT250245</t>
  </si>
  <si>
    <t>EBT250246</t>
  </si>
  <si>
    <t>EBT250247</t>
  </si>
  <si>
    <t>EBT250248</t>
  </si>
  <si>
    <t>EBT250249</t>
  </si>
  <si>
    <t>EBT250250</t>
  </si>
  <si>
    <t>EBT250251</t>
  </si>
  <si>
    <t>EBT250252</t>
  </si>
  <si>
    <t>EBT250253</t>
  </si>
  <si>
    <t>EBT250254</t>
  </si>
  <si>
    <t>EBT250255</t>
  </si>
  <si>
    <t>EBT250256</t>
  </si>
  <si>
    <t>EBT250257</t>
  </si>
  <si>
    <t>EBT250258</t>
  </si>
  <si>
    <t>EBT250259</t>
  </si>
  <si>
    <t>EBT250260</t>
  </si>
  <si>
    <t>EBT250261</t>
  </si>
  <si>
    <t>EBT250262</t>
  </si>
  <si>
    <t>EBT250263</t>
  </si>
  <si>
    <t>EBT250264</t>
  </si>
  <si>
    <t>EBT250265</t>
  </si>
  <si>
    <t>EBT250266</t>
  </si>
  <si>
    <t>EBT250267</t>
  </si>
  <si>
    <t>EBT250268</t>
  </si>
  <si>
    <t>EBT250269</t>
  </si>
  <si>
    <t>EBT250270</t>
  </si>
  <si>
    <t>EBT250271</t>
  </si>
  <si>
    <t>EBT250272</t>
  </si>
  <si>
    <t>EBT250273</t>
  </si>
  <si>
    <t>EBT250274</t>
  </si>
  <si>
    <t>EBT250275</t>
  </si>
  <si>
    <t>EBT250276</t>
  </si>
  <si>
    <t>EBT250277</t>
  </si>
  <si>
    <t>EBT250278</t>
  </si>
  <si>
    <t>EBT250279</t>
  </si>
  <si>
    <t>EBT250280</t>
  </si>
  <si>
    <t>EBT250281</t>
  </si>
  <si>
    <t>EBT250282</t>
  </si>
  <si>
    <t>EBT250283</t>
  </si>
  <si>
    <t>EBT250284</t>
  </si>
  <si>
    <t>EBT250285</t>
  </si>
  <si>
    <t>EBT250286</t>
  </si>
  <si>
    <t>EBT250287</t>
  </si>
  <si>
    <t>EBT250288</t>
  </si>
  <si>
    <t>EBT250289</t>
  </si>
  <si>
    <t>EBT250290</t>
  </si>
  <si>
    <t>EBT250291</t>
  </si>
  <si>
    <t>EBT250292</t>
  </si>
  <si>
    <t>EBT250293</t>
  </si>
  <si>
    <t>EBT250294</t>
  </si>
  <si>
    <t>EBT250295</t>
  </si>
  <si>
    <t>EBT250296</t>
  </si>
  <si>
    <t>EBT250297</t>
  </si>
  <si>
    <t>EBT250298</t>
  </si>
  <si>
    <t>EBT250299</t>
  </si>
  <si>
    <t>EBT250300</t>
  </si>
  <si>
    <t>EBT250301</t>
  </si>
  <si>
    <t>EBT250302</t>
  </si>
  <si>
    <t>EBT250303</t>
  </si>
  <si>
    <t>EBT250304</t>
  </si>
  <si>
    <t>EBT250305</t>
  </si>
  <si>
    <t>EBT250306</t>
  </si>
  <si>
    <t>EBT250307</t>
  </si>
  <si>
    <t>EBT250308</t>
  </si>
  <si>
    <t>ART.EBT250011
COMP:30%WO 70%PL
WIDTH:150CM
WEIGHT:638G/M2
info@ebtex.com.cn</t>
  </si>
  <si>
    <t>ART.EBT250012
COMP:40%WO 60%PL
WIDTH:145CM
WEIGHT:480G/M2
info@ebtex.com.cn</t>
  </si>
  <si>
    <t>ART.EBT250075
COMP:50%WO 50%PL 
WIDTH:57/58"
WEIGHT:430G/M2
info@ebtex.com.cn</t>
  </si>
  <si>
    <t>ART.EBT250080
COMP:F:100%PL G:95%PL 5%EA
WIDTH:45/46"
WEIGHT:370G/M2
info@ebtex.com.cn</t>
  </si>
  <si>
    <t>ART.EBT250103
COMP:72%PL 22%VI 6%EA
WIDTH:57/58"
WEIGHT:310G/M2
info@ebtex.com.cn</t>
  </si>
  <si>
    <t>EBT150001</t>
  </si>
  <si>
    <t>EBT150002</t>
  </si>
  <si>
    <t>EBT150003</t>
  </si>
  <si>
    <t>EBT150004</t>
  </si>
  <si>
    <t>EBT150005</t>
  </si>
  <si>
    <t>EBT150006</t>
  </si>
  <si>
    <t>EBT150007</t>
  </si>
  <si>
    <t>EBT150008</t>
  </si>
  <si>
    <t>EBT150009</t>
  </si>
  <si>
    <t>EBT150010</t>
  </si>
  <si>
    <t>EBT150011</t>
  </si>
  <si>
    <t>EBT150012</t>
  </si>
  <si>
    <t>EBT150013</t>
  </si>
  <si>
    <t>EBT150014-JR</t>
  </si>
  <si>
    <t>EBT150015</t>
  </si>
  <si>
    <t>EBT150016</t>
  </si>
  <si>
    <t>EBT150017</t>
  </si>
  <si>
    <t>EBT150018</t>
  </si>
  <si>
    <t>EBT150019</t>
  </si>
  <si>
    <t>EBT150019-Print</t>
  </si>
  <si>
    <t>EBT150020</t>
  </si>
  <si>
    <t>EBT150021</t>
  </si>
  <si>
    <t>EBT150022</t>
  </si>
  <si>
    <t>EBT150023</t>
  </si>
  <si>
    <t>EBT150024</t>
  </si>
  <si>
    <t>EBT150025</t>
  </si>
  <si>
    <t>EBT150026</t>
  </si>
  <si>
    <t>EBT150027</t>
  </si>
  <si>
    <t>EBT150028</t>
  </si>
  <si>
    <t>EBT150029</t>
  </si>
  <si>
    <t>EBT150030</t>
  </si>
  <si>
    <t>EBT150031</t>
  </si>
  <si>
    <t>EBT150032</t>
  </si>
  <si>
    <t>EBT150033</t>
  </si>
  <si>
    <t>EBT150034</t>
  </si>
  <si>
    <t>EBT150035</t>
  </si>
  <si>
    <t>EBT150036</t>
  </si>
  <si>
    <t>EBT150037</t>
  </si>
  <si>
    <t>EBT150038</t>
  </si>
  <si>
    <t>EBT150039</t>
  </si>
  <si>
    <t>EBT150040</t>
  </si>
  <si>
    <t>EBT150041</t>
  </si>
  <si>
    <t>EBT150042</t>
  </si>
  <si>
    <t>EBT150043</t>
  </si>
  <si>
    <t>EBT150044</t>
  </si>
  <si>
    <t>EBT150045</t>
  </si>
  <si>
    <t>EBT150046</t>
  </si>
  <si>
    <t>EBT150047</t>
  </si>
  <si>
    <t>EBT150048</t>
  </si>
  <si>
    <t>EBT150049</t>
  </si>
  <si>
    <t>EBT150050</t>
  </si>
  <si>
    <t>EBT150051</t>
  </si>
  <si>
    <t>EBT150052</t>
  </si>
  <si>
    <t>EBT150053</t>
  </si>
  <si>
    <t>EBT150054</t>
  </si>
  <si>
    <t>EBT150055</t>
  </si>
  <si>
    <t>EBT150056</t>
  </si>
  <si>
    <t>EBT150057</t>
  </si>
  <si>
    <t>EBT150058</t>
  </si>
  <si>
    <t>EBT150059</t>
  </si>
  <si>
    <t>EBT150060</t>
  </si>
  <si>
    <t>EBT150061</t>
  </si>
  <si>
    <t>EBT150062</t>
  </si>
  <si>
    <t>EBT150063</t>
  </si>
  <si>
    <t>EBT150064</t>
  </si>
  <si>
    <t>EBT150065</t>
  </si>
  <si>
    <t>EBT150066</t>
  </si>
  <si>
    <t>EBT150067</t>
  </si>
  <si>
    <t>EBT150068</t>
  </si>
  <si>
    <t>EBT150069</t>
  </si>
  <si>
    <t>EBT150070</t>
  </si>
  <si>
    <t>EBT150071</t>
  </si>
  <si>
    <t>EBT150072</t>
  </si>
  <si>
    <t>EBT150073</t>
  </si>
  <si>
    <t>EBT150074</t>
  </si>
  <si>
    <t>EBT150075</t>
  </si>
  <si>
    <t>EBT150076</t>
  </si>
  <si>
    <t>EBT150077</t>
  </si>
  <si>
    <t>EBT150078</t>
  </si>
  <si>
    <t>EBT150079</t>
  </si>
  <si>
    <t>EBT150080</t>
  </si>
  <si>
    <t>EBT150081</t>
  </si>
  <si>
    <t>EBT150082</t>
  </si>
  <si>
    <t>EBT150083</t>
  </si>
  <si>
    <t>EBT150084</t>
  </si>
  <si>
    <t>EBT150085</t>
  </si>
  <si>
    <t>EBT150086</t>
  </si>
  <si>
    <t>EBT150087</t>
  </si>
  <si>
    <t>EBT150088</t>
  </si>
  <si>
    <t>EBT150089</t>
  </si>
  <si>
    <t>EBT150090</t>
  </si>
  <si>
    <t>EBT150091</t>
  </si>
  <si>
    <t>EBT150092</t>
  </si>
  <si>
    <t>EBT150093</t>
  </si>
  <si>
    <t>EBT150094</t>
  </si>
  <si>
    <t>EBT150095</t>
  </si>
  <si>
    <t>EBT150096</t>
  </si>
  <si>
    <t>EBT150097</t>
  </si>
  <si>
    <t>EBT150098</t>
  </si>
  <si>
    <t>EBT150099</t>
  </si>
  <si>
    <t>EBT150100</t>
  </si>
  <si>
    <t>EBT150101</t>
  </si>
  <si>
    <t>EBT150102</t>
  </si>
  <si>
    <t>EBT150103</t>
  </si>
  <si>
    <t>EBT150104</t>
  </si>
  <si>
    <t>EBT150105</t>
  </si>
  <si>
    <t>EBT150106</t>
  </si>
  <si>
    <t>EBT150107</t>
  </si>
  <si>
    <t>EBT150108</t>
  </si>
  <si>
    <t>EBT150109</t>
  </si>
  <si>
    <t>EBT150110</t>
  </si>
  <si>
    <t>EBT150111</t>
  </si>
  <si>
    <t>EBT150112</t>
  </si>
  <si>
    <t>EBT150113</t>
  </si>
  <si>
    <t>EBT150114</t>
  </si>
  <si>
    <t>EBT150115</t>
  </si>
  <si>
    <t>EBT150116</t>
  </si>
  <si>
    <t>EBT150117</t>
  </si>
  <si>
    <t>EBT150117-PS</t>
  </si>
  <si>
    <t>EBT150118</t>
  </si>
  <si>
    <t>EBT150119</t>
  </si>
  <si>
    <t>EBT150120</t>
  </si>
  <si>
    <t>EBT150121</t>
  </si>
  <si>
    <t>EBT150122</t>
  </si>
  <si>
    <t>EBT150123</t>
  </si>
  <si>
    <t>EBT150124</t>
  </si>
  <si>
    <t>EBT150125</t>
  </si>
  <si>
    <t>EBT150126</t>
  </si>
  <si>
    <t>EBT150127</t>
  </si>
  <si>
    <t>EBT150128</t>
  </si>
  <si>
    <t>EBT150129</t>
  </si>
  <si>
    <t>EBT150130</t>
  </si>
  <si>
    <t>EBT150131</t>
  </si>
  <si>
    <t>EBT150132</t>
  </si>
  <si>
    <t>EBT150132A</t>
  </si>
  <si>
    <t>EBT150132B</t>
  </si>
  <si>
    <t>EBT150135</t>
  </si>
  <si>
    <t>EBT150136</t>
  </si>
  <si>
    <t>EBT150137</t>
  </si>
  <si>
    <t>EBT150138</t>
  </si>
  <si>
    <t>EBT150139</t>
  </si>
  <si>
    <t>EBT150140</t>
  </si>
  <si>
    <t>EBT150141</t>
  </si>
  <si>
    <t>EBT150142</t>
  </si>
  <si>
    <t>EBT150143</t>
  </si>
  <si>
    <t>EBT150144</t>
  </si>
  <si>
    <t>EBT150145</t>
  </si>
  <si>
    <t>EBT150146</t>
  </si>
  <si>
    <t>EBT150147</t>
  </si>
  <si>
    <t>EBT150148</t>
  </si>
  <si>
    <t>EBT150149</t>
  </si>
  <si>
    <t>EBT150150</t>
  </si>
  <si>
    <t>EBT150151</t>
  </si>
  <si>
    <t>EBT150152</t>
  </si>
  <si>
    <t>EBT150153</t>
  </si>
  <si>
    <t>EBT150154</t>
  </si>
  <si>
    <t>EBT150155</t>
  </si>
  <si>
    <t>EBT150156</t>
  </si>
  <si>
    <t>EBT150157</t>
  </si>
  <si>
    <t>EBT150158</t>
  </si>
  <si>
    <t>EBT150159</t>
  </si>
  <si>
    <t>EBT150160</t>
  </si>
  <si>
    <t>EBT150161</t>
  </si>
  <si>
    <t>EBT150162</t>
  </si>
  <si>
    <t>EBT150163</t>
  </si>
  <si>
    <t>EBT150164</t>
  </si>
  <si>
    <t>EBT150165</t>
  </si>
  <si>
    <t>EBT150166</t>
  </si>
  <si>
    <t>EBT150167</t>
  </si>
  <si>
    <t>EBT150168</t>
  </si>
  <si>
    <t>EBT150169</t>
  </si>
  <si>
    <t>EBT150170</t>
  </si>
  <si>
    <t>EBT150171</t>
  </si>
  <si>
    <t>EBT150172</t>
  </si>
  <si>
    <t>EBT150172-Print</t>
  </si>
  <si>
    <t>EBT150173</t>
  </si>
  <si>
    <t>EBT150175</t>
  </si>
  <si>
    <t>EBT150176</t>
  </si>
  <si>
    <t>EBT150177</t>
  </si>
  <si>
    <t>EBT150178</t>
  </si>
  <si>
    <t>EBT150178-Print</t>
  </si>
  <si>
    <t>EBT150179</t>
  </si>
  <si>
    <t>EBT150180</t>
  </si>
  <si>
    <t>EBT150180-Print</t>
  </si>
  <si>
    <t>EBT150181</t>
  </si>
  <si>
    <t>EBT150182</t>
  </si>
  <si>
    <t>EBT150182-Print</t>
  </si>
  <si>
    <t>EBT150183</t>
  </si>
  <si>
    <t>EBT150184</t>
  </si>
  <si>
    <t>EBT150185</t>
  </si>
  <si>
    <t>EBT150186</t>
  </si>
  <si>
    <t>EBT150187</t>
  </si>
  <si>
    <t>EBT150188</t>
  </si>
  <si>
    <t>EBT150189</t>
  </si>
  <si>
    <t>EBT150190</t>
  </si>
  <si>
    <t>EBT150191</t>
  </si>
  <si>
    <t>EBT150192</t>
  </si>
  <si>
    <t>EBT150193</t>
  </si>
  <si>
    <t>EBT150194</t>
  </si>
  <si>
    <t>EBT150195</t>
  </si>
  <si>
    <t>EBT150196</t>
  </si>
  <si>
    <t>EBT150197</t>
  </si>
  <si>
    <t>EBT150198</t>
  </si>
  <si>
    <t>EBT150199</t>
  </si>
  <si>
    <t>EBT150200</t>
  </si>
  <si>
    <t>EBT150201</t>
  </si>
  <si>
    <t>EBT150202</t>
  </si>
  <si>
    <t>EBT150203</t>
  </si>
  <si>
    <t>EBT150204</t>
  </si>
  <si>
    <t>EBT150205</t>
  </si>
  <si>
    <t>EBT150206</t>
  </si>
  <si>
    <t>EBT150207</t>
  </si>
  <si>
    <t>EBT150208</t>
  </si>
  <si>
    <t>EBT150209</t>
  </si>
  <si>
    <t>EBT150210</t>
  </si>
  <si>
    <t>EBT150211</t>
  </si>
  <si>
    <t>EBT150212</t>
  </si>
  <si>
    <t>EBT150213</t>
  </si>
  <si>
    <t>EBT150214</t>
  </si>
  <si>
    <t>EBT150215</t>
  </si>
  <si>
    <t>EBT150216</t>
  </si>
  <si>
    <t>EBT150217</t>
  </si>
  <si>
    <t>EBT150218</t>
  </si>
  <si>
    <t>EBT150219</t>
  </si>
  <si>
    <t>EBT150220</t>
  </si>
  <si>
    <t>EBT150221</t>
  </si>
  <si>
    <t>EBT150222</t>
  </si>
  <si>
    <t>EBT150223</t>
  </si>
  <si>
    <t>EBT150224</t>
  </si>
  <si>
    <t>EBT150225</t>
  </si>
  <si>
    <t>EBT150226</t>
  </si>
  <si>
    <t>EBT150227</t>
  </si>
  <si>
    <t>EBT150228</t>
  </si>
  <si>
    <t>EBT150229</t>
  </si>
  <si>
    <t>EBT150230</t>
  </si>
  <si>
    <t>EBT150231</t>
  </si>
  <si>
    <t>EBT150232</t>
  </si>
  <si>
    <t>EBT150233</t>
  </si>
  <si>
    <t>EBT150234</t>
  </si>
  <si>
    <t>EBT150235</t>
  </si>
  <si>
    <t>EBT150236</t>
  </si>
  <si>
    <t>EBT150237</t>
  </si>
  <si>
    <t>EBT150238</t>
  </si>
  <si>
    <t>EBT150239</t>
  </si>
  <si>
    <t>EBT150239-470</t>
  </si>
  <si>
    <t>EBT150239-445</t>
  </si>
  <si>
    <t>EBT150240</t>
  </si>
  <si>
    <t>EBT150241</t>
  </si>
  <si>
    <t>EBT150242</t>
  </si>
  <si>
    <t>EBT150243</t>
  </si>
  <si>
    <t>EBT150244</t>
  </si>
  <si>
    <t>EBT150245</t>
  </si>
  <si>
    <t>EBT150246</t>
  </si>
  <si>
    <t>EBT150246-1</t>
  </si>
  <si>
    <t>EBT150247</t>
  </si>
  <si>
    <t>EBT150248</t>
  </si>
  <si>
    <t>EBT150249</t>
  </si>
  <si>
    <t>EBT150250</t>
  </si>
  <si>
    <t>EBT150251</t>
  </si>
  <si>
    <t>EBT150252</t>
  </si>
  <si>
    <t>EBT150253</t>
  </si>
  <si>
    <t>EBT150254</t>
  </si>
  <si>
    <t>EBT150255</t>
  </si>
  <si>
    <t>EBT150256</t>
  </si>
  <si>
    <t>EBT150257</t>
  </si>
  <si>
    <t>EBT150258</t>
  </si>
  <si>
    <t>EBT150259</t>
  </si>
  <si>
    <t>EBT150260</t>
  </si>
  <si>
    <t>EBT150261</t>
  </si>
  <si>
    <t>EBT150262</t>
  </si>
  <si>
    <t>EBT150263</t>
  </si>
  <si>
    <t>EBT150264</t>
  </si>
  <si>
    <t>EBT150265</t>
  </si>
  <si>
    <t>EBT150266</t>
  </si>
  <si>
    <t>EBT150267</t>
  </si>
  <si>
    <t>EBT150268</t>
  </si>
  <si>
    <t>EBT150269</t>
  </si>
  <si>
    <t>EBT150270</t>
  </si>
  <si>
    <t>EBT150271</t>
  </si>
  <si>
    <t>EBT150272</t>
  </si>
  <si>
    <t>EBT150273</t>
  </si>
  <si>
    <t>EBT150274</t>
  </si>
  <si>
    <t>EBT150275</t>
  </si>
  <si>
    <t>EBT150276</t>
  </si>
  <si>
    <t>EBT150277</t>
  </si>
  <si>
    <t>EBT150278</t>
  </si>
  <si>
    <t>EBT150279</t>
  </si>
  <si>
    <t>EBT150280</t>
  </si>
  <si>
    <t>EBT150281</t>
  </si>
  <si>
    <t>EBT150282</t>
  </si>
  <si>
    <t>EBT150283</t>
  </si>
  <si>
    <t>EBT150284</t>
  </si>
  <si>
    <t>EBT150285</t>
  </si>
  <si>
    <t>EBT150286</t>
  </si>
  <si>
    <t>EBT150287</t>
  </si>
  <si>
    <t>EBT150288</t>
  </si>
  <si>
    <t>EBT150289</t>
  </si>
  <si>
    <t>EBT150290</t>
  </si>
  <si>
    <t>EBT150291</t>
  </si>
  <si>
    <t>EBT150292</t>
  </si>
  <si>
    <t>EBT150293</t>
  </si>
  <si>
    <t>EBT150294</t>
  </si>
  <si>
    <t>EBT150295</t>
  </si>
  <si>
    <t>EBT150296</t>
  </si>
  <si>
    <t>EBT150297</t>
  </si>
  <si>
    <t>EBT150298</t>
  </si>
  <si>
    <t>EBT150299</t>
  </si>
  <si>
    <t>EBT150300</t>
  </si>
  <si>
    <t>EBT150301</t>
  </si>
  <si>
    <t>EBT150302</t>
  </si>
  <si>
    <t>EBT150303</t>
  </si>
  <si>
    <t>EBT150304</t>
  </si>
  <si>
    <t>EBT150305</t>
  </si>
  <si>
    <t>EBT150306</t>
  </si>
  <si>
    <t>EBT150307</t>
  </si>
  <si>
    <t>EBT150308</t>
  </si>
  <si>
    <t>EBT150309</t>
  </si>
  <si>
    <t>EBT150310</t>
  </si>
  <si>
    <t>EBT150311</t>
  </si>
  <si>
    <t>EBT150312</t>
  </si>
  <si>
    <t>EBT150313</t>
  </si>
  <si>
    <t>EBT150314</t>
  </si>
  <si>
    <t>EBT150315</t>
  </si>
  <si>
    <t>EBT150316</t>
  </si>
  <si>
    <t>EBT150317</t>
  </si>
  <si>
    <t>EBT150318</t>
  </si>
  <si>
    <t>EBT150319</t>
  </si>
  <si>
    <t>EBT150320</t>
  </si>
  <si>
    <t>EBT150321</t>
  </si>
  <si>
    <t>EBT150322</t>
  </si>
  <si>
    <t>EBT150323</t>
  </si>
  <si>
    <t>EBT150324</t>
  </si>
  <si>
    <t>EBT150325</t>
  </si>
  <si>
    <t>EBT150326</t>
  </si>
  <si>
    <t>EBT150327</t>
  </si>
  <si>
    <t>EBT150328</t>
  </si>
  <si>
    <t>EBT150329</t>
  </si>
  <si>
    <t>EBT150330</t>
  </si>
  <si>
    <t>EBT150331</t>
  </si>
  <si>
    <t>EBT150332</t>
  </si>
  <si>
    <t>EBT150333</t>
  </si>
  <si>
    <t>EBT150334</t>
  </si>
  <si>
    <t>EBT150335</t>
  </si>
  <si>
    <t>EBT150336</t>
  </si>
  <si>
    <t>EBT150337</t>
  </si>
  <si>
    <t>EBT150338</t>
  </si>
  <si>
    <t>EBT150339</t>
  </si>
  <si>
    <t>EBT150340</t>
  </si>
  <si>
    <t>EBT150341</t>
  </si>
  <si>
    <t>EBT150342</t>
  </si>
  <si>
    <t>EBT150343</t>
  </si>
  <si>
    <t>EBT150344</t>
  </si>
  <si>
    <t>EBT150345</t>
  </si>
  <si>
    <t>EBT150346</t>
  </si>
  <si>
    <t>EBT150347</t>
  </si>
  <si>
    <t>EBT150348</t>
  </si>
  <si>
    <t>EBT150349</t>
  </si>
  <si>
    <t>EBT150350</t>
  </si>
  <si>
    <t>EBT150351</t>
  </si>
  <si>
    <t>EBT150352</t>
  </si>
  <si>
    <t>EBT150353</t>
  </si>
  <si>
    <t>EBT150354</t>
  </si>
  <si>
    <t>EBT150355</t>
  </si>
  <si>
    <t>EBT150356</t>
  </si>
  <si>
    <t>EBT150357</t>
  </si>
  <si>
    <t>EBT150358</t>
  </si>
  <si>
    <t>EBT150359</t>
  </si>
  <si>
    <t>EBT150360</t>
  </si>
  <si>
    <t>EBT150361</t>
  </si>
  <si>
    <t>EBT150362</t>
  </si>
  <si>
    <t>EBT150363</t>
  </si>
  <si>
    <t>EBT150364</t>
  </si>
  <si>
    <t>EBT150365</t>
  </si>
  <si>
    <t>EBT150366</t>
  </si>
  <si>
    <t>EBT150367</t>
  </si>
  <si>
    <t>EBT150368</t>
  </si>
  <si>
    <t>EBT150369</t>
  </si>
  <si>
    <t>EBT150370</t>
  </si>
  <si>
    <t>EBT150371</t>
  </si>
  <si>
    <t>EBT150372</t>
  </si>
  <si>
    <t>EBT150373</t>
  </si>
  <si>
    <t>EBT150374</t>
  </si>
  <si>
    <t>EBT150375</t>
  </si>
  <si>
    <t>EBT150376</t>
  </si>
  <si>
    <t>EBT150377</t>
  </si>
  <si>
    <t>EBT150378</t>
  </si>
  <si>
    <t>EBT150379</t>
  </si>
  <si>
    <t>EBT150380</t>
  </si>
  <si>
    <t>EBT150381</t>
  </si>
  <si>
    <t>EBT150382</t>
  </si>
  <si>
    <t>EBT150383</t>
  </si>
  <si>
    <t>EBT150384</t>
  </si>
  <si>
    <t>EBT150385</t>
  </si>
  <si>
    <t>EBT150386</t>
  </si>
  <si>
    <t>EBT150387</t>
  </si>
  <si>
    <t>EBT150388</t>
  </si>
  <si>
    <t>EBT150389</t>
  </si>
  <si>
    <t>EBT150390</t>
  </si>
  <si>
    <t>EBT150391</t>
  </si>
  <si>
    <t>EBT150392</t>
  </si>
  <si>
    <t>EBT150393</t>
  </si>
  <si>
    <t>EBT150394</t>
  </si>
  <si>
    <t>EBT150395</t>
  </si>
  <si>
    <t>EBT150396</t>
  </si>
  <si>
    <t>EBT150397</t>
  </si>
  <si>
    <t>EBT150398</t>
  </si>
  <si>
    <t>EBT150399</t>
  </si>
  <si>
    <t>EBT150400</t>
  </si>
  <si>
    <t>EBT150401</t>
  </si>
  <si>
    <t>EBT150402</t>
  </si>
  <si>
    <t>EBT150403</t>
  </si>
  <si>
    <t>EBT150404</t>
  </si>
  <si>
    <t>EBT150405</t>
  </si>
  <si>
    <t>EBT150406</t>
  </si>
  <si>
    <t>EBT150407</t>
  </si>
  <si>
    <t>EBT150408</t>
  </si>
  <si>
    <t>EBT150409</t>
  </si>
  <si>
    <t>EBT150410</t>
  </si>
  <si>
    <t>EBT150411</t>
  </si>
  <si>
    <t>EBT150412</t>
  </si>
  <si>
    <t>EBT150413</t>
  </si>
  <si>
    <t>EBT150414</t>
  </si>
  <si>
    <t>EBT150415</t>
  </si>
  <si>
    <t>EBT150416</t>
  </si>
  <si>
    <t>EBT150417</t>
  </si>
  <si>
    <t>EBT150418</t>
  </si>
  <si>
    <t>EBT150419</t>
  </si>
  <si>
    <t>EBT150420</t>
  </si>
  <si>
    <t>EBT150421</t>
  </si>
  <si>
    <t>EBT150422</t>
  </si>
  <si>
    <t>EBT150423</t>
  </si>
  <si>
    <t>EBT150424</t>
  </si>
  <si>
    <t>EBT150425</t>
  </si>
  <si>
    <t>EBT150426</t>
  </si>
  <si>
    <t>EBT150427</t>
  </si>
  <si>
    <t>EBT150428</t>
  </si>
  <si>
    <t>EBT150429</t>
  </si>
  <si>
    <t>EBT150430</t>
  </si>
  <si>
    <t>EBT150431</t>
  </si>
  <si>
    <t>EBT150432</t>
  </si>
  <si>
    <t>EBT150433</t>
  </si>
  <si>
    <t>EBT150434</t>
  </si>
  <si>
    <t>EBT150435</t>
  </si>
  <si>
    <t>EBT150436</t>
  </si>
  <si>
    <t>EBT150437</t>
  </si>
  <si>
    <t>EBT150438</t>
  </si>
  <si>
    <t>EBT150439</t>
  </si>
  <si>
    <t>EBT150440</t>
  </si>
  <si>
    <t>EBT150441</t>
  </si>
  <si>
    <t>EBT150442</t>
  </si>
  <si>
    <t>EBT150443</t>
  </si>
  <si>
    <t>EBT150444</t>
  </si>
  <si>
    <t>EBT150444WR</t>
  </si>
  <si>
    <t>EBT150445</t>
  </si>
  <si>
    <t>EBT150446</t>
  </si>
  <si>
    <t>EBT150447</t>
  </si>
  <si>
    <t>EBT150448</t>
  </si>
  <si>
    <t>EBT150449</t>
  </si>
  <si>
    <t>EBT150450</t>
  </si>
  <si>
    <t>EBT150451</t>
  </si>
  <si>
    <t>EBT150452</t>
  </si>
  <si>
    <t>EBT150453</t>
  </si>
  <si>
    <t>EBT150454</t>
  </si>
  <si>
    <t>EBT150455</t>
  </si>
  <si>
    <t>EBT150456</t>
  </si>
  <si>
    <t>EBT150457</t>
  </si>
  <si>
    <t>EBT150458</t>
  </si>
  <si>
    <t>EBT150459</t>
  </si>
  <si>
    <t>EBT150460</t>
  </si>
  <si>
    <t>EBT150461</t>
  </si>
  <si>
    <t>EBT150462</t>
  </si>
  <si>
    <t>EBT150464</t>
  </si>
  <si>
    <t>EBT150465</t>
  </si>
  <si>
    <t>EBT150466</t>
  </si>
  <si>
    <t>EBT150467</t>
  </si>
  <si>
    <t>EBT150468</t>
  </si>
  <si>
    <t>EBT150469</t>
  </si>
  <si>
    <t>ART.EBT150469
COMP:100%PL
100%PU
WIDTH:118CM
WEIGHT:
info@ebtex.com.cn</t>
  </si>
  <si>
    <t>EBT150470</t>
  </si>
  <si>
    <t>EBT150471</t>
  </si>
  <si>
    <t>EBT150472</t>
  </si>
  <si>
    <t>EBT150473</t>
  </si>
  <si>
    <t>EBT150474</t>
  </si>
  <si>
    <t>EBT150475</t>
  </si>
  <si>
    <t>EBT150476</t>
  </si>
  <si>
    <t>EBT150477</t>
  </si>
  <si>
    <t>EBT150478</t>
  </si>
  <si>
    <t>EBT150479</t>
  </si>
  <si>
    <t>EBT150480</t>
  </si>
  <si>
    <t>EBT150481</t>
  </si>
  <si>
    <t>EBT150482</t>
  </si>
  <si>
    <t>EBT150483</t>
  </si>
  <si>
    <t>EBT150484</t>
  </si>
  <si>
    <t>EBT150485</t>
  </si>
  <si>
    <t>EBT150486</t>
  </si>
  <si>
    <t>EBT150487</t>
  </si>
  <si>
    <t>EBT150488</t>
  </si>
  <si>
    <t>EBT150489</t>
  </si>
  <si>
    <t>EBT150490</t>
  </si>
  <si>
    <t>EBT150491</t>
  </si>
  <si>
    <t>EBT150492</t>
  </si>
  <si>
    <t>EBT150493</t>
  </si>
  <si>
    <t>EBT150494</t>
  </si>
  <si>
    <t>EBT150495</t>
  </si>
  <si>
    <t>EBT150496</t>
  </si>
  <si>
    <t>EBT150497</t>
  </si>
  <si>
    <t>EBT150498</t>
  </si>
  <si>
    <t>EBT150499</t>
  </si>
  <si>
    <t>EBT150500</t>
  </si>
  <si>
    <t>EBT150501</t>
  </si>
  <si>
    <t>EBT150502-A</t>
  </si>
  <si>
    <t>EBT150502-B</t>
  </si>
  <si>
    <t>ART.EBT150502-B
COMP:100%PL
100%PU
WIDTH:115CM
WEIGHT:
info@ebtex.com.cn</t>
  </si>
  <si>
    <t>EBT150503</t>
  </si>
  <si>
    <t>EBT150504</t>
  </si>
  <si>
    <t>EBT150505</t>
  </si>
  <si>
    <t>EBT150506</t>
  </si>
  <si>
    <t>EBT150507</t>
  </si>
  <si>
    <t>EBT150508</t>
  </si>
  <si>
    <t>EBT150509</t>
  </si>
  <si>
    <t>EBT150510</t>
  </si>
  <si>
    <t>EBT150511</t>
  </si>
  <si>
    <t>EBT150512</t>
  </si>
  <si>
    <t>EBT150513</t>
  </si>
  <si>
    <t>EBT150514</t>
  </si>
  <si>
    <t>EBT150515</t>
  </si>
  <si>
    <t>EBT150516</t>
  </si>
  <si>
    <t>EBT150517</t>
  </si>
  <si>
    <t>EBT150518-DM</t>
  </si>
  <si>
    <t>EBT150518-QM</t>
  </si>
  <si>
    <t>EBT150519</t>
  </si>
  <si>
    <t>EBT150520</t>
  </si>
  <si>
    <t>EBT150521</t>
  </si>
  <si>
    <t>EBT150522</t>
  </si>
  <si>
    <t>EBT150523</t>
  </si>
  <si>
    <t>EBT150524</t>
  </si>
  <si>
    <t>EBT150525</t>
  </si>
  <si>
    <t>EBT150526</t>
  </si>
  <si>
    <t>EBT150527</t>
  </si>
  <si>
    <t>EBT150528</t>
  </si>
  <si>
    <t>EBT150529</t>
  </si>
  <si>
    <t>EBT150530</t>
  </si>
  <si>
    <t>EBT150531</t>
  </si>
  <si>
    <t>EBT150532</t>
  </si>
  <si>
    <t>EBT150533</t>
  </si>
  <si>
    <t>EBT150534</t>
  </si>
  <si>
    <t>EBT150535</t>
  </si>
  <si>
    <t>EBT150536</t>
  </si>
  <si>
    <t>EBT150537</t>
  </si>
  <si>
    <t>EBT150538</t>
  </si>
  <si>
    <t>EBT150539</t>
  </si>
  <si>
    <t>EBT150540</t>
  </si>
  <si>
    <t>EBT150541</t>
  </si>
  <si>
    <t>EBT150542</t>
  </si>
  <si>
    <t>EBT150543</t>
  </si>
  <si>
    <t>EBT150544</t>
  </si>
  <si>
    <t>EBT150545</t>
  </si>
  <si>
    <t>EBT150546</t>
  </si>
  <si>
    <t>EBT150547</t>
  </si>
  <si>
    <t>EBT150548</t>
  </si>
  <si>
    <t>EBT150549</t>
  </si>
  <si>
    <t>EBT150550</t>
  </si>
  <si>
    <t>EBT150551</t>
  </si>
  <si>
    <t>EBT150552</t>
  </si>
  <si>
    <t>EBT150553</t>
  </si>
  <si>
    <t>EBT150554</t>
  </si>
  <si>
    <t>EBT150555</t>
  </si>
  <si>
    <t>EBT150556</t>
  </si>
  <si>
    <t>EBT150557</t>
  </si>
  <si>
    <t>EBT150558</t>
  </si>
  <si>
    <t>ART.EBT150558
COMP:F:60%CO 40%PA
G:100%PL
WIDTH:57/58"
WEIGHT:280G/M2
info@ebtex.com.cn</t>
  </si>
  <si>
    <t>EBT150558-OPTION 3</t>
  </si>
  <si>
    <t>EBT150558-ZA</t>
  </si>
  <si>
    <t>EBT150559</t>
  </si>
  <si>
    <t>EBT150560</t>
  </si>
  <si>
    <t>EBT150561</t>
  </si>
  <si>
    <t>EBT150562</t>
  </si>
  <si>
    <t>EBT150563</t>
  </si>
  <si>
    <t>EBT150564</t>
  </si>
  <si>
    <t>EBT150565</t>
  </si>
  <si>
    <t>EBT150566</t>
  </si>
  <si>
    <t>EBT150567</t>
  </si>
  <si>
    <t>EBT150568</t>
  </si>
  <si>
    <t>EBT150569</t>
  </si>
  <si>
    <t>EBT150570</t>
  </si>
  <si>
    <t>EBT150571</t>
  </si>
  <si>
    <t>EBT150572</t>
  </si>
  <si>
    <t>EBT150573</t>
  </si>
  <si>
    <t>EBT150574</t>
  </si>
  <si>
    <t>EBT150575</t>
  </si>
  <si>
    <t>EBT150576</t>
  </si>
  <si>
    <t>EBT150577</t>
  </si>
  <si>
    <t>EBT150578</t>
  </si>
  <si>
    <t>EBT150579</t>
  </si>
  <si>
    <t>EBT150580</t>
  </si>
  <si>
    <t>EBT150581</t>
  </si>
  <si>
    <t>EBT150582</t>
  </si>
  <si>
    <t>EBT150583</t>
  </si>
  <si>
    <t>EBT150584</t>
  </si>
  <si>
    <t>EBT150585</t>
  </si>
  <si>
    <t>EBT150586</t>
  </si>
  <si>
    <t>EBT150587</t>
  </si>
  <si>
    <t>EBT150588</t>
  </si>
  <si>
    <t>EBT150589</t>
  </si>
  <si>
    <t>EBT150590</t>
  </si>
  <si>
    <t>EBT150591</t>
  </si>
  <si>
    <t>EBT150592</t>
  </si>
  <si>
    <t>EBT150593</t>
  </si>
  <si>
    <t>EBT150594</t>
  </si>
  <si>
    <t>EBT150595</t>
  </si>
  <si>
    <t>EBT150596</t>
  </si>
  <si>
    <t>EBT150597</t>
  </si>
  <si>
    <t>EBT150598</t>
  </si>
  <si>
    <t>EBT150599</t>
  </si>
  <si>
    <t>EBT150600</t>
  </si>
  <si>
    <t>EBT150601</t>
  </si>
  <si>
    <t>EBT150602</t>
  </si>
  <si>
    <t>EBT150603</t>
  </si>
  <si>
    <t>EBT150604</t>
  </si>
  <si>
    <t>EBT150605-1</t>
  </si>
  <si>
    <t>EBT150605-2</t>
  </si>
  <si>
    <t>EBT150605-3</t>
  </si>
  <si>
    <t>EBT150605-single</t>
  </si>
  <si>
    <t>EBT150606</t>
  </si>
  <si>
    <t>EBT150607</t>
  </si>
  <si>
    <t>EBT150608</t>
  </si>
  <si>
    <t>EBT150609</t>
  </si>
  <si>
    <t>EBT150610</t>
  </si>
  <si>
    <t>EBT150611</t>
  </si>
  <si>
    <t>EBT150612-110</t>
  </si>
  <si>
    <t>EBT150612-136</t>
  </si>
  <si>
    <t>EBT150613</t>
  </si>
  <si>
    <t>EBT150614</t>
  </si>
  <si>
    <t>EBT150615</t>
  </si>
  <si>
    <t>EBT150616</t>
  </si>
  <si>
    <t>EBT150617</t>
  </si>
  <si>
    <t>EBT150618</t>
  </si>
  <si>
    <t>EBT150619</t>
  </si>
  <si>
    <t>EBT150620</t>
  </si>
  <si>
    <t>EBT150621</t>
  </si>
  <si>
    <t>EBT150622</t>
  </si>
  <si>
    <t>EBT150623</t>
  </si>
  <si>
    <t>EBT150623-B</t>
  </si>
  <si>
    <t>EBT150624</t>
  </si>
  <si>
    <t>EBT150624-B</t>
  </si>
  <si>
    <t>EBT150625</t>
  </si>
  <si>
    <t>EBT150625-B</t>
  </si>
  <si>
    <t>EBT150626</t>
  </si>
  <si>
    <t>EBT150626-B</t>
  </si>
  <si>
    <t>EBT150627</t>
  </si>
  <si>
    <t>EBT150628</t>
  </si>
  <si>
    <t>EBT150629</t>
  </si>
  <si>
    <t>EBT150630</t>
  </si>
  <si>
    <t>EBT150631</t>
  </si>
  <si>
    <t>EBT150632</t>
  </si>
  <si>
    <t>EBT150633</t>
  </si>
  <si>
    <t>EBT150634</t>
  </si>
  <si>
    <t>EBT150635</t>
  </si>
  <si>
    <t>EBT150636</t>
  </si>
  <si>
    <t>EBT150637</t>
  </si>
  <si>
    <t>EBT150638</t>
  </si>
  <si>
    <t>EBT150639</t>
  </si>
  <si>
    <t>EBT150640</t>
  </si>
  <si>
    <t>EBT150641</t>
  </si>
  <si>
    <t>EBT150642</t>
  </si>
  <si>
    <t>EBT150642-PS</t>
  </si>
  <si>
    <t>EBT150643</t>
  </si>
  <si>
    <t>EBT150645</t>
  </si>
  <si>
    <t>EBT150646</t>
  </si>
  <si>
    <t>EBT150647</t>
  </si>
  <si>
    <t>EBT150648</t>
  </si>
  <si>
    <t>EBT150649</t>
  </si>
  <si>
    <t>EBT150650</t>
  </si>
  <si>
    <t>EBT150651</t>
  </si>
  <si>
    <t>EBT150652</t>
  </si>
  <si>
    <t>EBT150653</t>
  </si>
  <si>
    <t>EBT150654</t>
  </si>
  <si>
    <t>EBT150655</t>
  </si>
  <si>
    <t>EBT150656</t>
  </si>
  <si>
    <t>EBT150657</t>
  </si>
  <si>
    <t>EBT150658</t>
  </si>
  <si>
    <t>EBT150659</t>
  </si>
  <si>
    <t>EBT150660</t>
  </si>
  <si>
    <t>EBT150661</t>
  </si>
  <si>
    <t>EBT150662</t>
  </si>
  <si>
    <t>EBT150663</t>
  </si>
  <si>
    <t>EBT150664</t>
  </si>
  <si>
    <t>EBT150665</t>
  </si>
  <si>
    <t>EBT150666</t>
  </si>
  <si>
    <t>EBT150667</t>
  </si>
  <si>
    <t>EBT150668</t>
  </si>
  <si>
    <t>EBT150669</t>
  </si>
  <si>
    <t>EBT150670</t>
  </si>
  <si>
    <t>EBT150671</t>
  </si>
  <si>
    <t>EBT150671A</t>
  </si>
  <si>
    <t>EBT150672</t>
  </si>
  <si>
    <t>EBT150673</t>
  </si>
  <si>
    <t>EBT150674</t>
  </si>
  <si>
    <t>EBT150675</t>
  </si>
  <si>
    <t>EBT150676</t>
  </si>
  <si>
    <t>EBT150677</t>
  </si>
  <si>
    <t>EBT150678</t>
  </si>
  <si>
    <t>EBT150679</t>
  </si>
  <si>
    <t>EBT150680</t>
  </si>
  <si>
    <t>EBT150681</t>
  </si>
  <si>
    <t>EBT150682</t>
  </si>
  <si>
    <t>EBT150683</t>
  </si>
  <si>
    <t>EBT150684</t>
  </si>
  <si>
    <t>EBT150685</t>
  </si>
  <si>
    <t>EBT150686</t>
  </si>
  <si>
    <t>EBT150687</t>
  </si>
  <si>
    <t>EBT150688</t>
  </si>
  <si>
    <t>EBT150689</t>
  </si>
  <si>
    <t>EBT150690</t>
  </si>
  <si>
    <t>EBT150691</t>
  </si>
  <si>
    <t>EBT150692</t>
  </si>
  <si>
    <t>EBT150693</t>
  </si>
  <si>
    <t>EBT150694</t>
  </si>
  <si>
    <t>EBT150695</t>
  </si>
  <si>
    <t>EBT150696</t>
  </si>
  <si>
    <t>EBT150697</t>
  </si>
  <si>
    <t>EBT150698</t>
  </si>
  <si>
    <t>EBT150699</t>
  </si>
  <si>
    <t>EBT150700</t>
  </si>
  <si>
    <t>EBT150701</t>
  </si>
  <si>
    <t>EBT150702</t>
  </si>
  <si>
    <t>EBT150703</t>
  </si>
  <si>
    <t>EBT150704</t>
  </si>
  <si>
    <t>EBT150705</t>
  </si>
  <si>
    <t>EBT150706</t>
  </si>
  <si>
    <t>ART.EBT150706
COMP:10%WO 90%SYNTHETIC
WIDTH:57/58"
WEIGHT:690G/M
info@ebtex.com.cn</t>
  </si>
  <si>
    <t>EBT150707</t>
  </si>
  <si>
    <t>EBT150708</t>
  </si>
  <si>
    <t>EBT150709</t>
  </si>
  <si>
    <t>EBT150710</t>
  </si>
  <si>
    <t>EBT150711</t>
  </si>
  <si>
    <t>EBT150712</t>
  </si>
  <si>
    <t>EBT150712B</t>
  </si>
  <si>
    <t>EBT150713</t>
  </si>
  <si>
    <t>EBT150714</t>
  </si>
  <si>
    <t>EBT150715</t>
  </si>
  <si>
    <t>EBT150716</t>
  </si>
  <si>
    <t>EBT150717</t>
  </si>
  <si>
    <t>EBT150718</t>
  </si>
  <si>
    <t>EBT150719</t>
  </si>
  <si>
    <t>EBT150720</t>
  </si>
  <si>
    <t>EBT150721</t>
  </si>
  <si>
    <t>EBT150722</t>
  </si>
  <si>
    <t>EBT150723</t>
  </si>
  <si>
    <t>EBT150724</t>
  </si>
  <si>
    <t>EBT150725</t>
  </si>
  <si>
    <t>EBT150726</t>
  </si>
  <si>
    <t>EBT150727</t>
  </si>
  <si>
    <t>EBT150728</t>
  </si>
  <si>
    <t>EBT150729</t>
  </si>
  <si>
    <t>EBT150730</t>
  </si>
  <si>
    <t>EBT150731</t>
  </si>
  <si>
    <t>EBT150732</t>
  </si>
  <si>
    <t>ART.EBT150732
COMP:100%P
WIDTH:125CM
WEIGHT:360G/M2
info@ebtex.com.cn</t>
  </si>
  <si>
    <t>EBT150733</t>
  </si>
  <si>
    <t>EBT150734</t>
  </si>
  <si>
    <t>EBT150735</t>
  </si>
  <si>
    <t>EBT150736</t>
  </si>
  <si>
    <t>EBT150737</t>
  </si>
  <si>
    <t>EBT150738</t>
  </si>
  <si>
    <t>EBT150739</t>
  </si>
  <si>
    <t>EBT150740</t>
  </si>
  <si>
    <t>EBT150741</t>
  </si>
  <si>
    <t>EBT150742</t>
  </si>
  <si>
    <t>EBT150743</t>
  </si>
  <si>
    <t>EBT150744</t>
  </si>
  <si>
    <t>EBT150745</t>
  </si>
  <si>
    <t>EBT150746</t>
  </si>
  <si>
    <t>EBT150747</t>
  </si>
  <si>
    <t>EBT150748</t>
  </si>
  <si>
    <t>EBT150749</t>
  </si>
  <si>
    <t>EBT150750</t>
  </si>
  <si>
    <t>EBT150751</t>
  </si>
  <si>
    <t>EBT150752</t>
  </si>
  <si>
    <t>EBT150753</t>
  </si>
  <si>
    <t>EBT150754</t>
  </si>
  <si>
    <t>EBT150755</t>
  </si>
  <si>
    <t>EBT150756</t>
  </si>
  <si>
    <t>EBT150757</t>
  </si>
  <si>
    <t>EBT150758</t>
  </si>
  <si>
    <t>EBT150759</t>
  </si>
  <si>
    <t>EBT150760</t>
  </si>
  <si>
    <t>EBT150761</t>
  </si>
  <si>
    <t>EBT150762</t>
  </si>
  <si>
    <t>EBT150763</t>
  </si>
  <si>
    <t>EBT150764</t>
  </si>
  <si>
    <t>EBT150765</t>
  </si>
  <si>
    <t>EBT150766</t>
  </si>
  <si>
    <t>EBT150767</t>
  </si>
  <si>
    <t>EBT150768</t>
  </si>
  <si>
    <t>EBT150769</t>
  </si>
  <si>
    <t>EBT150770</t>
  </si>
  <si>
    <t>EBT150771</t>
  </si>
  <si>
    <t>EBT150772</t>
  </si>
  <si>
    <t>EBT150773</t>
  </si>
  <si>
    <t>EBT150774</t>
  </si>
  <si>
    <t>EBT150774-1</t>
  </si>
  <si>
    <t>EBT150774-2</t>
  </si>
  <si>
    <t>EBT150775</t>
  </si>
  <si>
    <t>EBT150776</t>
  </si>
  <si>
    <t>EBT150777</t>
  </si>
  <si>
    <t>EBT150777-310</t>
  </si>
  <si>
    <t>EBT150777-340</t>
  </si>
  <si>
    <t>EBT150778</t>
  </si>
  <si>
    <t>EBT150779-A</t>
  </si>
  <si>
    <t>EBT150779-B</t>
  </si>
  <si>
    <t>ART.EBT150779-B
COMP:97%PL 3%EA
WIDTH:144cm
WEIGHT:360G/M2
info@ebtex.com.cn</t>
  </si>
  <si>
    <t>EBT150779-C</t>
  </si>
  <si>
    <t>EBT150780</t>
  </si>
  <si>
    <t>EBT150781</t>
  </si>
  <si>
    <t>EBT150782</t>
  </si>
  <si>
    <t>EBT150783</t>
  </si>
  <si>
    <t>EBT150784</t>
  </si>
  <si>
    <t>EBT150785</t>
  </si>
  <si>
    <t>EBT150786</t>
  </si>
  <si>
    <t>EBT150787</t>
  </si>
  <si>
    <t>EBT150788</t>
  </si>
  <si>
    <t>EBT150789</t>
  </si>
  <si>
    <t>EBT150790</t>
  </si>
  <si>
    <t>EBT150791</t>
  </si>
  <si>
    <t>EBT150792</t>
  </si>
  <si>
    <t>EBT150793</t>
  </si>
  <si>
    <t>EBT150794</t>
  </si>
  <si>
    <t>EBT150795</t>
  </si>
  <si>
    <t>EBT150796</t>
  </si>
  <si>
    <t>EBT150797</t>
  </si>
  <si>
    <t>EBT150798</t>
  </si>
  <si>
    <t>EBT150799</t>
  </si>
  <si>
    <t>EBT150800</t>
  </si>
  <si>
    <t>EBT150801</t>
  </si>
  <si>
    <t>EBT150802</t>
  </si>
  <si>
    <t>EBT150803</t>
  </si>
  <si>
    <t>EBT150804</t>
  </si>
  <si>
    <t>EBT150805</t>
  </si>
  <si>
    <t>EBT150806</t>
  </si>
  <si>
    <t>EBT150807</t>
  </si>
  <si>
    <t>EBT150808</t>
  </si>
  <si>
    <t>EBT150809</t>
  </si>
  <si>
    <t>EBT150810</t>
  </si>
  <si>
    <t>EBT150811</t>
  </si>
  <si>
    <t>EBT150812</t>
  </si>
  <si>
    <t>EBT150813</t>
  </si>
  <si>
    <t>EBT150814</t>
  </si>
  <si>
    <t>EBT150815</t>
  </si>
  <si>
    <t>EBT150816</t>
  </si>
  <si>
    <t>EBT150817</t>
  </si>
  <si>
    <t>EBT150818</t>
  </si>
  <si>
    <t>EBT150819</t>
  </si>
  <si>
    <t>EBT150820</t>
  </si>
  <si>
    <t>EBT150821</t>
  </si>
  <si>
    <t>EBT150822</t>
  </si>
  <si>
    <t>EBT150823</t>
  </si>
  <si>
    <t>EBT150824</t>
  </si>
  <si>
    <t>EBT150825</t>
  </si>
  <si>
    <t>EBT150826</t>
  </si>
  <si>
    <t>EBT150827</t>
  </si>
  <si>
    <t>EBT150828</t>
  </si>
  <si>
    <t>EBT150829</t>
  </si>
  <si>
    <t>EBT150830</t>
  </si>
  <si>
    <t>EBT150831</t>
  </si>
  <si>
    <t>EBT150832</t>
  </si>
  <si>
    <t>EBT150833</t>
  </si>
  <si>
    <t>EBT150834</t>
  </si>
  <si>
    <t>EBT150835</t>
  </si>
  <si>
    <t>EBT150836</t>
  </si>
  <si>
    <t>EBT150837</t>
  </si>
  <si>
    <t>EBT150838</t>
  </si>
  <si>
    <t>EBT150839</t>
  </si>
  <si>
    <t>EBT150840</t>
  </si>
  <si>
    <t>EBT150841</t>
  </si>
  <si>
    <t>EBT150842</t>
  </si>
  <si>
    <t>EBT150843</t>
  </si>
  <si>
    <t>EBT150844</t>
  </si>
  <si>
    <t>EBT150845</t>
  </si>
  <si>
    <t>EBT150846</t>
  </si>
  <si>
    <t>EBT150847</t>
  </si>
  <si>
    <t>EBT150848</t>
  </si>
  <si>
    <t>EBT150849</t>
  </si>
  <si>
    <t>EBT150850</t>
  </si>
  <si>
    <t>EBT150851</t>
  </si>
  <si>
    <t>EBT150852</t>
  </si>
  <si>
    <t>EBT150853</t>
  </si>
  <si>
    <t>EBT150854</t>
  </si>
  <si>
    <t>EBT150855</t>
  </si>
  <si>
    <t>EBT150856</t>
  </si>
  <si>
    <t>EBT250309</t>
  </si>
  <si>
    <t>EBT250310</t>
  </si>
  <si>
    <t>EBT250311</t>
  </si>
  <si>
    <t>EBT250312</t>
  </si>
  <si>
    <t>EBT250314</t>
  </si>
  <si>
    <t>EBT250315</t>
  </si>
  <si>
    <t>EBT250316</t>
  </si>
  <si>
    <t>EBT250317</t>
  </si>
  <si>
    <t>EBT250318</t>
  </si>
  <si>
    <t>EBT250319</t>
  </si>
  <si>
    <t>EBT250320</t>
  </si>
  <si>
    <t>EBT250321</t>
  </si>
  <si>
    <t>EBT250322</t>
  </si>
  <si>
    <t>EBT250323</t>
  </si>
  <si>
    <t>EBT250325</t>
  </si>
  <si>
    <t>EBT250326</t>
  </si>
  <si>
    <t>EBT250327</t>
  </si>
  <si>
    <t>EBT250328</t>
  </si>
  <si>
    <t>EBT250329</t>
  </si>
  <si>
    <t>EBT250330</t>
  </si>
  <si>
    <t>EBT250331</t>
  </si>
  <si>
    <t>EBT250332</t>
  </si>
  <si>
    <t>EBT250333</t>
  </si>
  <si>
    <t>EBT250334</t>
  </si>
  <si>
    <t>EBT250335</t>
  </si>
  <si>
    <t>EBT250336</t>
  </si>
  <si>
    <t>EBT250337</t>
  </si>
  <si>
    <t>EBT250338</t>
  </si>
  <si>
    <t>EBT250339</t>
  </si>
  <si>
    <t>EBT250340</t>
  </si>
  <si>
    <t>EBT250341</t>
  </si>
  <si>
    <t>EBT250342</t>
  </si>
  <si>
    <t>EBT250343</t>
  </si>
  <si>
    <t>EBT250344</t>
  </si>
  <si>
    <t>EBT250345</t>
  </si>
  <si>
    <t>EBT250346</t>
  </si>
  <si>
    <t>EBT250347</t>
  </si>
  <si>
    <t>EBT250348</t>
  </si>
  <si>
    <t>EBT250349</t>
  </si>
  <si>
    <t>EBT250350</t>
  </si>
  <si>
    <t>EBT250351</t>
  </si>
  <si>
    <t>EBT250352</t>
  </si>
  <si>
    <t>EBT250353</t>
  </si>
  <si>
    <t>EBT250354</t>
  </si>
  <si>
    <t>EBT250355</t>
  </si>
  <si>
    <t>EBT250356</t>
  </si>
  <si>
    <t>EBT250357</t>
  </si>
  <si>
    <t>EBT250358</t>
  </si>
  <si>
    <t>EBT250359</t>
  </si>
  <si>
    <t>EBT250360</t>
  </si>
  <si>
    <t>EBT250361</t>
  </si>
  <si>
    <t>EBT250362</t>
  </si>
  <si>
    <t>EBT250363</t>
  </si>
  <si>
    <t>EBT250364</t>
  </si>
  <si>
    <t>EBT250365</t>
  </si>
  <si>
    <t>EBT250366</t>
  </si>
  <si>
    <t>EBT250367</t>
  </si>
  <si>
    <t>EBT250368</t>
  </si>
  <si>
    <t>EBT250369</t>
  </si>
  <si>
    <t>EBT250370</t>
  </si>
  <si>
    <t>EBT250371</t>
  </si>
  <si>
    <t>EBT250372</t>
  </si>
  <si>
    <t>EBT250373</t>
  </si>
  <si>
    <t>EBT250374</t>
  </si>
  <si>
    <t>EBT250375</t>
  </si>
  <si>
    <t>EBT250376</t>
  </si>
  <si>
    <t>EBT250377</t>
  </si>
  <si>
    <t>EBT250378</t>
  </si>
  <si>
    <t>EBT250379</t>
  </si>
  <si>
    <t>EBT250380</t>
  </si>
  <si>
    <t>EBT250381</t>
  </si>
  <si>
    <t>EBT250382</t>
  </si>
  <si>
    <t>EBT250383</t>
  </si>
  <si>
    <t>EBT250384</t>
  </si>
  <si>
    <t>EBT250385</t>
  </si>
  <si>
    <t>EBT250386</t>
  </si>
  <si>
    <t>EBT250387</t>
  </si>
  <si>
    <t>EBT250388</t>
  </si>
  <si>
    <t>EBT250389</t>
  </si>
  <si>
    <t>EBT250390</t>
  </si>
  <si>
    <t>EBT250391</t>
  </si>
  <si>
    <t>EBT250392</t>
  </si>
  <si>
    <t>EBT250393</t>
  </si>
  <si>
    <t>EBT250394</t>
  </si>
  <si>
    <t>EBT250395</t>
  </si>
  <si>
    <t>EBT250396</t>
  </si>
  <si>
    <t>EBT250397</t>
  </si>
  <si>
    <t>EBT250398</t>
  </si>
  <si>
    <t>EBT250399</t>
  </si>
  <si>
    <t>EBT250400</t>
  </si>
  <si>
    <t>EBT250401</t>
  </si>
  <si>
    <t>EBT250402</t>
  </si>
  <si>
    <t>EBT250403</t>
  </si>
  <si>
    <t>EBT250404</t>
  </si>
  <si>
    <t>EBT250405</t>
  </si>
  <si>
    <t>EBT250406</t>
  </si>
  <si>
    <t>EBT250407</t>
  </si>
  <si>
    <t>EBT250408</t>
  </si>
  <si>
    <t>EBT250409</t>
  </si>
  <si>
    <t>EBT250410</t>
  </si>
  <si>
    <t>EBT250411</t>
  </si>
  <si>
    <t>EBT250412</t>
  </si>
  <si>
    <t>EBT250413</t>
  </si>
  <si>
    <t>EBT250414</t>
  </si>
  <si>
    <t>EBT250415</t>
  </si>
  <si>
    <t>EBT250416</t>
  </si>
  <si>
    <t>ART.EBT250339
COMP:100%CO 
WIDTH:130CM
WEIGHT:
info@ebtex.com.cn</t>
  </si>
  <si>
    <t>EBT150858</t>
  </si>
  <si>
    <t>EBT150859</t>
  </si>
  <si>
    <t>EBT150860</t>
  </si>
  <si>
    <t>EBT150861</t>
  </si>
  <si>
    <t>EBT150862</t>
  </si>
  <si>
    <t>EBT150863</t>
  </si>
  <si>
    <t>EBT150864</t>
  </si>
  <si>
    <t>EBT150865</t>
  </si>
  <si>
    <t>EBT150866</t>
  </si>
  <si>
    <t>EBT150867</t>
  </si>
  <si>
    <t>EBT150868</t>
  </si>
  <si>
    <t>EBT150869</t>
  </si>
  <si>
    <t>EBT150870</t>
  </si>
  <si>
    <t>EBT150878</t>
  </si>
  <si>
    <t>EBT150879</t>
  </si>
  <si>
    <t>EBT150880</t>
  </si>
  <si>
    <t>EBT150881</t>
  </si>
  <si>
    <t>EBT150882</t>
  </si>
  <si>
    <t>EBT150883</t>
  </si>
  <si>
    <t>EBT150884</t>
  </si>
  <si>
    <t>EBT150885</t>
  </si>
  <si>
    <t>EBT150886</t>
  </si>
  <si>
    <t>EBT150887</t>
  </si>
  <si>
    <t>EBT150888</t>
  </si>
  <si>
    <t>EBT150889</t>
  </si>
  <si>
    <t>EBT150890</t>
  </si>
  <si>
    <t>EBT150891</t>
  </si>
  <si>
    <t>EBT150892</t>
  </si>
  <si>
    <t>EBT150893</t>
  </si>
  <si>
    <t>EBT150894</t>
  </si>
  <si>
    <t>EBT150895</t>
  </si>
  <si>
    <t>EBT150896</t>
  </si>
  <si>
    <t>EBT150897</t>
  </si>
  <si>
    <t>EBT150898</t>
  </si>
  <si>
    <t>EBT150899</t>
  </si>
  <si>
    <t>EBT150900</t>
  </si>
  <si>
    <t>EBT150901</t>
  </si>
  <si>
    <t>EBT150902</t>
  </si>
  <si>
    <t>EBT150903</t>
  </si>
  <si>
    <t>EBT150904</t>
  </si>
  <si>
    <t>EBT150905</t>
  </si>
  <si>
    <t>EBT150906</t>
  </si>
  <si>
    <t>EBT150907</t>
  </si>
  <si>
    <t>EBT150908</t>
  </si>
  <si>
    <t>EBT150909</t>
  </si>
  <si>
    <t>EBT150910</t>
  </si>
  <si>
    <t>EBT150911</t>
  </si>
  <si>
    <t>EBT150912</t>
  </si>
  <si>
    <t>EBT150913</t>
  </si>
  <si>
    <t>EBT150914</t>
  </si>
  <si>
    <t>EBT150915</t>
  </si>
  <si>
    <t>EBT150916</t>
  </si>
  <si>
    <t>EBT150917</t>
  </si>
  <si>
    <t>EBT150918</t>
  </si>
  <si>
    <t>EBT150919</t>
  </si>
  <si>
    <t>EBT150920</t>
  </si>
  <si>
    <t>EBT150921</t>
  </si>
  <si>
    <t>EBT150922</t>
  </si>
  <si>
    <t>EBT150923</t>
  </si>
  <si>
    <t>EBT150924</t>
  </si>
  <si>
    <t>EBT150925</t>
  </si>
  <si>
    <t>EBT150926</t>
  </si>
  <si>
    <t>EBT150927</t>
  </si>
  <si>
    <t>EBT150928</t>
  </si>
  <si>
    <t>EBT150929</t>
  </si>
  <si>
    <t>EBT150930</t>
  </si>
  <si>
    <t>EBT150931</t>
  </si>
  <si>
    <t>EBT150932</t>
  </si>
  <si>
    <t>EBT150933</t>
  </si>
  <si>
    <t>EBT150934</t>
  </si>
  <si>
    <t>EBT150935</t>
  </si>
  <si>
    <t>EBT150936</t>
  </si>
  <si>
    <t>EBT150937</t>
  </si>
  <si>
    <t>EBT150938</t>
  </si>
  <si>
    <t>EBT150939</t>
  </si>
  <si>
    <t>EBT250417</t>
  </si>
  <si>
    <t>EBT250418</t>
  </si>
  <si>
    <t>EBT250419</t>
  </si>
  <si>
    <t>EBT250420</t>
  </si>
  <si>
    <t>EBT250421</t>
  </si>
  <si>
    <t>EBT250422</t>
  </si>
  <si>
    <t>EBT250423</t>
  </si>
  <si>
    <t>EBT250424</t>
  </si>
  <si>
    <t>EBT250425</t>
  </si>
  <si>
    <t>EBT250426</t>
  </si>
  <si>
    <t>EBT250427</t>
  </si>
  <si>
    <t>EBT250428</t>
  </si>
  <si>
    <t>EBT250429</t>
  </si>
  <si>
    <t>EBT250430</t>
  </si>
  <si>
    <t>EBT250431</t>
  </si>
  <si>
    <t>EBT250432</t>
  </si>
  <si>
    <t>EBT250433</t>
  </si>
  <si>
    <t>EBT250434</t>
  </si>
  <si>
    <t>EBT250435</t>
  </si>
  <si>
    <t>EBT250436</t>
  </si>
  <si>
    <t>EBT250437</t>
  </si>
  <si>
    <t>EBT250438</t>
  </si>
  <si>
    <t>EBT250439</t>
  </si>
  <si>
    <t>EBT250440</t>
  </si>
  <si>
    <t>EBT250441</t>
  </si>
  <si>
    <t>EBT250442</t>
  </si>
  <si>
    <t>EBT250443</t>
  </si>
  <si>
    <t>EBT250444</t>
  </si>
  <si>
    <t>EBT250445</t>
  </si>
  <si>
    <t>EBT250446</t>
  </si>
  <si>
    <t>EBT250447</t>
  </si>
  <si>
    <t>EBT250448</t>
  </si>
  <si>
    <t>EBT250449</t>
  </si>
  <si>
    <t>EBT250450</t>
  </si>
  <si>
    <t>EBT250451</t>
  </si>
  <si>
    <t>EBT250452</t>
  </si>
  <si>
    <t>EBT250453</t>
  </si>
  <si>
    <t>EBT250454</t>
  </si>
  <si>
    <t>EBT250455</t>
  </si>
  <si>
    <t>EBT250456</t>
  </si>
  <si>
    <t>EBT250457</t>
  </si>
  <si>
    <t>EBT250458</t>
  </si>
  <si>
    <t>EBT250459</t>
  </si>
  <si>
    <t>EBT250460</t>
  </si>
  <si>
    <t>EBT250461</t>
  </si>
  <si>
    <t>EBT250462</t>
  </si>
  <si>
    <t>EBT150871</t>
  </si>
  <si>
    <t>EBT150877</t>
  </si>
  <si>
    <t>EBT150857</t>
  </si>
  <si>
    <t>EBT150876</t>
  </si>
  <si>
    <t>EBT150875</t>
  </si>
  <si>
    <t>EBT150874</t>
  </si>
  <si>
    <t>EBT150872</t>
  </si>
  <si>
    <t>ART.EBT150861
COMP:Coating:100%PU
G:100%PL
WIDTH:CM:123CM
WEIGHT:
info@ebtex.com.cn</t>
  </si>
  <si>
    <t>ART.EBT150869
COMP:G:100%PL FLOWER:100%PU
WIDTH:126CM
WEIGHT:
info@ebtex.com.cn</t>
  </si>
  <si>
    <t>ART.EBT150892
COMP:F:100%PU G:100%PL
WIDTH:126CM
WEIGHT:365G/M2
info@ebtex.com.cn</t>
  </si>
  <si>
    <t>EBT140001</t>
  </si>
  <si>
    <t>EBT140002</t>
  </si>
  <si>
    <t>EBT140003</t>
  </si>
  <si>
    <t>EBT140006</t>
  </si>
  <si>
    <t>EBT140007</t>
  </si>
  <si>
    <t>EBT140008</t>
  </si>
  <si>
    <t>EBT140009</t>
  </si>
  <si>
    <t>EBT140010</t>
  </si>
  <si>
    <t>EBT140011</t>
  </si>
  <si>
    <t>EBT140012</t>
  </si>
  <si>
    <t>EBT140013</t>
  </si>
  <si>
    <t>EBT140014</t>
  </si>
  <si>
    <t>EBT140015</t>
  </si>
  <si>
    <t>EBT140016</t>
  </si>
  <si>
    <t>EBT140017</t>
  </si>
  <si>
    <t>EBT140018</t>
  </si>
  <si>
    <t>EBT140019</t>
  </si>
  <si>
    <t>EBT140020</t>
  </si>
  <si>
    <t>EBT140021</t>
  </si>
  <si>
    <t>EBT140022</t>
  </si>
  <si>
    <t>EBT140023</t>
  </si>
  <si>
    <t>EBT140024</t>
  </si>
  <si>
    <t>EBT140025</t>
  </si>
  <si>
    <t>EBT140026</t>
  </si>
  <si>
    <t>EBT140027</t>
  </si>
  <si>
    <t>EBT140028</t>
  </si>
  <si>
    <t>EBT140029</t>
  </si>
  <si>
    <t>EBT140030</t>
  </si>
  <si>
    <t>EBT140031</t>
  </si>
  <si>
    <t>EBT140032</t>
  </si>
  <si>
    <t>EBT140033</t>
  </si>
  <si>
    <t>EBT140034</t>
  </si>
  <si>
    <t>EBT140035</t>
  </si>
  <si>
    <t>EBT140036</t>
  </si>
  <si>
    <t>EBT140037</t>
  </si>
  <si>
    <t>EBT140038</t>
  </si>
  <si>
    <t>EBT140039</t>
  </si>
  <si>
    <t>EBT140040</t>
  </si>
  <si>
    <t>EBT140041</t>
  </si>
  <si>
    <t>EBT140042</t>
  </si>
  <si>
    <t>EBT140043</t>
  </si>
  <si>
    <t>EBT140044</t>
  </si>
  <si>
    <t>EBT140045</t>
  </si>
  <si>
    <t>EBT140045-B</t>
  </si>
  <si>
    <t>EBT140045-C</t>
  </si>
  <si>
    <t>EBT140045-D</t>
  </si>
  <si>
    <t>EBT140046</t>
  </si>
  <si>
    <t>EBT140047</t>
  </si>
  <si>
    <t>EBT140048</t>
  </si>
  <si>
    <t>EBT140049</t>
  </si>
  <si>
    <t>EBT140050</t>
  </si>
  <si>
    <t>EBT140051</t>
  </si>
  <si>
    <t>EBT140052</t>
  </si>
  <si>
    <t>EBT140053</t>
  </si>
  <si>
    <t>EBT140054</t>
  </si>
  <si>
    <t>EBT140055</t>
  </si>
  <si>
    <t>EBT140056</t>
  </si>
  <si>
    <t>EBT140057</t>
  </si>
  <si>
    <t>EBT140058</t>
  </si>
  <si>
    <t>EBT140059</t>
  </si>
  <si>
    <t>EBT140060</t>
  </si>
  <si>
    <t>EBT140061</t>
  </si>
  <si>
    <t>EBT140061-PFD</t>
  </si>
  <si>
    <t>EBT140062</t>
  </si>
  <si>
    <t>EBT140063</t>
  </si>
  <si>
    <t>EBT140064</t>
  </si>
  <si>
    <t>EBT140065</t>
  </si>
  <si>
    <t>EBT140066</t>
  </si>
  <si>
    <t>EBT140067</t>
  </si>
  <si>
    <t>EBT140068</t>
  </si>
  <si>
    <t>EBT140069</t>
  </si>
  <si>
    <t>EBT140070</t>
  </si>
  <si>
    <t>EBT140071</t>
  </si>
  <si>
    <t>EBT140072</t>
  </si>
  <si>
    <t>EBT140072-DN</t>
  </si>
  <si>
    <t>EBT140072 COATING</t>
  </si>
  <si>
    <t>EBT140073</t>
  </si>
  <si>
    <t>EBT140074</t>
  </si>
  <si>
    <t>EBT140075</t>
  </si>
  <si>
    <t>EBT140076</t>
  </si>
  <si>
    <t>EBT140077</t>
  </si>
  <si>
    <t>EBT140078</t>
  </si>
  <si>
    <t>EBT140079</t>
  </si>
  <si>
    <t>EBT140080</t>
  </si>
  <si>
    <t>EBT140081</t>
  </si>
  <si>
    <t>EBT140082</t>
  </si>
  <si>
    <t>EBT140083</t>
  </si>
  <si>
    <t>EBT140084</t>
  </si>
  <si>
    <t>EBT140085</t>
  </si>
  <si>
    <t>EBT140092</t>
  </si>
  <si>
    <t>EBT140093</t>
  </si>
  <si>
    <t>EBT140094</t>
  </si>
  <si>
    <t>EBT140097</t>
  </si>
  <si>
    <t>EBT140128</t>
  </si>
  <si>
    <t>EBT140130</t>
  </si>
  <si>
    <t>EBT140131</t>
  </si>
  <si>
    <t>EBT140132</t>
  </si>
  <si>
    <t>EBT140133</t>
  </si>
  <si>
    <t>EBT140134</t>
  </si>
  <si>
    <t>EBT140135</t>
  </si>
  <si>
    <t>EBT140136</t>
  </si>
  <si>
    <t>EBT140137</t>
  </si>
  <si>
    <t>EBT140138</t>
  </si>
  <si>
    <t>EBT140139</t>
  </si>
  <si>
    <t>EBT140140</t>
  </si>
  <si>
    <t>EBT140141</t>
  </si>
  <si>
    <t>EBT140143</t>
  </si>
  <si>
    <t>EBT140144</t>
  </si>
  <si>
    <t>EBT140145</t>
  </si>
  <si>
    <t>EBT140146</t>
  </si>
  <si>
    <t>EBT140147</t>
  </si>
  <si>
    <t>EBT140148</t>
  </si>
  <si>
    <t>EBT140149</t>
  </si>
  <si>
    <t>EBT140150</t>
  </si>
  <si>
    <t>EBT140151</t>
  </si>
  <si>
    <t>EBT140152</t>
  </si>
  <si>
    <t>EBT140153</t>
  </si>
  <si>
    <t>EBT140154</t>
  </si>
  <si>
    <t>EBT140155</t>
  </si>
  <si>
    <t>EBT140156</t>
  </si>
  <si>
    <t>EBT140157</t>
  </si>
  <si>
    <t>EBT140158</t>
  </si>
  <si>
    <t>EBT140159</t>
  </si>
  <si>
    <t>EBT140160</t>
  </si>
  <si>
    <t>EBT140161</t>
  </si>
  <si>
    <t>EBT140162</t>
  </si>
  <si>
    <t>EBT140163</t>
  </si>
  <si>
    <t>EBT140164</t>
  </si>
  <si>
    <t>EBT140165</t>
  </si>
  <si>
    <t>EBT140166</t>
  </si>
  <si>
    <t>EBT140167</t>
  </si>
  <si>
    <t>EBT140168</t>
  </si>
  <si>
    <t>EBT140169</t>
  </si>
  <si>
    <t>EBT140170</t>
  </si>
  <si>
    <t>EBT140170B</t>
  </si>
  <si>
    <t>EBT140170B-GT</t>
  </si>
  <si>
    <t>EBT140171</t>
  </si>
  <si>
    <t>EBT140172</t>
  </si>
  <si>
    <t>EBT140173</t>
  </si>
  <si>
    <t>EBT140174</t>
  </si>
  <si>
    <t>EBT140175</t>
  </si>
  <si>
    <t>EBT140176</t>
  </si>
  <si>
    <t>EBT140177</t>
  </si>
  <si>
    <t>EBT140178</t>
  </si>
  <si>
    <t>EBT140178-POLY</t>
  </si>
  <si>
    <t>EBT140178-POLY-QX</t>
  </si>
  <si>
    <t>EBT140179</t>
  </si>
  <si>
    <t>EBT140179 chintz</t>
  </si>
  <si>
    <t>EBT140180</t>
  </si>
  <si>
    <t>EBT140181</t>
  </si>
  <si>
    <t>EBT140182</t>
  </si>
  <si>
    <t>EBT140183</t>
  </si>
  <si>
    <t>EBT140184</t>
  </si>
  <si>
    <t>EBT140185</t>
  </si>
  <si>
    <t>EBT140186</t>
  </si>
  <si>
    <t>EBT140187</t>
  </si>
  <si>
    <t>EBT140188</t>
  </si>
  <si>
    <t>EBT140189</t>
  </si>
  <si>
    <t>EBT140190</t>
  </si>
  <si>
    <t>EBT140191</t>
  </si>
  <si>
    <t>EBT140192</t>
  </si>
  <si>
    <t>EBT140193</t>
  </si>
  <si>
    <t>EBT140194</t>
  </si>
  <si>
    <t>EBT140195</t>
  </si>
  <si>
    <t>EBT140196</t>
  </si>
  <si>
    <t>EBT140197</t>
  </si>
  <si>
    <t>EBT140198</t>
  </si>
  <si>
    <t>EBT140200</t>
  </si>
  <si>
    <t>EBT140201</t>
  </si>
  <si>
    <t>EBT140202</t>
  </si>
  <si>
    <t>EBT140203</t>
  </si>
  <si>
    <t>EBT140204</t>
  </si>
  <si>
    <t>EBT140205</t>
  </si>
  <si>
    <t>EBT140206</t>
  </si>
  <si>
    <t>EBT140207</t>
  </si>
  <si>
    <t>EBT140208</t>
  </si>
  <si>
    <t>EBT140209</t>
  </si>
  <si>
    <t>EBT140210</t>
  </si>
  <si>
    <t>EBT140211</t>
  </si>
  <si>
    <t>EBT140212</t>
  </si>
  <si>
    <t>EBT140212 WITHOUT FOIL</t>
  </si>
  <si>
    <t>EBT140212 WITHOUT FOIL-300G/M2</t>
  </si>
  <si>
    <t>EBT140213</t>
  </si>
  <si>
    <t>EBT140214</t>
  </si>
  <si>
    <t>EBT140215</t>
  </si>
  <si>
    <t>EBT140216</t>
  </si>
  <si>
    <t>EBT140218</t>
  </si>
  <si>
    <t>EBT140219</t>
  </si>
  <si>
    <t>EBT140220</t>
  </si>
  <si>
    <t>EBT140221</t>
  </si>
  <si>
    <t>EBT140223</t>
  </si>
  <si>
    <t>EBT140224</t>
  </si>
  <si>
    <t>EBT140225</t>
  </si>
  <si>
    <t>EBT140226</t>
  </si>
  <si>
    <t>EBT140227</t>
  </si>
  <si>
    <t>EBT140228</t>
  </si>
  <si>
    <t>EBT140229</t>
  </si>
  <si>
    <t>EBT140230</t>
  </si>
  <si>
    <t>EBT140231</t>
  </si>
  <si>
    <t>EBT140232</t>
  </si>
  <si>
    <t>EBT140233</t>
  </si>
  <si>
    <t>EBT140234</t>
  </si>
  <si>
    <t>EBT140235</t>
  </si>
  <si>
    <t>EBT140236</t>
  </si>
  <si>
    <t>EBT140237</t>
  </si>
  <si>
    <t>EBT140238</t>
  </si>
  <si>
    <t>EBT140239</t>
  </si>
  <si>
    <t>EBT140240</t>
  </si>
  <si>
    <t>EBT140241</t>
  </si>
  <si>
    <t>EBT140242</t>
  </si>
  <si>
    <t>EBT140243</t>
  </si>
  <si>
    <t>EBT140243 POLY</t>
  </si>
  <si>
    <t>EBT140244</t>
  </si>
  <si>
    <t>EBT140245</t>
  </si>
  <si>
    <t>EBT140246</t>
  </si>
  <si>
    <t>EBT140247</t>
  </si>
  <si>
    <t>EBT140248</t>
  </si>
  <si>
    <t>EBT140249</t>
  </si>
  <si>
    <t>EBT140250</t>
  </si>
  <si>
    <t>EBT140251</t>
  </si>
  <si>
    <t>EBT140252</t>
  </si>
  <si>
    <t>EBT140253</t>
  </si>
  <si>
    <t>EBT140254</t>
  </si>
  <si>
    <t>EBT140255</t>
  </si>
  <si>
    <t>EBT140256</t>
  </si>
  <si>
    <t>EBT140257</t>
  </si>
  <si>
    <t>EBT140258</t>
  </si>
  <si>
    <t>EBT140259</t>
  </si>
  <si>
    <t>EBT140260</t>
  </si>
  <si>
    <t>EBT140261</t>
  </si>
  <si>
    <t>EBT140262</t>
  </si>
  <si>
    <t>EBT140263</t>
  </si>
  <si>
    <t>EBT140264</t>
  </si>
  <si>
    <t>EBT140265</t>
  </si>
  <si>
    <t>EBT140266</t>
  </si>
  <si>
    <t>EBT140267</t>
  </si>
  <si>
    <t>EBT140268</t>
  </si>
  <si>
    <t>EBT140269</t>
  </si>
  <si>
    <t>EBT140270</t>
  </si>
  <si>
    <t>EBT140271</t>
  </si>
  <si>
    <t>EBT140272</t>
  </si>
  <si>
    <t>EBT140273</t>
  </si>
  <si>
    <t>EBT140274</t>
  </si>
  <si>
    <t>EBT140275</t>
  </si>
  <si>
    <t>EBT140276</t>
  </si>
  <si>
    <t>EBT140277</t>
  </si>
  <si>
    <t>EBT140278</t>
  </si>
  <si>
    <t>EBT140279</t>
  </si>
  <si>
    <t>EBT140280</t>
  </si>
  <si>
    <t>EBT140281</t>
  </si>
  <si>
    <t>EBT140283</t>
  </si>
  <si>
    <t>EBT140284</t>
  </si>
  <si>
    <t>EBT140285</t>
  </si>
  <si>
    <t>EBT140286</t>
  </si>
  <si>
    <t>EBT140287</t>
  </si>
  <si>
    <t>EBT140288</t>
  </si>
  <si>
    <t>EBT140289</t>
  </si>
  <si>
    <t>EBT140290</t>
  </si>
  <si>
    <t>EBT140291</t>
  </si>
  <si>
    <t>EBT140292</t>
  </si>
  <si>
    <t>EBT140293</t>
  </si>
  <si>
    <t>EBT140294</t>
  </si>
  <si>
    <t>EBT140294-DN</t>
  </si>
  <si>
    <t>EBT140295</t>
  </si>
  <si>
    <t>EBT140296</t>
  </si>
  <si>
    <t>EBT140297</t>
  </si>
  <si>
    <t>EBT140298</t>
  </si>
  <si>
    <t>EBT140299</t>
  </si>
  <si>
    <t>EBT140300</t>
  </si>
  <si>
    <t>EBT140301</t>
  </si>
  <si>
    <t>EBT140302</t>
  </si>
  <si>
    <t>EBT140303</t>
  </si>
  <si>
    <t>EBT140304</t>
  </si>
  <si>
    <t>EBT140305</t>
  </si>
  <si>
    <t>EBT140306</t>
  </si>
  <si>
    <t>EBT140307</t>
  </si>
  <si>
    <t>EBT140308</t>
  </si>
  <si>
    <t>EBT140309</t>
  </si>
  <si>
    <t>EBT140310</t>
  </si>
  <si>
    <t>EBT140311</t>
  </si>
  <si>
    <t>EBT140312</t>
  </si>
  <si>
    <t>EBT140313</t>
  </si>
  <si>
    <t>EBT140314</t>
  </si>
  <si>
    <t>EBT140315</t>
  </si>
  <si>
    <t>EBT140316</t>
  </si>
  <si>
    <t>EBT140317</t>
  </si>
  <si>
    <t>EBT140318</t>
  </si>
  <si>
    <t>EBT140319</t>
  </si>
  <si>
    <t>EBT140320</t>
  </si>
  <si>
    <t>EBT140321</t>
  </si>
  <si>
    <t>EBT140322</t>
  </si>
  <si>
    <t>EBT140323</t>
  </si>
  <si>
    <t>EBT140324</t>
  </si>
  <si>
    <t>EBT140325</t>
  </si>
  <si>
    <t>EBT140326</t>
  </si>
  <si>
    <t>EBT140327</t>
  </si>
  <si>
    <t>EBT140328</t>
  </si>
  <si>
    <t>EBT140329</t>
  </si>
  <si>
    <t>EBT140330</t>
  </si>
  <si>
    <t>EBT140331</t>
  </si>
  <si>
    <t>EBT140332</t>
  </si>
  <si>
    <t>EBT140333</t>
  </si>
  <si>
    <t>EBT140334</t>
  </si>
  <si>
    <t>EBT140335</t>
  </si>
  <si>
    <t>EBT140336</t>
  </si>
  <si>
    <t>EBT140337</t>
  </si>
  <si>
    <t>EBT140338</t>
  </si>
  <si>
    <t>EBT140339</t>
  </si>
  <si>
    <t>EBT140340</t>
  </si>
  <si>
    <t>EBT140341</t>
  </si>
  <si>
    <t>EBT140342</t>
  </si>
  <si>
    <t>EBT140343</t>
  </si>
  <si>
    <t>EBT140344</t>
  </si>
  <si>
    <t>EBT140345</t>
  </si>
  <si>
    <t>EBT140346</t>
  </si>
  <si>
    <t>EBT140347</t>
  </si>
  <si>
    <t>EBT140348</t>
  </si>
  <si>
    <t>EBT140350</t>
  </si>
  <si>
    <t>EBT140351</t>
  </si>
  <si>
    <t>EBT140352</t>
  </si>
  <si>
    <t>EBT140353</t>
  </si>
  <si>
    <t>EBT140354</t>
  </si>
  <si>
    <t>EBT140355</t>
  </si>
  <si>
    <t>EBT140356</t>
  </si>
  <si>
    <t>EBT140357</t>
  </si>
  <si>
    <t>EBT140358</t>
  </si>
  <si>
    <t>EBT140359</t>
  </si>
  <si>
    <t>EBT140360</t>
  </si>
  <si>
    <t>EBT140361</t>
  </si>
  <si>
    <t>EBT140362</t>
  </si>
  <si>
    <t>EBT140363</t>
  </si>
  <si>
    <t>EBT140364</t>
  </si>
  <si>
    <t>EBT140365</t>
  </si>
  <si>
    <t>EBT140366</t>
  </si>
  <si>
    <t>EBT140367</t>
  </si>
  <si>
    <t>EBT140368</t>
  </si>
  <si>
    <t>EBT140369</t>
  </si>
  <si>
    <t>EBT140370</t>
  </si>
  <si>
    <t>EBT140371</t>
  </si>
  <si>
    <t>EBT140372</t>
  </si>
  <si>
    <t>EBT140373</t>
  </si>
  <si>
    <t>EBT140374</t>
  </si>
  <si>
    <t>EBT140375</t>
  </si>
  <si>
    <t>EBT140376</t>
  </si>
  <si>
    <t>EBT140377</t>
  </si>
  <si>
    <t>EBT140378</t>
  </si>
  <si>
    <t>EBT140379</t>
  </si>
  <si>
    <t>EBT140380</t>
  </si>
  <si>
    <t>EBT140381</t>
  </si>
  <si>
    <t>EBT140382</t>
  </si>
  <si>
    <t>EBT140383</t>
  </si>
  <si>
    <t>EBT140384</t>
  </si>
  <si>
    <t>EBT140385</t>
  </si>
  <si>
    <t>EBT140386</t>
  </si>
  <si>
    <t>EBT140387</t>
  </si>
  <si>
    <t>EBT140388</t>
  </si>
  <si>
    <t>EBT140389</t>
  </si>
  <si>
    <t>EBT140390</t>
  </si>
  <si>
    <t>EBT140391</t>
  </si>
  <si>
    <t>EBT140392</t>
  </si>
  <si>
    <t>EBT140393</t>
  </si>
  <si>
    <t>EBT140394</t>
  </si>
  <si>
    <t>EBT140395</t>
  </si>
  <si>
    <t>EBT140396</t>
  </si>
  <si>
    <t>EBT140397</t>
  </si>
  <si>
    <t>EBT140398</t>
  </si>
  <si>
    <t>EBT140399</t>
  </si>
  <si>
    <t>EBT140400</t>
  </si>
  <si>
    <t>EBT140401</t>
  </si>
  <si>
    <t>EBT140402</t>
  </si>
  <si>
    <t>EBT140403</t>
  </si>
  <si>
    <t>EBT140404</t>
  </si>
  <si>
    <t>EBT140405</t>
  </si>
  <si>
    <t>EBT140406</t>
  </si>
  <si>
    <t>EBT140407</t>
  </si>
  <si>
    <t>EBT140408</t>
  </si>
  <si>
    <t>EBT140409</t>
  </si>
  <si>
    <t>EBT140410</t>
  </si>
  <si>
    <t>EBT140411</t>
  </si>
  <si>
    <t>EBT140412</t>
  </si>
  <si>
    <t>EBT140413</t>
  </si>
  <si>
    <t>EBT140414</t>
  </si>
  <si>
    <t>EBT140415</t>
  </si>
  <si>
    <t>EBT140416</t>
  </si>
  <si>
    <t>EBT140417</t>
  </si>
  <si>
    <t>EBT140418</t>
  </si>
  <si>
    <t>EBT140419</t>
  </si>
  <si>
    <t>EBT140420</t>
  </si>
  <si>
    <t>EBT140421</t>
  </si>
  <si>
    <t>EBT140422</t>
  </si>
  <si>
    <t>EBT140423</t>
  </si>
  <si>
    <t>EBT140424</t>
  </si>
  <si>
    <t>EBT140425</t>
  </si>
  <si>
    <t>EBT140426</t>
  </si>
  <si>
    <t>EBT140427</t>
  </si>
  <si>
    <t>EBT140428</t>
  </si>
  <si>
    <t>EBT140429</t>
  </si>
  <si>
    <t>EBT140430</t>
  </si>
  <si>
    <t>EBT140431</t>
  </si>
  <si>
    <t>EBT140432</t>
  </si>
  <si>
    <t>EBT140433</t>
  </si>
  <si>
    <t>EBT140434</t>
  </si>
  <si>
    <t>EBT140435</t>
  </si>
  <si>
    <t>EBT140436</t>
  </si>
  <si>
    <t>EBT140437</t>
  </si>
  <si>
    <t>EBT140438</t>
  </si>
  <si>
    <t>EBT140439</t>
  </si>
  <si>
    <t>EBT140440</t>
  </si>
  <si>
    <t>EBT140441</t>
  </si>
  <si>
    <t>EBT140442</t>
  </si>
  <si>
    <t>EBT140443</t>
  </si>
  <si>
    <t>EBT140444</t>
  </si>
  <si>
    <t>EBT140445</t>
  </si>
  <si>
    <t>EBT140446</t>
  </si>
  <si>
    <t>EBT140447</t>
  </si>
  <si>
    <t>EBT140447L</t>
  </si>
  <si>
    <t>EBT140448</t>
  </si>
  <si>
    <t>EBT140449</t>
  </si>
  <si>
    <t>EBT140450</t>
  </si>
  <si>
    <t>EBT140451</t>
  </si>
  <si>
    <t>EBT140452</t>
  </si>
  <si>
    <t>EBT140453</t>
  </si>
  <si>
    <t>EBT140454</t>
  </si>
  <si>
    <t>EBT140455</t>
  </si>
  <si>
    <t>EBT140455-1</t>
  </si>
  <si>
    <t>EBT140456</t>
  </si>
  <si>
    <t>EBT140457</t>
  </si>
  <si>
    <t>EBT140458</t>
  </si>
  <si>
    <t>EBT140458B</t>
  </si>
  <si>
    <t>EBT140459</t>
  </si>
  <si>
    <t>EBT140460</t>
  </si>
  <si>
    <t>EBT140461</t>
  </si>
  <si>
    <t>EBT140462</t>
  </si>
  <si>
    <t>EBT140464</t>
  </si>
  <si>
    <t>EBT140465</t>
  </si>
  <si>
    <t>EBT140466</t>
  </si>
  <si>
    <t>EBT140467</t>
  </si>
  <si>
    <t>EBT140468</t>
  </si>
  <si>
    <t>EBT140469</t>
  </si>
  <si>
    <t>EBT140470</t>
  </si>
  <si>
    <t>EBT140471</t>
  </si>
  <si>
    <t>EBT140472</t>
  </si>
  <si>
    <t>EBT140473</t>
  </si>
  <si>
    <t>EBT140474</t>
  </si>
  <si>
    <t>EBT140475</t>
  </si>
  <si>
    <t>EBT140476</t>
  </si>
  <si>
    <t>EBT140477</t>
  </si>
  <si>
    <t>EBT140478</t>
  </si>
  <si>
    <t>EBT140479</t>
  </si>
  <si>
    <t>EBT140480</t>
  </si>
  <si>
    <t>EBT140481</t>
  </si>
  <si>
    <t>EBT140482</t>
  </si>
  <si>
    <t>EBT140483</t>
  </si>
  <si>
    <t>EBT140484</t>
  </si>
  <si>
    <t>EBT140485</t>
  </si>
  <si>
    <t>EBT140486</t>
  </si>
  <si>
    <t>EBT140487</t>
  </si>
  <si>
    <t>EBT140488</t>
  </si>
  <si>
    <t>EBT140489</t>
  </si>
  <si>
    <t>EBT140490</t>
  </si>
  <si>
    <t>EBT140490-DN</t>
  </si>
  <si>
    <t>EBT140491</t>
  </si>
  <si>
    <t>EBT140492</t>
  </si>
  <si>
    <t>EBT140493</t>
  </si>
  <si>
    <t>EBT140494</t>
  </si>
  <si>
    <t>EBT140495</t>
  </si>
  <si>
    <t>EBT140496</t>
  </si>
  <si>
    <t>EBT140497</t>
  </si>
  <si>
    <t>EBT140498</t>
  </si>
  <si>
    <t>EBT140499</t>
  </si>
  <si>
    <t>EBT140500</t>
  </si>
  <si>
    <t>EBT140501</t>
  </si>
  <si>
    <t>EBT140502</t>
  </si>
  <si>
    <t>EBT140503-HX</t>
  </si>
  <si>
    <t>EBT140504</t>
  </si>
  <si>
    <t>EBT140505</t>
  </si>
  <si>
    <t>EBT140506</t>
  </si>
  <si>
    <t>EBT140507</t>
  </si>
  <si>
    <t>EBT140508</t>
  </si>
  <si>
    <t>EBT140509</t>
  </si>
  <si>
    <t>EBT140510</t>
  </si>
  <si>
    <t>EBT140511</t>
  </si>
  <si>
    <t>EBT140513</t>
  </si>
  <si>
    <t>EBT140514</t>
  </si>
  <si>
    <t>EBT140515</t>
  </si>
  <si>
    <t>EBT140516</t>
  </si>
  <si>
    <t>EBT140517</t>
  </si>
  <si>
    <t>EBT140518</t>
  </si>
  <si>
    <t>EBT140519</t>
  </si>
  <si>
    <t>EBT140520</t>
  </si>
  <si>
    <t>EBT140521</t>
  </si>
  <si>
    <t>EBT140522</t>
  </si>
  <si>
    <t>EBT140523</t>
  </si>
  <si>
    <t>EBT140524</t>
  </si>
  <si>
    <t>EBT140524-PUNCH OUT</t>
  </si>
  <si>
    <t>EBT140525</t>
  </si>
  <si>
    <t>EBT140526</t>
  </si>
  <si>
    <t>EBT140527</t>
  </si>
  <si>
    <t>EBT140528</t>
  </si>
  <si>
    <t>EBT140530</t>
  </si>
  <si>
    <t>EBT140531</t>
  </si>
  <si>
    <t>EBT140532</t>
  </si>
  <si>
    <t>EBT140533</t>
  </si>
  <si>
    <t>EBT140534</t>
  </si>
  <si>
    <t>EBT140535</t>
  </si>
  <si>
    <t>EBT140536</t>
  </si>
  <si>
    <t>EBT140537</t>
  </si>
  <si>
    <t>EBT140538</t>
  </si>
  <si>
    <t>EBT140539</t>
  </si>
  <si>
    <t>EBT140540</t>
  </si>
  <si>
    <t>EBT140541</t>
  </si>
  <si>
    <t>EBT140542</t>
  </si>
  <si>
    <t>EBT140543</t>
  </si>
  <si>
    <t>EBT140544</t>
  </si>
  <si>
    <t>EBT140545</t>
  </si>
  <si>
    <t>EBT140546</t>
  </si>
  <si>
    <t>EBT140547</t>
  </si>
  <si>
    <t>EBT140548</t>
  </si>
  <si>
    <t>EBT140549</t>
  </si>
  <si>
    <t>EBT140550</t>
  </si>
  <si>
    <t>EBT140551</t>
  </si>
  <si>
    <t>EBT140552</t>
  </si>
  <si>
    <t>EBT140553</t>
  </si>
  <si>
    <t>EBT140555</t>
  </si>
  <si>
    <t>EBT140556</t>
  </si>
  <si>
    <t>EBT140557</t>
  </si>
  <si>
    <t>EBT140558</t>
  </si>
  <si>
    <t>EBT140559</t>
  </si>
  <si>
    <t>EBT140560</t>
  </si>
  <si>
    <t>EBT140561</t>
  </si>
  <si>
    <t>EBT140562</t>
  </si>
  <si>
    <t>EBT140563</t>
  </si>
  <si>
    <t>EBT140564</t>
  </si>
  <si>
    <t>EBT140565</t>
  </si>
  <si>
    <t>EBT140566</t>
  </si>
  <si>
    <t>EBT140567</t>
  </si>
  <si>
    <t>EBT140568</t>
  </si>
  <si>
    <t>EBT140569</t>
  </si>
  <si>
    <t>EBT140570</t>
  </si>
  <si>
    <t>EBT140571</t>
  </si>
  <si>
    <t>EBT140572</t>
  </si>
  <si>
    <t>EBT140573</t>
  </si>
  <si>
    <t>EBT140574</t>
  </si>
  <si>
    <t>EBT140576</t>
  </si>
  <si>
    <t>EBT140576-FOIL-GM</t>
  </si>
  <si>
    <t>EBT140577</t>
  </si>
  <si>
    <t>EBT140579</t>
  </si>
  <si>
    <t>EBT140580</t>
  </si>
  <si>
    <t>EBT140581</t>
  </si>
  <si>
    <t>EBT140582</t>
  </si>
  <si>
    <t>EBT140583</t>
  </si>
  <si>
    <t>EBT140584</t>
  </si>
  <si>
    <t>EBT140585</t>
  </si>
  <si>
    <t>EBT140586</t>
  </si>
  <si>
    <t>EBT140587</t>
  </si>
  <si>
    <t>EBT140588</t>
  </si>
  <si>
    <t>EBT140589</t>
  </si>
  <si>
    <t>EBT140590</t>
  </si>
  <si>
    <t>EBT140591</t>
  </si>
  <si>
    <t>EBT140592</t>
  </si>
  <si>
    <t>EBT140593</t>
  </si>
  <si>
    <t>EBT140594</t>
  </si>
  <si>
    <t>EBT140595</t>
  </si>
  <si>
    <t>EBT140596</t>
  </si>
  <si>
    <t>EBT140597</t>
  </si>
  <si>
    <t>EBT140598</t>
  </si>
  <si>
    <t>EBT140599</t>
  </si>
  <si>
    <t>EBT140600</t>
  </si>
  <si>
    <t>EBT140601</t>
  </si>
  <si>
    <t>EBT140602</t>
  </si>
  <si>
    <t>EBT140603</t>
  </si>
  <si>
    <t>EBT140604</t>
  </si>
  <si>
    <t>EBT140604-wash</t>
  </si>
  <si>
    <t>EBT140605</t>
  </si>
  <si>
    <t>EBT140606</t>
  </si>
  <si>
    <t>EBT140607</t>
  </si>
  <si>
    <t>EBT140608</t>
  </si>
  <si>
    <t>EBT140609</t>
  </si>
  <si>
    <t>EBT140609-JR</t>
  </si>
  <si>
    <t>EBT140611</t>
  </si>
  <si>
    <t>EBT140612</t>
  </si>
  <si>
    <t>EBT140613</t>
  </si>
  <si>
    <t>EBT140614</t>
  </si>
  <si>
    <t>EBT140615</t>
  </si>
  <si>
    <t>EBT140616</t>
  </si>
  <si>
    <t>EBT140616-Print</t>
  </si>
  <si>
    <t>EBT140619</t>
  </si>
  <si>
    <t>EBT140620</t>
  </si>
  <si>
    <t>EBT140621</t>
  </si>
  <si>
    <t>EBT140622</t>
  </si>
  <si>
    <t>EBT140623</t>
  </si>
  <si>
    <t>EBT140623B</t>
  </si>
  <si>
    <t>EBT140624</t>
  </si>
  <si>
    <t>EBT140625</t>
  </si>
  <si>
    <t>EBT140626</t>
  </si>
  <si>
    <t>EBT140627</t>
  </si>
  <si>
    <t>EBT140628</t>
  </si>
  <si>
    <t>EBT140629</t>
  </si>
  <si>
    <t>EBT140630</t>
  </si>
  <si>
    <t>EBT140631</t>
  </si>
  <si>
    <t>EBT140632</t>
  </si>
  <si>
    <t>EBT140633</t>
  </si>
  <si>
    <t>EBT140634</t>
  </si>
  <si>
    <t>EBT140635</t>
  </si>
  <si>
    <t>EBT140636</t>
  </si>
  <si>
    <t>EBT140637</t>
  </si>
  <si>
    <t>EBT140638</t>
  </si>
  <si>
    <t>EBT140639</t>
  </si>
  <si>
    <t>EBT140640</t>
  </si>
  <si>
    <t>EBT140641</t>
  </si>
  <si>
    <t>EBT140642</t>
  </si>
  <si>
    <t>EBT140643</t>
  </si>
  <si>
    <t>EBT140644</t>
  </si>
  <si>
    <t>EBT140645</t>
  </si>
  <si>
    <t>EBT140646</t>
  </si>
  <si>
    <t>EBT140647</t>
  </si>
  <si>
    <t>EBT140648</t>
  </si>
  <si>
    <t>EBT140649</t>
  </si>
  <si>
    <t>EBT140650</t>
  </si>
  <si>
    <t>EBT140651</t>
  </si>
  <si>
    <t>EBT140652</t>
  </si>
  <si>
    <t>EBT140653</t>
  </si>
  <si>
    <t>EBT140654</t>
  </si>
  <si>
    <t>EBT140655</t>
  </si>
  <si>
    <t>EBT140656</t>
  </si>
  <si>
    <t>EBT140657</t>
  </si>
  <si>
    <t>EBT140658</t>
  </si>
  <si>
    <t>EBT140659</t>
  </si>
  <si>
    <t>EBT140660</t>
  </si>
  <si>
    <t>EBT140661</t>
  </si>
  <si>
    <t>EBT140662</t>
  </si>
  <si>
    <t>EBT140663</t>
  </si>
  <si>
    <t>EBT140664</t>
  </si>
  <si>
    <t>EBT140665</t>
  </si>
  <si>
    <t>EBT140666</t>
  </si>
  <si>
    <t>EBT140667</t>
  </si>
  <si>
    <t>EBT140668</t>
  </si>
  <si>
    <t>EBT140669</t>
  </si>
  <si>
    <t>EBT140670</t>
  </si>
  <si>
    <t>EBT140670-JR</t>
  </si>
  <si>
    <t>EBT140671</t>
  </si>
  <si>
    <t>EBT140672</t>
  </si>
  <si>
    <t>EBT140673</t>
  </si>
  <si>
    <t>EBT140674</t>
  </si>
  <si>
    <t>EBT140675</t>
  </si>
  <si>
    <t>EBT140676</t>
  </si>
  <si>
    <t>EBT140677</t>
  </si>
  <si>
    <t>EBT140679</t>
  </si>
  <si>
    <t>EBT140680</t>
  </si>
  <si>
    <t>EBT140681</t>
  </si>
  <si>
    <t>EBT140682</t>
  </si>
  <si>
    <t>EBT140683</t>
  </si>
  <si>
    <t>EBT140684</t>
  </si>
  <si>
    <t>EBT140685</t>
  </si>
  <si>
    <t>EBT140686</t>
  </si>
  <si>
    <t>EBT140687</t>
  </si>
  <si>
    <t>EBT140688</t>
  </si>
  <si>
    <t>EBT140689</t>
  </si>
  <si>
    <t>EBT140690</t>
  </si>
  <si>
    <t>EBT140691</t>
  </si>
  <si>
    <t>EBT140692</t>
  </si>
  <si>
    <t>EBT140693</t>
  </si>
  <si>
    <t>EBT140694</t>
  </si>
  <si>
    <t>EBT140695</t>
  </si>
  <si>
    <t>EBT140696</t>
  </si>
  <si>
    <t>EBT140697</t>
  </si>
  <si>
    <t>EBT140698</t>
  </si>
  <si>
    <t>EBT140699</t>
  </si>
  <si>
    <t>EBT140700</t>
  </si>
  <si>
    <t>EBT140701</t>
  </si>
  <si>
    <t>EBT140702</t>
  </si>
  <si>
    <t>EBT140703</t>
  </si>
  <si>
    <t>EBT140704</t>
  </si>
  <si>
    <t>EBT140705</t>
  </si>
  <si>
    <t>EBT140706</t>
  </si>
  <si>
    <t>EBT140707</t>
  </si>
  <si>
    <t>EBT140708</t>
  </si>
  <si>
    <t>EBT140709</t>
  </si>
  <si>
    <t>EBT140710</t>
  </si>
  <si>
    <t>EBT140711</t>
  </si>
  <si>
    <t>EBT140712</t>
  </si>
  <si>
    <t>EBT140713</t>
  </si>
  <si>
    <t>EBT140714</t>
  </si>
  <si>
    <t>EBT140715</t>
  </si>
  <si>
    <t>EBT140716</t>
  </si>
  <si>
    <t>EBT140717</t>
  </si>
  <si>
    <t>EBT140718</t>
  </si>
  <si>
    <t>EBT140719</t>
  </si>
  <si>
    <t>EBT140720</t>
  </si>
  <si>
    <t>EBT140721</t>
  </si>
  <si>
    <t>EBT140722</t>
  </si>
  <si>
    <t>EBT140723</t>
  </si>
  <si>
    <t>EBT140723-YD</t>
  </si>
  <si>
    <t>EBT140724</t>
  </si>
  <si>
    <t>EBT140725</t>
  </si>
  <si>
    <t>EBT140726</t>
  </si>
  <si>
    <t>EBT140727</t>
  </si>
  <si>
    <t>EBT140728</t>
  </si>
  <si>
    <t>EBT140729</t>
  </si>
  <si>
    <t>EBT140730</t>
  </si>
  <si>
    <t>EBT140731</t>
  </si>
  <si>
    <t>EBT140732</t>
  </si>
  <si>
    <t>EBT140733</t>
  </si>
  <si>
    <t>EBT140734</t>
  </si>
  <si>
    <t>EBT140735</t>
  </si>
  <si>
    <t>EBT140736</t>
  </si>
  <si>
    <t>EBT140737</t>
  </si>
  <si>
    <t>EBT140738</t>
  </si>
  <si>
    <t>EBT140739</t>
  </si>
  <si>
    <t>EBT140740</t>
  </si>
  <si>
    <t>EBT140741</t>
  </si>
  <si>
    <t>EBT140741-310</t>
  </si>
  <si>
    <t>EBT140742</t>
  </si>
  <si>
    <t>EBT140743</t>
  </si>
  <si>
    <t>EBT140744</t>
  </si>
  <si>
    <t>EBT140745</t>
  </si>
  <si>
    <t>EBT140746</t>
  </si>
  <si>
    <t>EBT140747</t>
  </si>
  <si>
    <t>EBT140748</t>
  </si>
  <si>
    <t>EBT140749</t>
  </si>
  <si>
    <t>EBT140750</t>
  </si>
  <si>
    <t>EBT140751</t>
  </si>
  <si>
    <t>EBT140752</t>
  </si>
  <si>
    <t>EBT140753</t>
  </si>
  <si>
    <t>EBT140754</t>
  </si>
  <si>
    <t>EBT140755</t>
  </si>
  <si>
    <t>EBT140756</t>
  </si>
  <si>
    <t>EBT140757</t>
  </si>
  <si>
    <t>EBT140758</t>
  </si>
  <si>
    <t>EBT140759</t>
  </si>
  <si>
    <t>EBT140760</t>
  </si>
  <si>
    <t>EBT140761</t>
  </si>
  <si>
    <t>EBT140762</t>
  </si>
  <si>
    <t>EBT140763</t>
  </si>
  <si>
    <t>EBT140764</t>
  </si>
  <si>
    <t>EBT140765</t>
  </si>
  <si>
    <t>EBT140766</t>
  </si>
  <si>
    <t>EBT140767</t>
  </si>
  <si>
    <t>EBT140768</t>
  </si>
  <si>
    <t>EBT140769</t>
  </si>
  <si>
    <t>EBT140769-1</t>
  </si>
  <si>
    <t>EBT140770</t>
  </si>
  <si>
    <t>EBT140771</t>
  </si>
  <si>
    <t>EBT140772</t>
  </si>
  <si>
    <t>EBT140773</t>
  </si>
  <si>
    <t>EBT140774</t>
  </si>
  <si>
    <t>EBT140775</t>
  </si>
  <si>
    <t>EBT140776</t>
  </si>
  <si>
    <t>EBT140777</t>
  </si>
  <si>
    <t>EBT140778</t>
  </si>
  <si>
    <t>EBT140779</t>
  </si>
  <si>
    <t>EBT140779-HEAVY WASH</t>
  </si>
  <si>
    <t>EBT140780</t>
  </si>
  <si>
    <t>EBT140781</t>
  </si>
  <si>
    <t>EBT140782</t>
  </si>
  <si>
    <t>EBT140783</t>
  </si>
  <si>
    <t>EBT140784</t>
  </si>
  <si>
    <t>EBT140785</t>
  </si>
  <si>
    <t>EBT140786</t>
  </si>
  <si>
    <t>EBT140787</t>
  </si>
  <si>
    <t>EBT140788</t>
  </si>
  <si>
    <t>EBT140789</t>
  </si>
  <si>
    <t>EBT140790</t>
  </si>
  <si>
    <t>EBT140791</t>
  </si>
  <si>
    <t>EBT140792</t>
  </si>
  <si>
    <t>EBT140793</t>
  </si>
  <si>
    <t>EBT140794</t>
  </si>
  <si>
    <t>EBT140794A</t>
  </si>
  <si>
    <t>EBT140795</t>
  </si>
  <si>
    <t>EBT140796</t>
  </si>
  <si>
    <t>EBT140797</t>
  </si>
  <si>
    <t>EBT140798</t>
  </si>
  <si>
    <t>EBT140799</t>
  </si>
  <si>
    <t>EBT140800</t>
  </si>
  <si>
    <t>EBT140801</t>
  </si>
  <si>
    <t>EBT140802</t>
  </si>
  <si>
    <t>EBT140802B</t>
  </si>
  <si>
    <t>EBT140803</t>
  </si>
  <si>
    <t>EBT140804</t>
  </si>
  <si>
    <t>EBT140804-JR</t>
  </si>
  <si>
    <t>EBT140805</t>
  </si>
  <si>
    <t>EBT140806</t>
  </si>
  <si>
    <t>EBT140807</t>
  </si>
  <si>
    <t>EBT140808</t>
  </si>
  <si>
    <t>EBT140809</t>
  </si>
  <si>
    <t>EBT140810</t>
  </si>
  <si>
    <t>EBT140811</t>
  </si>
  <si>
    <t>EBT140812</t>
  </si>
  <si>
    <t>EBT140813</t>
  </si>
  <si>
    <t>EBT140814</t>
  </si>
  <si>
    <t>EBT140815</t>
  </si>
  <si>
    <t>EBT140816</t>
  </si>
  <si>
    <t>EBT140817</t>
  </si>
  <si>
    <t>EBT140818</t>
  </si>
  <si>
    <t>EBT140819</t>
  </si>
  <si>
    <t>EBT140820</t>
  </si>
  <si>
    <t>EBT140821</t>
  </si>
  <si>
    <t>EBT140822</t>
  </si>
  <si>
    <t>EBT140823</t>
  </si>
  <si>
    <t>EBT140824</t>
  </si>
  <si>
    <t>EBT140825</t>
  </si>
  <si>
    <t>EBT140826</t>
  </si>
  <si>
    <t>EBT140827</t>
  </si>
  <si>
    <t>EBT140828</t>
  </si>
  <si>
    <t>EBT140829</t>
  </si>
  <si>
    <t>EBT140830</t>
  </si>
  <si>
    <t>EBT140831</t>
  </si>
  <si>
    <t>EBT140832</t>
  </si>
  <si>
    <t>EBT140833</t>
  </si>
  <si>
    <t>EBT140834</t>
  </si>
  <si>
    <t>EBT140835</t>
  </si>
  <si>
    <t>EBT140836</t>
  </si>
  <si>
    <t>EBT140837</t>
  </si>
  <si>
    <t>EBT140838</t>
  </si>
  <si>
    <t>EBT140839</t>
  </si>
  <si>
    <t>EBT140840</t>
  </si>
  <si>
    <t>EBT140841</t>
  </si>
  <si>
    <t>EBT140842</t>
  </si>
  <si>
    <t>EBT140843</t>
  </si>
  <si>
    <t>EBT140844</t>
  </si>
  <si>
    <t>EBT140846</t>
  </si>
  <si>
    <t>EBT140846-JR</t>
  </si>
  <si>
    <t>EBT140847</t>
  </si>
  <si>
    <t>EBT140848</t>
  </si>
  <si>
    <t>EBT140849</t>
  </si>
  <si>
    <t>EBT140850</t>
  </si>
  <si>
    <t>EBT140852</t>
  </si>
  <si>
    <t>EBT140853</t>
  </si>
  <si>
    <t>EBT140854</t>
  </si>
  <si>
    <t>EBT140855</t>
  </si>
  <si>
    <t>EBT140856</t>
  </si>
  <si>
    <t>EBT140857</t>
  </si>
  <si>
    <t>EBT140858</t>
  </si>
  <si>
    <t>EBT140859</t>
  </si>
  <si>
    <t>EBT140860</t>
  </si>
  <si>
    <t>EBT140861</t>
  </si>
  <si>
    <t>EBT140862</t>
  </si>
  <si>
    <t>EBT140863</t>
  </si>
  <si>
    <t>EBT140864</t>
  </si>
  <si>
    <t>EBT140865</t>
  </si>
  <si>
    <t>EBT140866</t>
  </si>
  <si>
    <t>EBT140867</t>
  </si>
  <si>
    <t>EBT140868</t>
  </si>
  <si>
    <t>EBT140869</t>
  </si>
  <si>
    <t>EBT140870</t>
  </si>
  <si>
    <t>EBT140871</t>
  </si>
  <si>
    <t>EBT140872</t>
  </si>
  <si>
    <t>EBT140873</t>
  </si>
  <si>
    <t>EBT140874</t>
  </si>
  <si>
    <t>EBT140875</t>
  </si>
  <si>
    <t>EBT140876</t>
  </si>
  <si>
    <t>EBT140877</t>
  </si>
  <si>
    <t>EBT140878</t>
  </si>
  <si>
    <t>EBT140879</t>
  </si>
  <si>
    <t>EBT140880</t>
  </si>
  <si>
    <t>EBT140881</t>
  </si>
  <si>
    <t>EBT140882</t>
  </si>
  <si>
    <t>EBT140883</t>
  </si>
  <si>
    <t>EBT140884</t>
  </si>
  <si>
    <t>EBT140885</t>
  </si>
  <si>
    <t>EBT140886</t>
  </si>
  <si>
    <t>EBT140887</t>
  </si>
  <si>
    <t>EBT140888</t>
  </si>
  <si>
    <t>EBT140889</t>
  </si>
  <si>
    <t>EBT140890</t>
  </si>
  <si>
    <t>EBT140891</t>
  </si>
  <si>
    <t>EBT140892</t>
  </si>
  <si>
    <t>EBT140893</t>
  </si>
  <si>
    <t>EBT140894</t>
  </si>
  <si>
    <t>EBT140895</t>
  </si>
  <si>
    <t>EBT140896</t>
  </si>
  <si>
    <t>EBT140897</t>
  </si>
  <si>
    <t>EBT140898</t>
  </si>
  <si>
    <t>EBT140899</t>
  </si>
  <si>
    <t>EBT140900</t>
  </si>
  <si>
    <t>EBT140901</t>
  </si>
  <si>
    <t>EBT140902</t>
  </si>
  <si>
    <t>EBT140903</t>
  </si>
  <si>
    <t>EBT140904</t>
  </si>
  <si>
    <t>EBT140905</t>
  </si>
  <si>
    <t>EBT140906</t>
  </si>
  <si>
    <t>EBT140907</t>
  </si>
  <si>
    <t>EBT140908</t>
  </si>
  <si>
    <t>EBT140909</t>
  </si>
  <si>
    <t>EBT140910</t>
  </si>
  <si>
    <t>EBT140911</t>
  </si>
  <si>
    <t>EBT140912</t>
  </si>
  <si>
    <t>EBT140913</t>
  </si>
  <si>
    <t>EBT140914</t>
  </si>
  <si>
    <t>EBT140915</t>
  </si>
  <si>
    <t>EBT140916</t>
  </si>
  <si>
    <t>EBT140917</t>
  </si>
  <si>
    <t>EBT140918</t>
  </si>
  <si>
    <t>EBT140919</t>
  </si>
  <si>
    <t>EBT140920</t>
  </si>
  <si>
    <t>EBT140921</t>
  </si>
  <si>
    <t>EBT140922</t>
  </si>
  <si>
    <t>EBT140923</t>
  </si>
  <si>
    <t>EBT140924</t>
  </si>
  <si>
    <t>EBT140925</t>
  </si>
  <si>
    <t>EBT140926</t>
  </si>
  <si>
    <t>EBT140926B</t>
  </si>
  <si>
    <t>EBT140927</t>
  </si>
  <si>
    <t>EBT140928</t>
  </si>
  <si>
    <t>EBT140929</t>
  </si>
  <si>
    <t>EBT140930</t>
  </si>
  <si>
    <t>EBT140931</t>
  </si>
  <si>
    <t>EBT140932</t>
  </si>
  <si>
    <t>EBT140933</t>
  </si>
  <si>
    <t>EBT140934</t>
  </si>
  <si>
    <t>EBT140935</t>
  </si>
  <si>
    <t>EBT140936</t>
  </si>
  <si>
    <t>EBT140937</t>
  </si>
  <si>
    <t>EBT140938</t>
  </si>
  <si>
    <t>EBT140939</t>
  </si>
  <si>
    <t>EBT140940</t>
  </si>
  <si>
    <t>EBT140941</t>
  </si>
  <si>
    <t>EBT140942</t>
  </si>
  <si>
    <t>EBT140943</t>
  </si>
  <si>
    <t>EBT140944</t>
  </si>
  <si>
    <t>EBT140945</t>
  </si>
  <si>
    <t>EBT140946</t>
  </si>
  <si>
    <t>EBT140947</t>
  </si>
  <si>
    <t>EBT140948</t>
  </si>
  <si>
    <t>EBT140949</t>
  </si>
  <si>
    <t>EBT140950</t>
  </si>
  <si>
    <t>EBT140951</t>
  </si>
  <si>
    <t>EBT140952</t>
  </si>
  <si>
    <t>EBT140953</t>
  </si>
  <si>
    <t>EBT140954</t>
  </si>
  <si>
    <t>EBT140955</t>
  </si>
  <si>
    <t>EBT140956</t>
  </si>
  <si>
    <t>EBT140957</t>
  </si>
  <si>
    <t>EBT140958</t>
  </si>
  <si>
    <t>EBT140959</t>
  </si>
  <si>
    <t>EBT140960</t>
  </si>
  <si>
    <t>EBT140961</t>
  </si>
  <si>
    <t>EBT140962</t>
  </si>
  <si>
    <t>EBT140963</t>
  </si>
  <si>
    <t>EBT140964</t>
  </si>
  <si>
    <t>EBT140965</t>
  </si>
  <si>
    <t>EBT140966</t>
  </si>
  <si>
    <t>EBT140967</t>
  </si>
  <si>
    <t>EBT140968</t>
  </si>
  <si>
    <t>EBT140969</t>
  </si>
  <si>
    <t>EBT140970</t>
  </si>
  <si>
    <t>EBT140971</t>
  </si>
  <si>
    <t>EBT140972</t>
  </si>
  <si>
    <t>EBT140973</t>
  </si>
  <si>
    <t>EBT140974</t>
  </si>
  <si>
    <t>EBT140975</t>
  </si>
  <si>
    <t>EBT140976</t>
  </si>
  <si>
    <t>EBT140977</t>
  </si>
  <si>
    <t>EBT140978</t>
  </si>
  <si>
    <t>EBT140979</t>
  </si>
  <si>
    <t>EBT140980</t>
  </si>
  <si>
    <t>EBT140981</t>
  </si>
  <si>
    <t>EBT140982</t>
  </si>
  <si>
    <t>EBT140983</t>
  </si>
  <si>
    <t>EBT140984</t>
  </si>
  <si>
    <t>EBT140985</t>
  </si>
  <si>
    <t>EBT140986</t>
  </si>
  <si>
    <t>EBT140987</t>
  </si>
  <si>
    <t>EBT140988</t>
  </si>
  <si>
    <t>EBT140989</t>
  </si>
  <si>
    <t>EBT140990 NO BRUSH</t>
  </si>
  <si>
    <t>EBT140991</t>
  </si>
  <si>
    <t>EBT140992</t>
  </si>
  <si>
    <t>EBT140993</t>
  </si>
  <si>
    <t>EBT140993-1</t>
  </si>
  <si>
    <t>EBT140994</t>
  </si>
  <si>
    <t>EBT140995</t>
  </si>
  <si>
    <t>EBT140996</t>
  </si>
  <si>
    <t>EBT140997</t>
  </si>
  <si>
    <t>EBT140998</t>
  </si>
  <si>
    <t>EBT140999</t>
  </si>
  <si>
    <t>EBT141000</t>
  </si>
  <si>
    <t>EBT141001</t>
  </si>
  <si>
    <t>EBT141002</t>
  </si>
  <si>
    <t>EBT141003</t>
  </si>
  <si>
    <t>EBT141004</t>
  </si>
  <si>
    <t>EBT141005</t>
  </si>
  <si>
    <t>EBT141006</t>
  </si>
  <si>
    <t>EBT141007</t>
  </si>
  <si>
    <t>EBT141008</t>
  </si>
  <si>
    <t>EBT141009</t>
  </si>
  <si>
    <t>EBT141010</t>
  </si>
  <si>
    <t>EBT141011</t>
  </si>
  <si>
    <t>EBT141012</t>
  </si>
  <si>
    <t>EBT141013</t>
  </si>
  <si>
    <t>EBT141014</t>
  </si>
  <si>
    <t>EBT141015</t>
  </si>
  <si>
    <t>EBT141016</t>
  </si>
  <si>
    <t>EBT141017</t>
  </si>
  <si>
    <t>EBT141018</t>
  </si>
  <si>
    <t>EBT141019</t>
  </si>
  <si>
    <t>EBT141020</t>
  </si>
  <si>
    <t>EBT141021</t>
  </si>
  <si>
    <t>EBT141022</t>
  </si>
  <si>
    <t>EBT141023</t>
  </si>
  <si>
    <t>EBT141024</t>
  </si>
  <si>
    <t>EBT141025</t>
  </si>
  <si>
    <t>EBT141026</t>
  </si>
  <si>
    <t>EBT141027</t>
  </si>
  <si>
    <t>EBT141028</t>
  </si>
  <si>
    <t>EBT141029</t>
  </si>
  <si>
    <t>EBT141030</t>
  </si>
  <si>
    <t>EBT141031</t>
  </si>
  <si>
    <t>EBT141032</t>
  </si>
  <si>
    <t>EBT141033</t>
  </si>
  <si>
    <t>EBT141034</t>
  </si>
  <si>
    <t>EBT141035</t>
  </si>
  <si>
    <t>EBT141036</t>
  </si>
  <si>
    <t>EBT141037</t>
  </si>
  <si>
    <t>EBT141038</t>
  </si>
  <si>
    <t>EBT141039</t>
  </si>
  <si>
    <t>EBT141040</t>
  </si>
  <si>
    <t>EBT141041</t>
  </si>
  <si>
    <t>EBT141042</t>
  </si>
  <si>
    <t>EBT141043</t>
  </si>
  <si>
    <t>EBT141044</t>
  </si>
  <si>
    <t>EBT141045</t>
  </si>
  <si>
    <t>EBT141046</t>
  </si>
  <si>
    <t>EBT141047</t>
  </si>
  <si>
    <t>EBT141048</t>
  </si>
  <si>
    <t>EBT141049</t>
  </si>
  <si>
    <t>EBT141050</t>
  </si>
  <si>
    <t>EBT141051</t>
  </si>
  <si>
    <t>EBT141052</t>
  </si>
  <si>
    <t>EBT141053</t>
  </si>
  <si>
    <t>EBT140004</t>
  </si>
  <si>
    <t>EBTBRT723</t>
  </si>
  <si>
    <t>EBT140005</t>
  </si>
  <si>
    <t>EBTBRT745</t>
  </si>
  <si>
    <t>EBTBRT748</t>
  </si>
  <si>
    <t>EBTBRT742</t>
  </si>
  <si>
    <t>EBTBRT747</t>
  </si>
  <si>
    <t>EBTBRT746</t>
  </si>
  <si>
    <t>EBTBRT775</t>
  </si>
  <si>
    <t>EBTBRT749</t>
  </si>
  <si>
    <t>EBTBRT750</t>
  </si>
  <si>
    <t>EBTBRT773</t>
  </si>
  <si>
    <t>EBTBRT755</t>
  </si>
  <si>
    <t>EBTBRT751</t>
  </si>
  <si>
    <t>EBTBRT724</t>
  </si>
  <si>
    <t>EBTBRT725</t>
  </si>
  <si>
    <t>EBTBRT726</t>
  </si>
  <si>
    <t>EBTBRT727</t>
  </si>
  <si>
    <t>EBTBRT728</t>
  </si>
  <si>
    <t>EBTBRT729</t>
  </si>
  <si>
    <t>EBTBRT730</t>
  </si>
  <si>
    <t>EBTBRT731</t>
  </si>
  <si>
    <t>EBTBRT736</t>
  </si>
  <si>
    <t>EBTBRT738</t>
  </si>
  <si>
    <t>EBTBRT739</t>
  </si>
  <si>
    <t>EBTBRT744</t>
  </si>
  <si>
    <t>EBTBRT771</t>
  </si>
  <si>
    <t>EBTBRT772</t>
  </si>
  <si>
    <t>EBTBRT774</t>
  </si>
  <si>
    <t>EBT140086</t>
  </si>
  <si>
    <t>EBT140087</t>
  </si>
  <si>
    <t>EBT140088</t>
  </si>
  <si>
    <t>EBT140089</t>
  </si>
  <si>
    <t>EBT140090</t>
  </si>
  <si>
    <t>EBT140091</t>
  </si>
  <si>
    <t>EBT140095</t>
  </si>
  <si>
    <t>EBT140096</t>
  </si>
  <si>
    <t>EBT140098</t>
  </si>
  <si>
    <t>EBT140099</t>
  </si>
  <si>
    <t>EBT140100</t>
  </si>
  <si>
    <t>EBT140101</t>
  </si>
  <si>
    <t>EBT140102</t>
  </si>
  <si>
    <t>EBT140103</t>
  </si>
  <si>
    <t>EBT140104</t>
  </si>
  <si>
    <t>EBT140105</t>
  </si>
  <si>
    <t>EBT140106</t>
  </si>
  <si>
    <t>EBT140107</t>
  </si>
  <si>
    <t>EBT140108</t>
  </si>
  <si>
    <t>EBT140109</t>
  </si>
  <si>
    <t>EBT140110</t>
  </si>
  <si>
    <t>EBT140111</t>
  </si>
  <si>
    <t>EBT140112</t>
  </si>
  <si>
    <t>EBT140113</t>
  </si>
  <si>
    <t>EBT140114</t>
  </si>
  <si>
    <t>EBT140115</t>
  </si>
  <si>
    <t>EBT140116</t>
  </si>
  <si>
    <t>EBT140117</t>
  </si>
  <si>
    <t>EBT140118</t>
  </si>
  <si>
    <t>EBT140119</t>
  </si>
  <si>
    <t>EBT140120</t>
  </si>
  <si>
    <t>EBT140121</t>
  </si>
  <si>
    <t>EBT140122</t>
  </si>
  <si>
    <t>EBT140123</t>
  </si>
  <si>
    <t>EBT140124</t>
  </si>
  <si>
    <t>EBT140125</t>
  </si>
  <si>
    <t>EBT140126</t>
  </si>
  <si>
    <t>EBT140127</t>
  </si>
  <si>
    <t>EBT140217</t>
  </si>
  <si>
    <t>EBT140243-220LC</t>
  </si>
  <si>
    <t>EBT140243-280LC</t>
  </si>
  <si>
    <t>EBT140199</t>
  </si>
  <si>
    <t>ART.EBT140141
COMP:92-93%PL 8-7%EA
WIDTH:57/58"
WEIGHT:333G/M2
info@ebtex.com.cn</t>
  </si>
  <si>
    <t>ART.EBT140178-POLY
COMP:F:100%POLY
G:100%POLY
WIDTH:55"
WEIGHT:380G/M2
info@ebtex.com.cn</t>
  </si>
  <si>
    <t>ART.EBT140198
COMP:F:100%PU
G:100%PL
WIDTH:132CM
WEIGHT:250G/M2
info@ebtex.com.cn</t>
  </si>
  <si>
    <t>EBT140349 before wash</t>
  </si>
  <si>
    <t>EBT140412-220LC</t>
  </si>
  <si>
    <t>EBT140412-280LC</t>
  </si>
  <si>
    <t>EBT140512</t>
  </si>
  <si>
    <t>EBT140529P</t>
  </si>
  <si>
    <t>EBT140529PRINT</t>
  </si>
  <si>
    <t>EBT140529</t>
  </si>
  <si>
    <t>EBT140575</t>
  </si>
  <si>
    <t>EBT140578</t>
  </si>
  <si>
    <t>EBT140609-H</t>
  </si>
  <si>
    <t>EBT140609-H Cheaper Version</t>
  </si>
  <si>
    <t>EBT140609-JRB</t>
  </si>
  <si>
    <t>EBT140609B</t>
  </si>
  <si>
    <t>EBT140609-HB</t>
  </si>
  <si>
    <t>ART.EBT140609-HB
COMP:95%PL 5%EA
WIDTH:142CM
WEIGHT:290/M2
info@ebtex.com.cn</t>
  </si>
  <si>
    <t>EBT140618</t>
  </si>
  <si>
    <t>EBT140990</t>
  </si>
  <si>
    <t>ART.EBT141030
COMP:100%PL
WIDTH:57/58"
WEIGHT:160G/M2
info@ebtex.com.cn</t>
  </si>
  <si>
    <t>EBTBRT705</t>
  </si>
  <si>
    <t>EBTBRT706</t>
  </si>
  <si>
    <t>EBTBRT712</t>
  </si>
  <si>
    <t>EBTBRT713</t>
  </si>
  <si>
    <t>EBTBRT716</t>
  </si>
  <si>
    <t>EBTBRT704</t>
  </si>
  <si>
    <t>EBTBRT718</t>
  </si>
  <si>
    <t>EBTBRT719</t>
  </si>
  <si>
    <t>EBTBRT720</t>
  </si>
  <si>
    <t>EBTBRT721</t>
  </si>
  <si>
    <t>EBT140243-E</t>
  </si>
  <si>
    <t>EBT140243-F</t>
  </si>
  <si>
    <t>EBT140412-E</t>
  </si>
  <si>
    <t>EBT140412-F</t>
  </si>
  <si>
    <t>EBTBRT722</t>
  </si>
  <si>
    <t>EBT140129</t>
  </si>
  <si>
    <t>EBT91364-RF</t>
  </si>
  <si>
    <t>ART.EBT91364-RF
COMP:100%PU+100%PL
WIDTH:135CM
WEIGHT:258G/M2
info@ebtex.com.cn</t>
  </si>
  <si>
    <t>EBT150946</t>
  </si>
  <si>
    <t>EBT150947</t>
  </si>
  <si>
    <t>EBT150948</t>
  </si>
  <si>
    <t>EBT150949</t>
  </si>
  <si>
    <t>EBT150950</t>
  </si>
  <si>
    <t>EBT150951</t>
  </si>
  <si>
    <t>EBT150952</t>
  </si>
  <si>
    <t>EBT150953</t>
  </si>
  <si>
    <t>EBT150954</t>
  </si>
  <si>
    <t>EBT150955</t>
  </si>
  <si>
    <t>EBT150956</t>
  </si>
  <si>
    <t>EBT150957</t>
  </si>
  <si>
    <t>EBT150768-PS</t>
  </si>
  <si>
    <t>EBT150958</t>
  </si>
  <si>
    <t>EBT150959</t>
  </si>
  <si>
    <t>EBT150960</t>
  </si>
  <si>
    <t>EBT150961</t>
  </si>
  <si>
    <t>EBT150962</t>
  </si>
  <si>
    <t>EBT150963</t>
  </si>
  <si>
    <t>EBT150964</t>
  </si>
  <si>
    <t>EBT150965</t>
  </si>
  <si>
    <t>EBT150966</t>
  </si>
  <si>
    <t>EBT150967</t>
  </si>
  <si>
    <t>EBT150968</t>
  </si>
  <si>
    <t>EBT150969</t>
  </si>
  <si>
    <t>EBT150970</t>
  </si>
  <si>
    <t>EBT150971</t>
  </si>
  <si>
    <t>EBT150972</t>
  </si>
  <si>
    <t>EBT150973</t>
  </si>
  <si>
    <t>EBT150974</t>
  </si>
  <si>
    <t>EBT150975</t>
  </si>
  <si>
    <t>EBT150976</t>
  </si>
  <si>
    <t>EBT150977</t>
  </si>
  <si>
    <t>EBT150978</t>
  </si>
  <si>
    <t>EBT150979</t>
  </si>
  <si>
    <t>EBT150980</t>
  </si>
  <si>
    <t>EBT150981</t>
  </si>
  <si>
    <t>EBT150982</t>
  </si>
  <si>
    <t>EBT150983</t>
  </si>
  <si>
    <t>EBT150984</t>
  </si>
  <si>
    <t>EBT150985</t>
  </si>
  <si>
    <t>EBT150986</t>
  </si>
  <si>
    <t>EBT150987</t>
  </si>
  <si>
    <t>EBT150988</t>
  </si>
  <si>
    <t>EBT150989</t>
  </si>
  <si>
    <t>EBT150990</t>
  </si>
  <si>
    <t>EBT150991</t>
  </si>
  <si>
    <t>EBT150992</t>
  </si>
  <si>
    <t>EBT150993</t>
  </si>
  <si>
    <t>EBT150994</t>
  </si>
  <si>
    <t>EBT150995</t>
  </si>
  <si>
    <t>EBT150996</t>
  </si>
  <si>
    <t>EBT150997</t>
  </si>
  <si>
    <t>EBT150998</t>
  </si>
  <si>
    <t>EBT150999</t>
  </si>
  <si>
    <t>EBT151000</t>
  </si>
  <si>
    <t>EBT151001</t>
  </si>
  <si>
    <t>EBT151002</t>
  </si>
  <si>
    <t>EBT151003</t>
  </si>
  <si>
    <t>EBT151004</t>
  </si>
  <si>
    <t>EBT151005</t>
  </si>
  <si>
    <t>EBT151006</t>
  </si>
  <si>
    <t>EBT151007</t>
  </si>
  <si>
    <t>EBT151008</t>
  </si>
  <si>
    <t>EBT151009</t>
  </si>
  <si>
    <t>EBT151010</t>
  </si>
  <si>
    <t>EBT151011</t>
  </si>
  <si>
    <t>EBT151012</t>
  </si>
  <si>
    <t>EBT151013</t>
  </si>
  <si>
    <t>ART.EBT150961
COMP:F:100%PU G:100%PL
WIDTH:128CM
WEIGHT:441G/M2
info@ebtex.com.cn</t>
  </si>
  <si>
    <t>ART.EBT150962
COMP:100%PL
WIDTH:122CM
WEIGHT:285G/M2
info@ebtex.com.cn</t>
  </si>
  <si>
    <t>ART.EBT150963
COMP:100%PL
WIDTH:122CM
WEIGHT:290G/M2
info@ebtex.com.cn</t>
  </si>
  <si>
    <t>EBT250463</t>
  </si>
  <si>
    <t>EBT250464</t>
  </si>
  <si>
    <t>EBT250465</t>
  </si>
  <si>
    <t>EBT250466</t>
  </si>
  <si>
    <t>EBT250467</t>
  </si>
  <si>
    <t>EBT250468</t>
  </si>
  <si>
    <t>EBT250469</t>
  </si>
  <si>
    <t>EBT250470</t>
  </si>
  <si>
    <t>EBT250471</t>
  </si>
  <si>
    <t>EBT250472</t>
  </si>
  <si>
    <t>EBT250473</t>
  </si>
  <si>
    <t>EBT250474</t>
  </si>
  <si>
    <t>EBT250475</t>
  </si>
  <si>
    <t>EBT250476</t>
  </si>
  <si>
    <t>EBT250477</t>
  </si>
  <si>
    <t>EBT250478</t>
  </si>
  <si>
    <t>EBT250479</t>
  </si>
  <si>
    <t>EBT250480</t>
  </si>
  <si>
    <t>EBT250481</t>
  </si>
  <si>
    <t>EBT250482</t>
  </si>
  <si>
    <t>EBT250483</t>
  </si>
  <si>
    <t>EBT250484</t>
  </si>
  <si>
    <t>EBT250485</t>
  </si>
  <si>
    <t>EBT250486</t>
  </si>
  <si>
    <t>EBT250487</t>
  </si>
  <si>
    <t>EBT250488</t>
  </si>
  <si>
    <t>EBT250489</t>
  </si>
  <si>
    <t>EBT250490</t>
  </si>
  <si>
    <t>EBT250491</t>
  </si>
  <si>
    <t>EBT250492</t>
  </si>
  <si>
    <t>EBT250493</t>
  </si>
  <si>
    <t>EBT250494</t>
  </si>
  <si>
    <t>EBT250495</t>
  </si>
  <si>
    <t>ART.EBT250491
COMP:G:55%VI 45%PL
EMB:100%CO
WIDTH:120CM
WEIGHT:
info@ebtex.com.cn</t>
  </si>
  <si>
    <t>ART.EBT250492
COMP:G:65%PL 35%VI
EMB:100%CO
WIDTH:120CM
WEIGHT:
info@ebtex.com.cn</t>
  </si>
  <si>
    <t>EBT150622-JR</t>
  </si>
  <si>
    <t>EBT150626B-JR</t>
  </si>
  <si>
    <t>EBT151014</t>
  </si>
  <si>
    <t>EBT120819</t>
  </si>
  <si>
    <t>EBT120835</t>
  </si>
  <si>
    <t>EBT130854</t>
  </si>
  <si>
    <t>EBT111404B</t>
  </si>
  <si>
    <t>EBT111483</t>
  </si>
  <si>
    <t>EBT120693</t>
  </si>
  <si>
    <t>EBT120697</t>
  </si>
  <si>
    <t>EBT130007</t>
  </si>
  <si>
    <t>EBT130544B</t>
  </si>
  <si>
    <t>EBT130891</t>
  </si>
  <si>
    <t>EBT130892</t>
  </si>
  <si>
    <t>EBT130913-JR</t>
  </si>
  <si>
    <t>ART.EBT111483
COMP:55%LI 42%VI 3%EA 
WIDTH:56/57"
WEIGHT:172G/M2
info@ebtex.com.cn</t>
  </si>
  <si>
    <t>ART.EBT120835
COMP:100%PL
WIDTH:138CM
WEIGHT:365G/M2+/-5%
info@ebtex.com.cn</t>
  </si>
  <si>
    <t>ART.EBT130007
COMP:41%PL 56%CO 3%EA
WIDTH:55/56"
WEIGHT:210G/M2
info@ebtex.com.cn</t>
  </si>
  <si>
    <t>ART.EBT130854
COMP:29%PA71%VI
WIDTH:56/57''
WEIGHT:130G/M2
info@ebtex.com.cn</t>
  </si>
  <si>
    <t>EBT10450</t>
  </si>
  <si>
    <t>EBT111379</t>
  </si>
  <si>
    <t>EBT130304</t>
  </si>
  <si>
    <t>EBT130913</t>
  </si>
  <si>
    <t>EBT150587-AD</t>
  </si>
  <si>
    <t>EBT150873</t>
  </si>
  <si>
    <t>EBT130865-GA</t>
  </si>
  <si>
    <t>EBT130891-ZA</t>
  </si>
  <si>
    <t>EBT130892-ZA</t>
  </si>
  <si>
    <t>EBT130910</t>
  </si>
  <si>
    <t>ART.EBT151014
COMP:90%PL 10%EA
WIDTH:145CM
WEIGHT:435G/M2
info@ebtex.com.cn</t>
  </si>
  <si>
    <t>ART.EBT140170
COMP:100%PL
WIDTH:57/58"
WEIGHT:237G/M2
info@ebtex.com.cn</t>
  </si>
  <si>
    <t>ART.EBT140178
COMP:100%CO
100%PL
WIDTH:57/58"
WEIGHT:380G/M2
info@ebtex.com.cn</t>
  </si>
  <si>
    <t>ART.EBT140399
COMP:G:95%PL 5%EA
F:100%PL
WIDTH:130CM
WEIGHT:330G/M2
info@ebtex.com.cn</t>
  </si>
  <si>
    <t>ART.EBT140860
COMP:100%PL
WIDTH:57/58"
WEIGHT:197G/M2
info@ebtex.com.cn</t>
  </si>
  <si>
    <t>ART.EBT150896
COMP:100%PL
WIDTH:144CM
WEIGHT:135G/M2
info@ebtex.com.cn</t>
  </si>
  <si>
    <t>ART.EBT140479
COMP:38%PL 61%CO 1%EA
WIDTH:53"/54"
WEIGHT:250G/M2
info@ebtex.com.cn</t>
  </si>
  <si>
    <t>ART.EBT140662
COMP:38%PL 61%CO 1%EA
WIDTH:55"
WEIGHT:240G/M2
info@ebtex.com.cn</t>
  </si>
  <si>
    <t>ART.EBT140663
COMP:38%PL 61%CO 1%EA
WIDTH:55"
WEIGHT:245G/M2
info@ebtex.com.cn</t>
  </si>
  <si>
    <t>ART.EBT140664
COMP:38%PL 61%CO 1%EA
WIDTH:53"
WEIGHT:250G/M2
info@ebtex.com.cn</t>
  </si>
  <si>
    <t>ART.EBT140666
COMP:38%PL 61%CO 1%EA
WIDTH:54"
WEIGHT:235G/M2
info@ebtex.com.cn</t>
  </si>
  <si>
    <t>ART.EBT140667
COMP:38%PL 61%CO 1%EA
WIDTH:55"
WEIGHT:240G/M2
info@ebtex.com.cn</t>
  </si>
  <si>
    <t>ART.EBT140668
COMP:38%PL 61%CO 1%EA
WIDTH:55"
WEIGHT:235G/M2
info@ebtex.com.cn</t>
  </si>
  <si>
    <t>ART.EBT140856
COMP:76%PL 23%VI 1%EA
WIDTH:56/57"
WEIGHT:265G/M2
info@ebtex.com.cn</t>
  </si>
  <si>
    <t>ART.EBT150947
COMP:95%PL 5%EA
WIDTH:145CM
WEIGHT:168G/M2
info@ebtex.com.cn</t>
  </si>
  <si>
    <t>ART.EBT150948
COMP:95%PL 5%EA
WIDTH:145CM
WEIGHT:167G/M2
info@ebtex.com.cn</t>
  </si>
  <si>
    <t>ART.EBT150949
COMP:95%PL 5%EA
WIDTH:128CM
WEIGHT:272G/M2
info@ebtex.com.cn</t>
  </si>
  <si>
    <t>ART.EBT150950
COMP:95%PL 5%EA
WIDTH:128CM
WEIGHT:260G/M2
info@ebtex.com.cn</t>
  </si>
  <si>
    <t>ART.EBT150958
COMP:95%PL 5%EA
WIDTH:126CM
WEIGHT:300G/M2
info@ebtex.com.cn</t>
  </si>
  <si>
    <t>ART.EBT250010
COMP:85.9%PL 14.1%EA
WIDTH:152CM
WEIGHT:320G/M2
info@ebtex.com.cn</t>
  </si>
  <si>
    <t>ART.EBT140254
COMP:98%CO 2%EA
WIDTH:50"
WEIGHT:270G/M2
info@ebtex.com.cn</t>
  </si>
  <si>
    <t>ART.EBT140492
COMP:97%PL 3%EA
WIDTH:145CM
WEIGHT:240G/M
info@ebtex.com.cn</t>
  </si>
  <si>
    <t>ART.EBT250007
COMP:52%LI 45%VI 3%EA
WIDTH:145CM
WEIGHT:215G/M2
info@ebtex.com.cn</t>
  </si>
  <si>
    <t>ART.EBT150587-AD
COMP:100%PL
WIDTH:120CM
WEIGHT:299G/M
info@ebtex.com.cn</t>
  </si>
  <si>
    <t>EBT130910-ZA</t>
  </si>
  <si>
    <t>EBT120835-PRINT</t>
  </si>
  <si>
    <t>EBT10450-JR</t>
  </si>
  <si>
    <t>ART.EBT10450-JR
COMP:62%PL 33%VI 5%EA
WIDTH:57/58"
WEIGHT:345G/M2
info@ebtex.com.cn</t>
  </si>
  <si>
    <t>ART.EBT120835-PRINT
COMP:100%PL
WIDTH:135CM
WEIGHT:380G/M2+/-5%
info@ebtex.com.cn</t>
  </si>
  <si>
    <t>ART.EBT130891
COMP:100%CO
WIDTH:131CM
WEIGHT:290G/M2
info@ebtex.com.cn</t>
  </si>
  <si>
    <t>ART.EBT130892
COMP:100%CO
WIDTH:131CM
WEIGHT:
info@ebtex.com.cn</t>
  </si>
  <si>
    <t>ART.EBT130910
COMP:100%PL
WIDTH:125CM
WEIGHT:
info@ebtex.com.cn</t>
  </si>
  <si>
    <t>ART.EBT150671A
COMP:70%PL 30%AF
WIDTH:57/58"
WEIGHT:590G/M
info@ebtex.com.cn</t>
  </si>
  <si>
    <t>EBT150511-GT</t>
  </si>
  <si>
    <t>EBT151015</t>
  </si>
  <si>
    <t>winter</t>
  </si>
  <si>
    <t>spring</t>
    <phoneticPr fontId="51" type="noConversion"/>
  </si>
  <si>
    <t>EBT151018</t>
  </si>
  <si>
    <t>EBT150730</t>
    <phoneticPr fontId="51" type="noConversion"/>
  </si>
  <si>
    <t>EBT151019</t>
  </si>
  <si>
    <t>EBT151020</t>
  </si>
  <si>
    <t>EBT151021</t>
  </si>
  <si>
    <t>EBT151022</t>
  </si>
  <si>
    <t>EBT151023</t>
  </si>
  <si>
    <t>EBT150943</t>
  </si>
  <si>
    <t>EBT151016</t>
  </si>
  <si>
    <t>EBT151017</t>
  </si>
  <si>
    <t>EBT141027-PRINT</t>
  </si>
  <si>
    <t>EBT151025</t>
  </si>
  <si>
    <t>EBT151026</t>
  </si>
  <si>
    <t>EBT06337-JR</t>
  </si>
  <si>
    <t>EBT9343-JR</t>
  </si>
  <si>
    <t>EBT250507</t>
  </si>
  <si>
    <t>EBT250508</t>
  </si>
  <si>
    <t>EBT250509</t>
  </si>
  <si>
    <t>EBT250510</t>
  </si>
  <si>
    <t>EBT250511</t>
  </si>
  <si>
    <t>EBT250512</t>
  </si>
  <si>
    <t>EBT250513</t>
  </si>
  <si>
    <t>EBT250514</t>
  </si>
  <si>
    <t>EBT250515</t>
  </si>
  <si>
    <t>EBT250516</t>
  </si>
  <si>
    <t>EBT250517</t>
  </si>
  <si>
    <t>EBT250518</t>
  </si>
  <si>
    <t>EBT250519</t>
  </si>
  <si>
    <t>EBT250520</t>
  </si>
  <si>
    <t>EBT250521</t>
  </si>
  <si>
    <t>EBT250522</t>
  </si>
  <si>
    <t>EBT250523</t>
  </si>
  <si>
    <t>EBT250524</t>
  </si>
  <si>
    <t>EBT250537</t>
  </si>
  <si>
    <t>EBT250538</t>
  </si>
  <si>
    <t>EBT250539</t>
  </si>
  <si>
    <t>EBT250540</t>
  </si>
  <si>
    <t>EBT250541</t>
  </si>
  <si>
    <t>EBT250542</t>
  </si>
  <si>
    <t>EBT150625-JR</t>
  </si>
  <si>
    <t>EBT150558-JR</t>
  </si>
  <si>
    <t>EBT150782-2</t>
  </si>
  <si>
    <t>EBT250498</t>
  </si>
  <si>
    <t>EBT150502-B-PS</t>
  </si>
  <si>
    <t>EBT250497</t>
  </si>
  <si>
    <t>EBT250496</t>
  </si>
  <si>
    <t>EBT250499</t>
  </si>
  <si>
    <t>EBT250500</t>
  </si>
  <si>
    <t>EBT250525</t>
  </si>
  <si>
    <t>EBT250526</t>
  </si>
  <si>
    <t>EBT250527</t>
  </si>
  <si>
    <t>EBT250528</t>
  </si>
  <si>
    <t>EBT250529</t>
  </si>
  <si>
    <t>EBT250530</t>
  </si>
  <si>
    <t>EBT250531</t>
  </si>
  <si>
    <t>EBT250532</t>
  </si>
  <si>
    <t>EBT250533</t>
  </si>
  <si>
    <t>EBT250534</t>
  </si>
  <si>
    <t>EBT250535</t>
  </si>
  <si>
    <t>EBT250536</t>
  </si>
  <si>
    <t>EBT250543A</t>
  </si>
  <si>
    <t>EBT250543B</t>
  </si>
  <si>
    <t>EBT150428-JR</t>
  </si>
  <si>
    <t>EBT150694-JR</t>
  </si>
  <si>
    <t>EBTSKR349</t>
  </si>
  <si>
    <t>EBTSKR456</t>
  </si>
  <si>
    <t>EBTSKR455</t>
  </si>
  <si>
    <t>EBTSKR423</t>
  </si>
  <si>
    <t>EBTSKR334</t>
  </si>
  <si>
    <t>EBT151028</t>
  </si>
  <si>
    <t>EBT151029</t>
  </si>
  <si>
    <t>EBT151030</t>
  </si>
  <si>
    <t>EBT151031</t>
  </si>
  <si>
    <t>EBT151032</t>
  </si>
  <si>
    <t>EBT151033</t>
  </si>
  <si>
    <t>EBT151034</t>
  </si>
  <si>
    <t>EBT151035</t>
  </si>
  <si>
    <t>EBT151036</t>
  </si>
  <si>
    <t>EBT151037</t>
  </si>
  <si>
    <t>EBT151038</t>
  </si>
  <si>
    <t>EBT151027</t>
  </si>
  <si>
    <t>EBT151040</t>
  </si>
  <si>
    <t>EBT151043</t>
  </si>
  <si>
    <t>EBT151044</t>
  </si>
  <si>
    <t>EBT151045</t>
  </si>
  <si>
    <t>EBT151046</t>
  </si>
  <si>
    <t>EBT151047</t>
  </si>
  <si>
    <t>EBT151048</t>
  </si>
  <si>
    <t>EBT151041</t>
  </si>
  <si>
    <t>EBT10275-JR</t>
  </si>
  <si>
    <t>EBT151042</t>
  </si>
  <si>
    <t>EBT151049</t>
  </si>
  <si>
    <t>EBT151050</t>
  </si>
  <si>
    <t>EBTBRT1056</t>
  </si>
  <si>
    <t>EBTBRT1057</t>
  </si>
  <si>
    <t>EBTBRT1054</t>
  </si>
  <si>
    <t>EBTBRT1055</t>
  </si>
  <si>
    <t>EBT130509</t>
  </si>
  <si>
    <t>EBT151052</t>
  </si>
  <si>
    <t>EBT151053</t>
  </si>
  <si>
    <t>EBT151054</t>
  </si>
  <si>
    <t>EBT151055</t>
  </si>
  <si>
    <t>EBT151056</t>
  </si>
  <si>
    <t>EBT151057</t>
  </si>
  <si>
    <t>EBT151058</t>
  </si>
  <si>
    <t>EBT151059</t>
  </si>
  <si>
    <t>EBT151060</t>
  </si>
  <si>
    <t>EBT151062</t>
  </si>
  <si>
    <t>EBT151061</t>
  </si>
  <si>
    <t>EBT151039</t>
  </si>
  <si>
    <t>EBT151063</t>
  </si>
  <si>
    <t>EBT130898</t>
  </si>
  <si>
    <t>EBT151064</t>
  </si>
  <si>
    <t>EBT151066</t>
  </si>
  <si>
    <t>EBT151067</t>
  </si>
  <si>
    <t>EBT151068</t>
  </si>
  <si>
    <t>EBT151069</t>
  </si>
  <si>
    <t>EBT151070</t>
  </si>
  <si>
    <t>EBT151071</t>
  </si>
  <si>
    <t>EBT151079</t>
  </si>
  <si>
    <t>EBT151080</t>
  </si>
  <si>
    <t>EBT151081</t>
  </si>
  <si>
    <t>EBT151082</t>
  </si>
  <si>
    <t>EBT151083</t>
  </si>
  <si>
    <t>EBT151084</t>
  </si>
  <si>
    <t>EBT151085</t>
  </si>
  <si>
    <t>EBT151086</t>
  </si>
  <si>
    <t>EBT151087</t>
  </si>
  <si>
    <t>EBT151088</t>
  </si>
  <si>
    <t>EBT151089</t>
  </si>
  <si>
    <t>EBT151090</t>
  </si>
  <si>
    <t>EBT151091</t>
  </si>
  <si>
    <t>EBT151074</t>
  </si>
  <si>
    <t>EBT151075</t>
  </si>
  <si>
    <t>EBT151076</t>
  </si>
  <si>
    <t>EBT151077</t>
  </si>
  <si>
    <t>EBT151078</t>
  </si>
  <si>
    <t>EBT250545</t>
  </si>
  <si>
    <t>EBT250546</t>
  </si>
  <si>
    <t>EBT250547</t>
  </si>
  <si>
    <t>EBT250548</t>
  </si>
  <si>
    <t>EBT250549A</t>
  </si>
  <si>
    <t>EBT250549B</t>
  </si>
  <si>
    <t>EBT250550</t>
  </si>
  <si>
    <t>EBT250551</t>
  </si>
  <si>
    <t>EBT250552</t>
  </si>
  <si>
    <t>EBT250553</t>
  </si>
  <si>
    <t>EBT250554</t>
  </si>
  <si>
    <t>EBT250555</t>
  </si>
  <si>
    <t>EBT250556</t>
  </si>
  <si>
    <t>EBT250557</t>
  </si>
  <si>
    <t>EBT250558</t>
  </si>
  <si>
    <t>EBT250559</t>
  </si>
  <si>
    <t>EBT250560</t>
  </si>
  <si>
    <t>EBT250561</t>
  </si>
  <si>
    <t>EBT250562</t>
  </si>
  <si>
    <t>EBT250563</t>
  </si>
  <si>
    <t>EBT250564</t>
  </si>
  <si>
    <t>EBT250565</t>
  </si>
  <si>
    <t>EBT250566</t>
  </si>
  <si>
    <t>EBT250567</t>
  </si>
  <si>
    <t>EBT250568</t>
  </si>
  <si>
    <t>EBT250569</t>
  </si>
  <si>
    <t>EBT250570</t>
  </si>
  <si>
    <t>EBT250571</t>
  </si>
  <si>
    <t>EBT250572</t>
  </si>
  <si>
    <t>EBT250573</t>
  </si>
  <si>
    <t>EBT250574</t>
  </si>
  <si>
    <t>EBT250575</t>
  </si>
  <si>
    <t>EBT250576</t>
  </si>
  <si>
    <t>EBT250577</t>
  </si>
  <si>
    <t>EBT250578</t>
  </si>
  <si>
    <t>EBT250579</t>
  </si>
  <si>
    <t>EBT250580</t>
  </si>
  <si>
    <t>EBT250581</t>
  </si>
  <si>
    <t>EBT250582</t>
  </si>
  <si>
    <t>EBT250583</t>
  </si>
  <si>
    <t>EBT250584</t>
  </si>
  <si>
    <t>EBT250585</t>
  </si>
  <si>
    <t>EBT250586</t>
  </si>
  <si>
    <t>EBT250587</t>
  </si>
  <si>
    <t>EBT250588</t>
  </si>
  <si>
    <t>EBT250589</t>
  </si>
  <si>
    <t>EBT250590</t>
  </si>
  <si>
    <t>EBT250591</t>
  </si>
  <si>
    <t>EBT250592</t>
  </si>
  <si>
    <t>EBT250593</t>
  </si>
  <si>
    <t>EBT250594</t>
  </si>
  <si>
    <t>EBT250595</t>
  </si>
  <si>
    <t>EBT250596</t>
  </si>
  <si>
    <t>EBT250597</t>
  </si>
  <si>
    <t>EBT250598</t>
  </si>
  <si>
    <t>EBT250599</t>
  </si>
  <si>
    <t>EBT250600</t>
  </si>
  <si>
    <t>EBT250601</t>
  </si>
  <si>
    <t>EBT250602</t>
  </si>
  <si>
    <t>EBT250603</t>
  </si>
  <si>
    <t>EBT250604</t>
  </si>
  <si>
    <t>EBT250605</t>
  </si>
  <si>
    <t>EBT250606</t>
  </si>
  <si>
    <t>EBT250607</t>
  </si>
  <si>
    <t>EBT250608</t>
  </si>
  <si>
    <t>EBT250609</t>
  </si>
  <si>
    <t>EBT250610</t>
  </si>
  <si>
    <t>EBT250611</t>
  </si>
  <si>
    <t>EBT250612</t>
  </si>
  <si>
    <t>EBT250613</t>
  </si>
  <si>
    <t>EBT250614</t>
  </si>
  <si>
    <t>EBT250615</t>
  </si>
  <si>
    <t>EBT250616</t>
  </si>
  <si>
    <t>EBT250617</t>
  </si>
  <si>
    <t>EBT250618</t>
  </si>
  <si>
    <t>EBT250619</t>
  </si>
  <si>
    <t>EBT250620</t>
  </si>
  <si>
    <t>EBT250621</t>
  </si>
  <si>
    <t>EBT250622</t>
  </si>
  <si>
    <t>EBT250623</t>
  </si>
  <si>
    <t>EBT250624</t>
  </si>
  <si>
    <t>EBT250625</t>
  </si>
  <si>
    <t>EBT250626</t>
  </si>
  <si>
    <t>EBT250627</t>
  </si>
  <si>
    <t>EBT250628</t>
  </si>
  <si>
    <t>EBT250629</t>
  </si>
  <si>
    <t>EBT250630</t>
  </si>
  <si>
    <t>EBT250631</t>
  </si>
  <si>
    <t>EBT250632</t>
  </si>
  <si>
    <t>EBT250633</t>
  </si>
  <si>
    <t>EBT250634</t>
  </si>
  <si>
    <t>EBT250635</t>
  </si>
  <si>
    <t>EBT250636</t>
  </si>
  <si>
    <t>EBT250637</t>
  </si>
  <si>
    <t>EBT250638</t>
  </si>
  <si>
    <t>EBT250639</t>
  </si>
  <si>
    <t>EBT250640</t>
  </si>
  <si>
    <t>EBT250641</t>
  </si>
  <si>
    <t>EBT250642</t>
  </si>
  <si>
    <t>EBT250643</t>
  </si>
  <si>
    <t>EBT250644</t>
  </si>
  <si>
    <t>EBT250645</t>
  </si>
  <si>
    <t>EBT250646</t>
  </si>
  <si>
    <t>EBT250647</t>
  </si>
  <si>
    <t>EBT250648</t>
  </si>
  <si>
    <t>EBT250649</t>
  </si>
  <si>
    <t>EBT250650</t>
  </si>
  <si>
    <t>EBT250651</t>
  </si>
  <si>
    <t>EBT250652</t>
  </si>
  <si>
    <t>EBT250653</t>
  </si>
  <si>
    <t>EBT250654</t>
  </si>
  <si>
    <t>EBT250655</t>
  </si>
  <si>
    <t>EBT250656</t>
  </si>
  <si>
    <t>EBT250657</t>
  </si>
  <si>
    <t>EBT250658</t>
  </si>
  <si>
    <t>EBT130694</t>
  </si>
  <si>
    <t>EBT151096</t>
  </si>
  <si>
    <t>EBT111404</t>
  </si>
  <si>
    <t>EBT151125</t>
  </si>
  <si>
    <t>EBT151126</t>
  </si>
  <si>
    <t>EBT151127</t>
  </si>
  <si>
    <t>EBT151128</t>
  </si>
  <si>
    <t>EBT151123-PEACHED</t>
  </si>
  <si>
    <t>EBT151124-PEACHED</t>
  </si>
  <si>
    <t>EBT130877</t>
  </si>
  <si>
    <t>EBT151129</t>
  </si>
  <si>
    <t>EBT151130</t>
  </si>
  <si>
    <t>EBT151131</t>
  </si>
  <si>
    <t>EBT151132</t>
  </si>
  <si>
    <t>EBT151133</t>
  </si>
  <si>
    <t>EBT151135</t>
  </si>
  <si>
    <t>EBT151134</t>
  </si>
  <si>
    <t>EBT150882-PS</t>
  </si>
  <si>
    <t>EBT151136</t>
  </si>
  <si>
    <t>EBT151137</t>
  </si>
  <si>
    <t>EBT151138</t>
  </si>
  <si>
    <t>EBT151139</t>
  </si>
  <si>
    <t>EBT151140</t>
  </si>
  <si>
    <t>EBT151141</t>
  </si>
  <si>
    <t>EBT151093</t>
  </si>
  <si>
    <t>EBT151142</t>
  </si>
  <si>
    <t>EBT130637</t>
  </si>
  <si>
    <t>EBT151143</t>
  </si>
  <si>
    <t>EBT151144</t>
  </si>
  <si>
    <t>EBT151145</t>
  </si>
  <si>
    <t>EBT151146</t>
  </si>
  <si>
    <t>EBT151147</t>
  </si>
  <si>
    <t>EBT150004 GOUND</t>
  </si>
  <si>
    <t>EBT140244 IN PL GOUND</t>
  </si>
  <si>
    <t>EBT140304 IN PL GOUND</t>
  </si>
  <si>
    <t>EBT140678-GOUND</t>
  </si>
  <si>
    <t>ART.EBTSKR349
COMP:100%PL
WIDTH:56"
WEIGHT:800G/YD
info@bertini.co.kr</t>
  </si>
  <si>
    <t>ART.EBTSKR423
COMP:96%PL 4%EA
WIDTH:56"
WEIGHT:850G/YD
info@bertini.co.kr</t>
  </si>
  <si>
    <t>ART.EBTSKR456
COMP:100%PL
WIDTH:56"
WEIGHT:850G/YD
info@bertini.co.kr</t>
  </si>
  <si>
    <t>ART.EBTSKR455
COMP:100%PL
WIDTH:56"
WEIGHT:700G/YD
info@bertini.co.kr</t>
  </si>
  <si>
    <t>ART.EBTSKR334
COMP:100%PL
WIDTH:56"
WEIGHT:700G/YD
info@bertini.co.kr</t>
  </si>
  <si>
    <t>EBT151148</t>
  </si>
  <si>
    <t>EBT151149</t>
  </si>
  <si>
    <t>EBT151150</t>
  </si>
  <si>
    <t>EBT151151</t>
  </si>
  <si>
    <t>EBT151152</t>
  </si>
  <si>
    <t>EBT151153</t>
  </si>
  <si>
    <t>EBT151154</t>
  </si>
  <si>
    <t>EBT151155</t>
  </si>
  <si>
    <t>EBT151156</t>
  </si>
  <si>
    <t>EBT151157</t>
  </si>
  <si>
    <t>EBT151158</t>
  </si>
  <si>
    <t>EBT151159</t>
  </si>
  <si>
    <t>EBT151160</t>
  </si>
  <si>
    <t>EBT151161</t>
  </si>
  <si>
    <t>EBT151162</t>
  </si>
  <si>
    <t>EBT151099</t>
  </si>
  <si>
    <t>EBT151100</t>
  </si>
  <si>
    <t>EBT151101</t>
  </si>
  <si>
    <t>EBT151102</t>
  </si>
  <si>
    <t>EBT151103</t>
  </si>
  <si>
    <t>EBT151104</t>
  </si>
  <si>
    <t>EBT151105</t>
  </si>
  <si>
    <t>EBT151106</t>
  </si>
  <si>
    <t>EBT151107</t>
  </si>
  <si>
    <t>EBT151108</t>
  </si>
  <si>
    <t>EBT151109</t>
  </si>
  <si>
    <t>EBT151110</t>
  </si>
  <si>
    <t>EBT151111</t>
  </si>
  <si>
    <t>EBT151112</t>
  </si>
  <si>
    <t>EBT151113</t>
  </si>
  <si>
    <t>EBT151114</t>
  </si>
  <si>
    <t>EBT151115</t>
  </si>
  <si>
    <t>EBT151116</t>
  </si>
  <si>
    <t>EBT151117</t>
  </si>
  <si>
    <t>EBT151118</t>
  </si>
  <si>
    <t>EBT151119</t>
  </si>
  <si>
    <t>EBT151120</t>
  </si>
  <si>
    <t>EBT151121</t>
  </si>
  <si>
    <t>EBT151122</t>
  </si>
  <si>
    <t>EBT151163</t>
  </si>
  <si>
    <t>EBT151164</t>
  </si>
  <si>
    <t>EBT151165</t>
  </si>
  <si>
    <t>EBT151166</t>
  </si>
  <si>
    <t>EBT151167</t>
  </si>
  <si>
    <t>EBT151168</t>
  </si>
  <si>
    <t>EBT151169</t>
  </si>
  <si>
    <t>EBT151170</t>
  </si>
  <si>
    <t>EBT151171</t>
  </si>
  <si>
    <t>EBT151172</t>
  </si>
  <si>
    <t>EBT151173</t>
  </si>
  <si>
    <t>EBT151174</t>
  </si>
  <si>
    <t>EBT151175</t>
  </si>
  <si>
    <t>EBT151176</t>
  </si>
  <si>
    <t>EBT151177</t>
  </si>
  <si>
    <t>EBT151178</t>
  </si>
  <si>
    <t>EBT151179</t>
  </si>
  <si>
    <t>EBT151180</t>
  </si>
  <si>
    <t>EBT151182</t>
  </si>
  <si>
    <t>EBT151183</t>
  </si>
  <si>
    <t>EBT151184</t>
  </si>
  <si>
    <t>EBT151185</t>
  </si>
  <si>
    <t>EBT151187</t>
  </si>
  <si>
    <t>EBT151188</t>
  </si>
  <si>
    <t>EBT151189</t>
  </si>
  <si>
    <t>EBT151190</t>
  </si>
  <si>
    <t>EBT151191</t>
  </si>
  <si>
    <t>EBT151192</t>
  </si>
  <si>
    <t>EBT151193</t>
  </si>
  <si>
    <t>EBT151194</t>
  </si>
  <si>
    <t>EBT151195</t>
  </si>
  <si>
    <t>EBT151196</t>
  </si>
  <si>
    <t>EBT151197</t>
  </si>
  <si>
    <t>EBT151198</t>
  </si>
  <si>
    <t>EBT151199</t>
  </si>
  <si>
    <t>EBT151200</t>
  </si>
  <si>
    <t>EBT151201</t>
  </si>
  <si>
    <t>EBT151202</t>
  </si>
  <si>
    <t>EBT151203</t>
  </si>
  <si>
    <t>EBT151204</t>
  </si>
  <si>
    <t>EBT151205</t>
  </si>
  <si>
    <t>EBT151206</t>
  </si>
  <si>
    <t>EBT151207</t>
  </si>
  <si>
    <t>EBT151208</t>
  </si>
  <si>
    <t>EBT151209</t>
  </si>
  <si>
    <t>EBT151210</t>
  </si>
  <si>
    <t>EBT151211</t>
  </si>
  <si>
    <t>EBT151212</t>
  </si>
  <si>
    <t>EBT111559</t>
  </si>
  <si>
    <t>EBT151213</t>
  </si>
  <si>
    <t>EBT151214</t>
  </si>
  <si>
    <t>EBT151215</t>
  </si>
  <si>
    <t>EBT151216</t>
  </si>
  <si>
    <t>EBT151217</t>
  </si>
  <si>
    <t>EBT151218</t>
  </si>
  <si>
    <t>EBT151219</t>
  </si>
  <si>
    <t>EBT151220</t>
  </si>
  <si>
    <t>EBT151221</t>
  </si>
  <si>
    <t>EBT151228</t>
  </si>
  <si>
    <t>EBT151227</t>
  </si>
  <si>
    <t>EBT151237</t>
  </si>
  <si>
    <t>EBT151236</t>
  </si>
  <si>
    <t>EBT151241</t>
  </si>
  <si>
    <t>EBT151242</t>
  </si>
  <si>
    <t>EBT151243</t>
  </si>
  <si>
    <t>EBT151244</t>
  </si>
  <si>
    <t>EBT151245</t>
  </si>
  <si>
    <t>EBT151247</t>
  </si>
  <si>
    <t>EBT151248</t>
  </si>
  <si>
    <t>EBT151249</t>
  </si>
  <si>
    <t>EBT151250</t>
  </si>
  <si>
    <t>EBT151251</t>
  </si>
  <si>
    <t>EBT151252</t>
  </si>
  <si>
    <t>EBT151253</t>
  </si>
  <si>
    <t>EBT151254</t>
  </si>
  <si>
    <t>EBT151255</t>
  </si>
  <si>
    <t>EBT151256</t>
  </si>
  <si>
    <t>EBT151257</t>
  </si>
  <si>
    <t>EBT151258</t>
  </si>
  <si>
    <t>EBT151259</t>
  </si>
  <si>
    <t>EBT151260</t>
  </si>
  <si>
    <t>EBT151261</t>
  </si>
  <si>
    <t>ART.EBT150995
COMP:F:100%PL G:100%PL
WIDTH:128CM
WEIGHT:
info@ebtex.com.cn</t>
  </si>
  <si>
    <t>ART.EBT150996
COMP:F:100%PL G:100%PL
WIDTH:129CM
WEIGHT:
info@ebtex.com.cn</t>
  </si>
  <si>
    <t>ART.EBT150997
COMP:F:100%PL G:100%PL
WIDTH:130CM 
WEIGHT:
info@ebtex.com.cn</t>
  </si>
  <si>
    <t>ART.EBT150998
COMP:F:100%PL G:100%PL
WIDTH:124CM
WEIGHT:
info@ebtex.com.cn</t>
  </si>
  <si>
    <t>EBT151262</t>
  </si>
  <si>
    <t>EBT151181</t>
  </si>
  <si>
    <t>EBT151186</t>
  </si>
  <si>
    <t>EBT151229</t>
  </si>
  <si>
    <t>EBT151230</t>
  </si>
  <si>
    <t>EBT151231</t>
  </si>
  <si>
    <t>EBT151232</t>
  </si>
  <si>
    <t>EBT151233</t>
  </si>
  <si>
    <t>EBT151234</t>
  </si>
  <si>
    <t>EBT151239</t>
  </si>
  <si>
    <t>EBT151240</t>
  </si>
  <si>
    <t>EBT151263</t>
  </si>
  <si>
    <t>EBT151264</t>
  </si>
  <si>
    <t>EBT250659</t>
  </si>
  <si>
    <t>EBT250660</t>
  </si>
  <si>
    <t>EBT250661</t>
  </si>
  <si>
    <t>EBT250662</t>
  </si>
  <si>
    <t>EBT250663</t>
  </si>
  <si>
    <t>EBT250664</t>
  </si>
  <si>
    <t>EBT250665</t>
  </si>
  <si>
    <t>EBT250666</t>
  </si>
  <si>
    <t>EBT250667</t>
  </si>
  <si>
    <t>EBT250668</t>
  </si>
  <si>
    <t>EBT250669</t>
  </si>
  <si>
    <t>EBT250671</t>
  </si>
  <si>
    <t>EBT250672</t>
  </si>
  <si>
    <t>EBT250673</t>
  </si>
  <si>
    <t>EBT250674</t>
  </si>
  <si>
    <t>EBT250675</t>
  </si>
  <si>
    <t>EBT250676</t>
  </si>
  <si>
    <t>EBT250677</t>
  </si>
  <si>
    <t>EBT250678</t>
  </si>
  <si>
    <t>EBT250679</t>
  </si>
  <si>
    <t>EBT250680</t>
  </si>
  <si>
    <t>EBT250681</t>
  </si>
  <si>
    <t>EBT250682</t>
  </si>
  <si>
    <t>EBT250683</t>
  </si>
  <si>
    <t>EBT250684</t>
  </si>
  <si>
    <t>EBT250685</t>
  </si>
  <si>
    <t>EBT250686</t>
  </si>
  <si>
    <t>EBT250687</t>
  </si>
  <si>
    <t>EBT250688</t>
  </si>
  <si>
    <t>EBT250689</t>
  </si>
  <si>
    <t>EBT250690</t>
  </si>
  <si>
    <t>EBT250691</t>
  </si>
  <si>
    <t>EBT250692</t>
  </si>
  <si>
    <t>EBT250693</t>
  </si>
  <si>
    <t>EBT250694</t>
  </si>
  <si>
    <t>EBT250695</t>
  </si>
  <si>
    <t>EBT250696</t>
  </si>
  <si>
    <t>EBT250697</t>
  </si>
  <si>
    <t>EBT250698</t>
  </si>
  <si>
    <t>EBT250699</t>
  </si>
  <si>
    <t>EBT250700</t>
  </si>
  <si>
    <t>EBT250701</t>
  </si>
  <si>
    <t>EBT250702</t>
  </si>
  <si>
    <t>EBT250703</t>
  </si>
  <si>
    <t>EBT250704</t>
  </si>
  <si>
    <t>EBT250705</t>
  </si>
  <si>
    <t>EBT250706</t>
  </si>
  <si>
    <t>EBT250707</t>
  </si>
  <si>
    <t>EBT250708</t>
  </si>
  <si>
    <t>EBT250709</t>
  </si>
  <si>
    <t>EBT250710</t>
  </si>
  <si>
    <t>EBT250711</t>
  </si>
  <si>
    <t>EBT250712</t>
  </si>
  <si>
    <t>EBT250713</t>
  </si>
  <si>
    <t>EBT250714</t>
  </si>
  <si>
    <t>EBT250715</t>
  </si>
  <si>
    <t>EBT151279</t>
  </si>
  <si>
    <t>EBT151280</t>
  </si>
  <si>
    <t>EBT151281</t>
  </si>
  <si>
    <t>EBT151282</t>
  </si>
  <si>
    <t>ART.EBT250008
COMP:86.2%PL 13.8%EA
WIDTH:135CM
WEIGHT:265G/M2</t>
  </si>
  <si>
    <t>ART.EBT250009
COMP:F:30%WO 70%PL G:100%PL
WIDTH:147CM
WEIGHT:630G/M2</t>
  </si>
  <si>
    <t>ART.EBT250013
COMP:94%PL 6%OP
WIDTH:160CM
WEIGHT:280G/M2</t>
  </si>
  <si>
    <t>ART.EBT250014
COMP:90%PL 10%PA
WIDTH:155CM
WEIGHT:410G/M2</t>
  </si>
  <si>
    <t>ART.EBT250015
COMP:70%VI 26%PA 4%EA
WIDTH:168CM
WEIGHT:340G/M2</t>
  </si>
  <si>
    <t>ART.EBT250016
COMP:90%PL 10%EA
WIDTH:150CM
WEIGHT:300G/M2</t>
  </si>
  <si>
    <t>ART.EBT250017
COMP:95%PL 5%EA
WIDTH:147CM
WEIGHT:237G/M2</t>
  </si>
  <si>
    <t>ART.EBT250018
COMP:G:95%PL 5%EA F:100%PL
WIDTH:145CM
WEIGHT:417G/M2</t>
  </si>
  <si>
    <t>ART.EBT250019
COMP:21%PA 79%VI
WIDTH:145CM
WEIGHT:99G/M2</t>
  </si>
  <si>
    <t>ART.EBT250020
COMP:66%PL 30%VI 4%EA
WIDTH:145CM
WEIGHT:360G/M2</t>
  </si>
  <si>
    <t>ART.EBT250021
COMP:100%PL 100%PU 
WIDTH:54/55"
WEIGHT:430G/M2</t>
  </si>
  <si>
    <t>ART.EBT250022
COMP:3%WO 97%AF
WIDTH:145CM
WEIGHT:570G/M(+/-20G/M)</t>
  </si>
  <si>
    <t>ART.EBT250023
COMP:10%WO 90%AF
WIDTH:145CM
WEIGHT:690G/M(+/-20G/M)</t>
  </si>
  <si>
    <t>ART.EBT250025
COMP:96%PL 4%EA
WIDTH:140CM
WEIGHT:280G/M2</t>
  </si>
  <si>
    <t>ART.EBT250027
COMP:F:60%WO 40%PL G:100%PL
WIDTH:57/58"
WEIGHT:395G/M2</t>
  </si>
  <si>
    <t>ART.EBT250028
COMP:F:60%WO 40%PL G:20%PL 80%CO
WIDTH:57/58"
WEIGHT:777G/M2</t>
  </si>
  <si>
    <t>ART.EBT250039
COMP:100%PA
WIDTH:142CM
WEIGHT:</t>
  </si>
  <si>
    <t>ART.EBT250041
COMP:
WIDTH:
WEIGHT:</t>
  </si>
  <si>
    <t>ART.EBT250043
COMP:100%PA TRIM( 1PC=2.8-2.9M)
WIDTH:75CM
WEIGHT:</t>
  </si>
  <si>
    <t>ART.EBT250046
COMP:58%PA 36%VI 6%EA
WIDTH:140CM
WEIGHT:225G/M</t>
  </si>
  <si>
    <t>ART.EBT250047
COMP:92%PA 8%EA
WIDTH:148CM
WEIGHT:227G/M</t>
  </si>
  <si>
    <t>ART.EBT250049
COMP:30%PA 70%CO
WIDTH:150CM
WEIGHT:140G/M</t>
  </si>
  <si>
    <t>ART.EBT250067
COMP:100%PA
WIDTH:width:145CM   repeat:150CM
WEIGHT:</t>
  </si>
  <si>
    <t>ART.EBT250068
COMP:40%WO 60%PL 
WIDTH:145CM
WEIGHT:500G/M</t>
  </si>
  <si>
    <t>ART.EBT250070
COMP:65%PL 33%VI 2%EA
WIDTH:145CM
WEIGHT:400G/M2</t>
  </si>
  <si>
    <t>ART.EBT250072
COMP:97%CO 3%EA
WIDTH:56/57"
WEIGHT:210G/M2</t>
  </si>
  <si>
    <t>ART.EBT250076
COMP:95%AF 5%WO 
WIDTH:57/58"
WEIGHT:570G/M(+/-20G/M)</t>
  </si>
  <si>
    <t>ART.EBT250077
COMP:40%WO 60%PL 
WIDTH:57/58"
WEIGHT:600G/M</t>
  </si>
  <si>
    <t>ART.EBT250078
COMP:3%WO 97%FIBER MIXED
WIDTH:57/58"
WEIGHT:600G/M(+/-20G/M)</t>
  </si>
  <si>
    <t>ART.EBT250079
COMP:40%WO 60%AC
WIDTH:57/58"
WEIGHT:640G/ML</t>
  </si>
  <si>
    <t>ART.EBT250081
COMP:30%PA 40%CO 30%VI 
WIDTH:150CM
WEIGHT:110G/M2</t>
  </si>
  <si>
    <t>ART.EBT250082
COMP:90%PA 10%EA
WIDTH:150CM
WEIGHT:167克/M</t>
  </si>
  <si>
    <t>ART.EBT250083
COMP:100%PA
WIDTH:148CM
WEIGHT:175G/M</t>
  </si>
  <si>
    <t>ART.EBT250084
COMP:60%PA 40%VI 
WIDTH:150CM
WEIGHT:167G/M2</t>
  </si>
  <si>
    <t>ART.EBT250085
COMP:30%PA 70%CO
WIDTH:150CM
WEIGHT:113G/M2</t>
  </si>
  <si>
    <t>ART.EBT250090
COMP:30%PA 40%CO 30%VI
WIDTH:150CM
WEIGHT:125G/M2</t>
  </si>
  <si>
    <t>ART.EBT250091
COMP:30%PA 70%CO
WIDTH:150CM
WEIGHT:110G/M2</t>
  </si>
  <si>
    <t>ART.EBT250093
COMP:30%PA 40%VI 30%mltc
WIDTH:150CM
WEIGHT:148G/M2</t>
  </si>
  <si>
    <t>ART.EBT250095
COMP:35%PA 65%CO
WIDTH:150CM
WEIGHT:110G/M2</t>
  </si>
  <si>
    <t>ART.EBT250096
COMP:50%PA 50%PL 
WIDTH:150CM
WEIGHT:115G/M2</t>
  </si>
  <si>
    <t>ART.EBT250097
COMP:35%PA 54%CO 11%VI 
WIDTH:150CM
WEIGHT:106G/M2</t>
  </si>
  <si>
    <t>ART.EBT250098
COMP:35%PA 65%CO 
WIDTH:150CM
WEIGHT:110G/M2</t>
  </si>
  <si>
    <t>ART.EBT250099
COMP:80%PA 20%VI 
WIDTH:56/58"
WEIGHT:210G/M</t>
  </si>
  <si>
    <t>ART.EBT250100
COMP:35%PA 50%CO 15%MET
WIDTH:150CM
WEIGHT:133G/M2</t>
  </si>
  <si>
    <t>ART.EBT250101
COMP:95%PA 5%EA
WIDTH:150CM
WEIGHT:133G/M2</t>
  </si>
  <si>
    <t>ART.EBT250102
COMP:100%PL
WIDTH:150CM
WEIGHT:89G/M2</t>
  </si>
  <si>
    <t>ART.EBT250107
COMP:88%PL 12%EA
WIDTH:58/59"
WEIGHT:300g/m2</t>
  </si>
  <si>
    <t>ART.EBT250121
COMP:100%PL
WIDTH:150CM
WEIGHT:520G/ML</t>
  </si>
  <si>
    <t>ART.EBT250122
COMP:100%PL
WIDTH:150CM
WEIGHT:650G/ML</t>
  </si>
  <si>
    <t>ART.EBT250123
COMP:100%PL
WIDTH:150CM
WEIGHT:650G/ML</t>
  </si>
  <si>
    <t>ART.EBT250124
COMP:100%PL
WIDTH:145CM
WEIGHT:800G/M</t>
  </si>
  <si>
    <t>ART.EBT250125
COMP:F:80%AC 20%PL
WIDTH:150CM
WEIGHT:950G/M</t>
  </si>
  <si>
    <t>ART.EBT250127
COMP:100%PL
WIDTH:150CM
WEIGHT:550-580G/ML</t>
  </si>
  <si>
    <t>ART.EBT250131
COMP:100%LI
WIDTH:56/57"
WEIGHT:146g/m2</t>
  </si>
  <si>
    <t>ART.EBT250163
COMP:90%%PL 8%VI 2%EA
WIDTH:147CM
WEIGHT:570-580G/M</t>
  </si>
  <si>
    <t>ART.EBT250178
COMP:50%WO 50%AF
WIDTH:145CM
WEIGHT:660G/M</t>
  </si>
  <si>
    <t>ART.EBT250193
COMP:90%PA 10%EA
WIDTH:145CM
WEIGHT:</t>
  </si>
  <si>
    <t>ART.EBT250206
COMP:45%SE 55%CO
WIDTH:140CM
WEIGHT:THICK:19MM</t>
  </si>
  <si>
    <t>ART.EBT250207
COMP:55%SE 45%CO
WIDTH:140CM
WEIGHT:THICK:14MM</t>
  </si>
  <si>
    <t>ART.EBT250209
COMP:65%CO 35%SE
WIDTH:140CM
WEIGHT:16MM</t>
  </si>
  <si>
    <t>ART.EBT250231
COMP:62%AC 23%PA 15%PL
WIDTH:145CM
WEIGHT:110G/M2</t>
  </si>
  <si>
    <t>ART.EBT250232
COMP:42%PA 58%VI
WIDTH:57/58"
WEIGHT:60G/M2</t>
  </si>
  <si>
    <t>ART.EBT250237
COMP:100%CO
WIDTH:132CM
WEIGHT:</t>
  </si>
  <si>
    <t>ART.EBT250238
COMP:100%CO
WIDTH:130CM
WEIGHT:</t>
  </si>
  <si>
    <t>ART.EBT250239
COMP:100%CO
WIDTH:140CM
WEIGHT:</t>
  </si>
  <si>
    <t>ART.EBT250240
COMP:100%CO
WIDTH:130CM
WEIGHT:</t>
  </si>
  <si>
    <t>ART.EBT250241
COMP:100%CO
WIDTH:130CM
WEIGHT:</t>
  </si>
  <si>
    <t>ART.EBT250242
COMP:
WIDTH:
WEIGHT:</t>
  </si>
  <si>
    <t>ART.EBT250243
COMP:100%CO
WIDTH:130CM
WEIGHT:</t>
  </si>
  <si>
    <t>ART.EBT250244
COMP:100%CO
WIDTH:130CM
WEIGHT:</t>
  </si>
  <si>
    <t>ART.EBT250246
COMP:100%CO
WIDTH:130CM
WEIGHT:</t>
  </si>
  <si>
    <t>ART.EBT250250
COMP:30%WO 70%PL
WIDTH:150CM
WEIGHT:750G/M(+/-20G/M)</t>
  </si>
  <si>
    <t>ART.EBT250252
COMP:100%PL
WIDTH:57"
WEIGHT:268G/ML</t>
  </si>
  <si>
    <t>ART.EBT250253
COMP:100%PL
WIDTH:57"
WEIGHT:260G/ML</t>
  </si>
  <si>
    <t>ART.EBT250254
COMP:100%PL
WIDTH:60"
WEIGHT:280G/ML</t>
  </si>
  <si>
    <t>ART.EBT250262
COMP:91%PL 9%EA
WIDTH:57"
WEIGHT:425G/ML</t>
  </si>
  <si>
    <t>ART.EBT250268
COMP:100%PL
WIDTH:57/58"
WEIGHT:243G/M2</t>
  </si>
  <si>
    <t>ART.EBT250269
COMP:91%PL 9%EA 
WIDTH:59"
WEIGHT:355G/ML</t>
  </si>
  <si>
    <t>ART.EBT250270
COMP:40%WO 60%PL
WIDTH:
WEIGHT:700G/ML</t>
  </si>
  <si>
    <t>ART.EBT250271
COMP:91%PL 9%EA
WIDTH:58/60"
WEIGHT:227G/M2</t>
  </si>
  <si>
    <t>ART.EBT250272
COMP:100%PL
WIDTH:58/60"
WEIGHT:233g/m2</t>
  </si>
  <si>
    <t>ART.EBT250273
COMP:100%PL
WIDTH:60/61"
WEIGHT:209G/M2</t>
  </si>
  <si>
    <t>ART.EBT250274
COMP:40%WO 60%PL
WIDTH:
WEIGHT:640G/ML</t>
  </si>
  <si>
    <t>ART.EBT250276
COMP:20%WO 65%PL
WIDTH:58/59"
WEIGHT:650G/ML</t>
  </si>
  <si>
    <t>ART.EBT250286
COMP:90%PL 10%EA
WIDTH:59"
WEIGHT:180G/M2</t>
  </si>
  <si>
    <t>ART.EBT250287
COMP:100%PL
WIDTH:59/61"
WEIGHT:211G/M2</t>
  </si>
  <si>
    <t>ART.EBT250288
COMP:100%PL
WIDTH:57/58"
WEIGHT:259G/M2</t>
  </si>
  <si>
    <t>ART.EBT250289
COMP:100%PL
WIDTH:57/58"
WEIGHT:180G/M2</t>
  </si>
  <si>
    <t>ART.EBT250290
COMP:30%WO 70%PL
WIDTH:57/58"
WEIGHT:750G/M(+/-20G/M)</t>
  </si>
  <si>
    <t>ART.EBT250297
COMP:F:80%PL 15%VI 5%EA G:100%PL
WIDTH:155CM
WEIGHT:370G/M2</t>
  </si>
  <si>
    <t>ART.EBT250302
COMP:63%PL 33%VI 4%EA
WIDTH:57/58“
WEIGHT:493g/m2</t>
  </si>
  <si>
    <t>ART.EBT250305
COMP:64%PL 32%VI 4%EA
WIDTH:57/58"
WEIGHT:435G/M2</t>
  </si>
  <si>
    <t>ART.EBT250306
COMP:F:83%PL 16%CO 1%EA G:100%Pl
WIDTH:145CM
WEIGHT:385G/M2</t>
  </si>
  <si>
    <t>ART.EBT250308
COMP:100%OT
WIDTH:57/58"
WEIGHT:580G/M</t>
  </si>
  <si>
    <t>ART.EBT150034
COMP:60%P40%C
WIDTH:57/58”
WEIGHT:270G/M2</t>
  </si>
  <si>
    <t>ART.EBT150035
COMP:60%P40%C
WIDTH:57/58"
WEIGHT:252G/M2</t>
  </si>
  <si>
    <t>ART.EBT150042
COMP:100%1
WIDTH:57/58"
WEIGHT:278G/M2</t>
  </si>
  <si>
    <t>ART.EBT150044
COMP:60%P40%C
WIDTH:57/58"
WEIGHT:250G/M2</t>
  </si>
  <si>
    <t>ART.EBT150047
COMP:100%PL
WIDTH:148CM
WEIGHT:260G/M</t>
  </si>
  <si>
    <t>ART.EBT150063
COMP:80%PL/20%VI
WIDTH:61/62"
WEIGHT:530G/M</t>
  </si>
  <si>
    <t>ART.EBT150064
COMP:10%W90%OLY
WIDTH:58/59"
WEIGHT:900G/M</t>
  </si>
  <si>
    <t>ART.EBT150065
COMP:100%PL
WIDTH:57/58"
WEIGHT:980G/M</t>
  </si>
  <si>
    <t>ART.EBT150066
COMP:100%PL
WIDTH:56/57"
WEIGHT:850G/M</t>
  </si>
  <si>
    <t>ART.EBT150067
COMP:100%PL
WIDTH:56/57"
WEIGHT:930G/M</t>
  </si>
  <si>
    <t>ART.EBT150068
COMP:100%PL
WIDTH:55/56"
WEIGHT:810G/M</t>
  </si>
  <si>
    <t>ART.EBT150069
COMP:100%PL
WIDTH:56/57"
WEIGHT:750G/M</t>
  </si>
  <si>
    <t>ART.EBT150070
COMP:100%PL
WIDTH:57/58"
WEIGHT:850G/M</t>
  </si>
  <si>
    <t>ART.EBT150090
COMP:100%C
WIDTH:57/58"
WEIGHT:300G/M2</t>
  </si>
  <si>
    <t>ART.EBT150092
COMP:100%C
WIDTH:150CM
WEIGHT:430G/M2</t>
  </si>
  <si>
    <t>ART.EBT150097
COMP:100%C
WIDTH:150CM
WEIGHT:415G/M2</t>
  </si>
  <si>
    <t>ART.EBT150118
COMP:55%LI 45%C
WIDTH:56/57"
WEIGHT:185G/M2</t>
  </si>
  <si>
    <t>ART.EBT150119
COMP:100%C
WIDTH:55/56"
WEIGHT:120G/M2</t>
  </si>
  <si>
    <t>ART.EBT150120
COMP:100%C
WIDTH:55/56"
WEIGHT:120G/M2</t>
  </si>
  <si>
    <t>ART.EBT150122
COMP:
WIDTH:
WEIGHT:</t>
  </si>
  <si>
    <t>ART.EBT150123
COMP:
WIDTH:
WEIGHT:</t>
  </si>
  <si>
    <t>ART.EBT150126
COMP:
WIDTH:
WEIGHT:</t>
  </si>
  <si>
    <t>ART.EBT150130
COMP:
WIDTH:
WEIGHT:</t>
  </si>
  <si>
    <t>ART.EBT150131
COMP:32%N 68%R
WIDTH:53/54"
WEIGHT:75G/M2</t>
  </si>
  <si>
    <t>ART.EBT150132
COMP:F:100%PL G:100%PL
WIDTH:142CM
WEIGHT:560G/M2</t>
  </si>
  <si>
    <t>ART.EBT150132A
COMP:F:100%PL G:100%PL
WIDTH:139CM
WEIGHT:540G/M2</t>
  </si>
  <si>
    <t>ART.EBT150132B
COMP:F:100%PL G:100%PL
WIDTH:139CM
WEIGHT:</t>
  </si>
  <si>
    <t>ART.EBT150135
COMP:25%WO/20%VI/55%PL
WIDTH:56/57"
WEIGHT:580G/M</t>
  </si>
  <si>
    <t>ART.EBT150136
COMP:100%POLYMIXED
WIDTH:56/57"
WEIGHT:540G/M</t>
  </si>
  <si>
    <t>ART.EBT150137
COMP:25%WO/20%VI/55%PL
WIDTH:56/57"
WEIGHT:580G/M</t>
  </si>
  <si>
    <t>ART.EBT150138
COMP:100%PLMIX
WIDTH:57/58"
WEIGHT:490G/M</t>
  </si>
  <si>
    <t>ART.EBT150140
COMP:F:100%PL G:100%PL
WIDTH:142CM
WEIGHT:380G/M2</t>
  </si>
  <si>
    <t>ART.EBT150141
COMP:F:Coatin G:100%PU; G:100%VIGin G:100%PL
WIDTH:135CM
WEIGHT:385G/M2</t>
  </si>
  <si>
    <t>ART.EBT150142
COMP:F:63%PL;31%R;6%EA G:100%PL
WIDTH:142CM
WEIGHT:465G/M2</t>
  </si>
  <si>
    <t>ART.EBT150143
COMP:F:63%PL;33%R;4%EA G:65%PL;35%CO
WIDTH:142CM
WEIGHT:510G/M2</t>
  </si>
  <si>
    <t>ART.EBT150144
COMP:F:63%PL;31%R;6%EA G:65%PL;35%CO
WIDTH:142CM
WEIGHT:400G/M2</t>
  </si>
  <si>
    <t>ART.EBT150145
COMP:F:100%PL G:100%PL
WIDTH:140CM
WEIGHT:360G/M2</t>
  </si>
  <si>
    <t>ART.EBT150146
COMP:F:100%PL G:100%PL
WIDTH:140CM
WEIGHT:388G/M2</t>
  </si>
  <si>
    <t>ART.EBT150148
COMP:50%PU 50%V
WIDTH:
WEIGHT:</t>
  </si>
  <si>
    <t>ART.EBT150149
COMP:
WIDTH:
WEIGHT:</t>
  </si>
  <si>
    <t>ART.EBT150154
COMP:100%R
WIDTH:55/56"
WEIGHT:135G/M2</t>
  </si>
  <si>
    <t>ART.EBT150161
COMP:100%PC
WIDTH:150CM
WEIGHT:1000G/M</t>
  </si>
  <si>
    <t>ART.EBT150163
COMP:100%PC
WIDTH:150CM
WEIGHT:850G/M</t>
  </si>
  <si>
    <t>ART.EBT150166
COMP:
WIDTH:57/58"
WEIGHT:340G/M2</t>
  </si>
  <si>
    <t>ART.EBT150169
COMP:72%PL/28%VI
WIDTH:148CM
WEIGHT:280G/M2</t>
  </si>
  <si>
    <t>ART.EBT150172
COMP:100%PL
WIDTH:57/58"
WEIGHT:180G/M2</t>
  </si>
  <si>
    <t>ART.EBT150172-Print
COMP:100%PL
WIDTH:57/58"
WEIGHT:180G/M2</t>
  </si>
  <si>
    <t>ART.EBT150208
COMP:PU G:100%V
WIDTH:54"
WEIGHT:200+/-20G/M2</t>
  </si>
  <si>
    <t>ART.EBT150210
COMP:100%PL
WIDTH:57/58"
WEIGHT:95G/M2</t>
  </si>
  <si>
    <t>ART.EBT150218
COMP:100%PC
WIDTH:150CM
WEIGHT:1000G/M</t>
  </si>
  <si>
    <t>ART.EBT150219
COMP:100%PC
WIDTH:150CM
WEIGHT:850G/M</t>
  </si>
  <si>
    <t>ART.EBT150220
COMP:100%PC
WIDTH:150CM
WEIGHT:850G/M</t>
  </si>
  <si>
    <t>ART.EBT150221
COMP:100%PC
WIDTH:150CM
WEIGHT:850G/M</t>
  </si>
  <si>
    <t>ART.EBT150222
COMP:100%PC
WIDTH:150CM
WEIGHT:900G/M</t>
  </si>
  <si>
    <t>ART.EBT150232
COMP:100%R
WIDTH:53"
WEIGHT:125G/M2</t>
  </si>
  <si>
    <t>ART.EBT150239-470
COMP:F:100%PL G:95%PL,5%EA
WIDTH:144CM
WEIGHT:470G/M2</t>
  </si>
  <si>
    <t>ART.EBT150239-445
COMP:F:100%PL G:95%PL,5%EA
WIDTH:144CM
WEIGHT:445G/M2</t>
  </si>
  <si>
    <t>ART.EBT150240
COMP:F:63%PL,33%R,4%EA G:65%PL,35%CO
WIDTH:144CM
WEIGHT:394G/M2</t>
  </si>
  <si>
    <t>ART.EBT150241
COMP:F:50%PU;50%VI G:97%PL,3%EA
WIDTH:136CM
WEIGHT:286G/M2</t>
  </si>
  <si>
    <t>ART.EBT150242
COMP:F:100%PL G:97%PL,3%EA
WIDTH:144CM
WEIGHT:279G/M2</t>
  </si>
  <si>
    <t>ART.EBT150245
COMP:F:97%PL,3%EA G:97%PL,3%EA
WIDTH:144CM
WEIGHT:269G/M2</t>
  </si>
  <si>
    <t>ART.EBT150246
COMP:F:97%PL,3%EA G:65%PL,35%EA
WIDTH:143CM
WEIGHT:317G/M2</t>
  </si>
  <si>
    <t>ART.EBT150246-1
COMP:F:95%PL,5%EA 
G:96%R,4%EA
WIDTH:57/58"
WEIGHT:352G/M2</t>
  </si>
  <si>
    <t>ART.EBT150247
COMP:F:97%PL,3%EA G:95%PL,5%EA
WIDTH:143CM
WEIGHT:487G/M2</t>
  </si>
  <si>
    <t>ART.EBT150255
COMP:50%P50%PU
WIDTH:54/55"
WEIGHT:390G/M</t>
  </si>
  <si>
    <t>ART.EBT150256
COMP:50%P50%PU
WIDTH:54/55"
WEIGHT:390G/M</t>
  </si>
  <si>
    <t>ART.EBT150257
COMP:50%P50%PU
WIDTH:54/55"
WEIGHT:390G/M</t>
  </si>
  <si>
    <t>ART.EBT150258
COMP:50%P50%PU
WIDTH:54/55"
WEIGHT:390G/M</t>
  </si>
  <si>
    <t>ART.EBT150259
COMP:50%P50%PU
WIDTH:54/55"
WEIGHT:390G/M</t>
  </si>
  <si>
    <t>ART.EBT150260
COMP:40%wool 60%VIS
WIDTH:120CM
WEIGHT:530G/M</t>
  </si>
  <si>
    <t>ART.EBT150277
COMP:Embroidery:100%PL
Coatin G:100%PU
G:100%PL
WIDTH:134CM
WEIGHT:</t>
  </si>
  <si>
    <t>ART.EBT150278
COMP:EMB:100%PL Coatin G:100%PU G:100%VI
WIDTH:124CM
WEIGHT:</t>
  </si>
  <si>
    <t>ART.EBT150279
COMP:50%WO/50%CHEMICAL FIBER
WIDTH:57/58"
WEIGHT:550G/M</t>
  </si>
  <si>
    <t>ART.EBT150280
COMP:30%WO/70%CHEMICAL FIBER
WIDTH:57/58"
WEIGHT:510G/M</t>
  </si>
  <si>
    <t>ART.EBT150281
COMP:5%WO/95%CHEMICAL FIBER
WIDTH:57/58"
WEIGHT:550G/M</t>
  </si>
  <si>
    <t>ART.EBT150282
COMP:40%WO/60%CHEMICAL FIBER
WIDTH:57/58"
WEIGHT:500G/M</t>
  </si>
  <si>
    <t>ART.EBT150283
COMP:100%CHEMICAL FIBER
WIDTH:57/58"
WEIGHT:720G/M</t>
  </si>
  <si>
    <t>ART.EBT150284
COMP:20%WO/80%CHEMICAL FIBER
WIDTH:57/58"
WEIGHT:580G/M</t>
  </si>
  <si>
    <t>ART.EBT150285
COMP:55%WO/45%%CHEMICAL FIBER
WIDTH:57/58"
WEIGHT:480G/M</t>
  </si>
  <si>
    <t>ART.EBT150286
COMP:100%CHEMICAL FIBER
WIDTH:57/58"
WEIGHT:700G/M</t>
  </si>
  <si>
    <t>ART.EBT150287
COMP:40%WO/60%CHEMICAL FIBER
WIDTH:57/58"
WEIGHT:710G/M</t>
  </si>
  <si>
    <t>ART.EBT150288
COMP:25%WO/75%CHEMICAL FIBER
WIDTH:57/58"
WEIGHT:580G/M</t>
  </si>
  <si>
    <t>ART.EBT150289
COMP:30%WO/70%PL
WIDTH:57/58"
WEIGHT:680G/M</t>
  </si>
  <si>
    <t>ART.EBT150290
COMP:30%WO/70%CHEMICAL FIBER
WIDTH:57/58"
WEIGHT:600G/M</t>
  </si>
  <si>
    <t>ART.EBT150291
COMP:50%WO/50%CHEMICAL FIBER
WIDTH:57/58"
WEIGHT:660G/M</t>
  </si>
  <si>
    <t>ART.EBT150292
COMP:52%WO/48%PL
WIDTH:57/58"
WEIGHT:650G/M</t>
  </si>
  <si>
    <t>ART.EBT150293
COMP:100%CHEMICAL FIBER
WIDTH:57/58"
WEIGHT:480G/M</t>
  </si>
  <si>
    <t>ART.EBT150294
COMP:50%WO/50%CHEMICAL FIBER
WIDTH:57/58"
WEIGHT:580G/M</t>
  </si>
  <si>
    <t>ART.EBT150295
COMP:50%WO/50%CHEMICAL FIBER
WIDTH:57/58"
WEIGHT:600G/M</t>
  </si>
  <si>
    <t>ART.EBT150296
COMP:50%WO/34%PL/16%AR
WIDTH:57/58"
WEIGHT:590G/M</t>
  </si>
  <si>
    <t>ART.EBT150297
COMP:50%WO/38%PL/12%AR
WIDTH:57/58"
WEIGHT:500G/M</t>
  </si>
  <si>
    <t>ART.EBT150298
COMP:40%WO/60%PL
WIDTH:57/58"
WEIGHT:520G/M</t>
  </si>
  <si>
    <t>ART.EBT150299
COMP:20%WO/13%VI/67%PL
WIDTH:57/58"
WEIGHT:560G/M</t>
  </si>
  <si>
    <t>ART.EBT150300
COMP:25%WO/15%VI/60%PL
WIDTH:57/58"
WEIGHT:680G/M</t>
  </si>
  <si>
    <t>ART.EBT150302
COMP:40%WO/60%VI
WIDTH:148CM
WEIGHT:500G/M</t>
  </si>
  <si>
    <t>ART.EBT150303
COMP:20%WO/80%PL
WIDTH:148CM
WEIGHT:450G/M</t>
  </si>
  <si>
    <t>ART.EBT150304
COMP:27%WO/23%VI/50%PL
WIDTH:148CM
WEIGHT:680G/M</t>
  </si>
  <si>
    <t>ART.EBT150305
COMP:32%WO/68%PL
WIDTH:148CM
WEIGHT:720G/M</t>
  </si>
  <si>
    <t>ART.EBT150306
COMP:32%WO/68%PL
WIDTH:148CM
WEIGHT:720G/M</t>
  </si>
  <si>
    <t>ART.EBT150307
COMP:22%WO/78%PL
WIDTH:148CM
WEIGHT:660G/M</t>
  </si>
  <si>
    <t>ART.EBT150308
COMP:18%WO/28%VI/54%PL
WIDTH:148CM
WEIGHT:680G/M</t>
  </si>
  <si>
    <t>ART.EBT150309
COMP:45%WO/55%PL
WIDTH:148CM
WEIGHT:680G/M</t>
  </si>
  <si>
    <t>ART.EBT150310
COMP:40%WO/60%PL
WIDTH:148CM
WEIGHT:650G/M</t>
  </si>
  <si>
    <t>ART.EBT150311
COMP:30%WO/70%PL
WIDTH:148CM
WEIGHT:720G/M</t>
  </si>
  <si>
    <t>ART.EBT150312
COMP:48%WO/52%PL
WIDTH:148CM
WEIGHT:680G/M</t>
  </si>
  <si>
    <t>ART.EBT150313
COMP:50%WO/50%PL
WIDTH:148CM
WEIGHT:730G/M</t>
  </si>
  <si>
    <t>ART.EBT150314
COMP:45%WO/55%PL
WIDTH:148CM
WEIGHT:750G/M</t>
  </si>
  <si>
    <t>ART.EBT150319
COMP:F:50%PL,50%Co, G:50%PL,5%EA
WIDTH:57"
WEIGHT:463G/M2</t>
  </si>
  <si>
    <t>ART.EBT150320
COMP:N/R
WIDTH:110CM
WEIGHT:</t>
  </si>
  <si>
    <t>ART.EBT150321
COMP:N/R
WIDTH:136CM
WEIGHT:</t>
  </si>
  <si>
    <t>ART.EBT150322
COMP:N/R
WIDTH:110CM
WEIGHT:</t>
  </si>
  <si>
    <t>ART.EBT150323
COMP:100%CO
WIDTH:50/52"
WEIGHT:</t>
  </si>
  <si>
    <t>ART.EBT150326
COMP:100%PL+100%PU
WIDTH:130CM
WEIGHT:</t>
  </si>
  <si>
    <t>ART.EBT150340
COMP:100%Acrylic 
WIDTH:120CM(+-3CM)
WEIGHT:</t>
  </si>
  <si>
    <t>ART.EBT150341
COMP:
WIDTH:
WEIGHT:</t>
  </si>
  <si>
    <t>ART.EBT150374
COMP:10%N 90%C
WIDTH:125CM
WEIGHT:310G/M2</t>
  </si>
  <si>
    <t>ART.EBT150404
COMP:55% P 45% c
WIDTH:140CM
WEIGHT:250G/M</t>
  </si>
  <si>
    <t>ART.EBT150410
COMP:70%AC 30%POL
WIDTH:145CM
WEIGHT:950G/M</t>
  </si>
  <si>
    <t>ART.EBT150425
COMP:100%PL
WIDTH:57/58
WEIGHT:85G/SM</t>
  </si>
  <si>
    <t>ART.EBT150426
COMP:100%ACETATE
WIDTH:48/50
WEIGHT:67G/SM</t>
  </si>
  <si>
    <t>ART.EBT150432
COMP:100%N
WIDTH:52/58"
WEIGHT:109G/M2</t>
  </si>
  <si>
    <t>ART.EBT150433
COMP:100%N
WIDTH:52/58"
WEIGHT:158G/M2</t>
  </si>
  <si>
    <t>ART.EBT150434
COMP:100%N
WIDTH:52/58"
WEIGHT:105G/M2</t>
  </si>
  <si>
    <t>ART.EBT150435
COMP:100%N
WIDTH:52/58"
WEIGHT:113G/M2</t>
  </si>
  <si>
    <t>ART.EBT150436
COMP:100%N
WIDTH:52/58"
WEIGHT:130G/M2</t>
  </si>
  <si>
    <t>ART.EBT150438
COMP:100%N
WIDTH:52/56"
WEIGHT:130G/M2</t>
  </si>
  <si>
    <t>ART.EBT150439
COMP:100%N
WIDTH:52/56"
WEIGHT:120G/M2</t>
  </si>
  <si>
    <t>ART.EBT150454
COMP:100%PL
WIDTH:57/58"
WEIGHT:84G/M2</t>
  </si>
  <si>
    <t>ART.EBT150455
COMP:100%PL
WIDTH:56/57"
WEIGHT:83G/M2</t>
  </si>
  <si>
    <t>ART.EBT150467
COMP:68%PL 30%CO 2%EA
WIDTH:140CM
WEIGHT:300G/M2</t>
  </si>
  <si>
    <t>ART.EBT150472
COMP:100%PL
WIDTH:130CM
WEIGHT:</t>
  </si>
  <si>
    <t>ART.EBT150474
COMP:100%C
WIDTH:57"
WEIGHT:270G/M2</t>
  </si>
  <si>
    <t>ART.EBT150488
COMP:70%PL 30%WO
WIDTH:150CM
WEIGHT:480G/M2</t>
  </si>
  <si>
    <t>ART.EBT150506
COMP:NYLON/SP
WIDTH:
WEIGHT:</t>
  </si>
  <si>
    <t>ART.EBT150507
COMP:NYLON/SP
WIDTH:
WEIGHT:</t>
  </si>
  <si>
    <t>ART.EBT150519
COMP:100%PL
WIDTH:120-125CM
WEIGHT:388G/M2</t>
  </si>
  <si>
    <t>ART.EBT150520
COMP:100%PL
WIDTH:125CM
WEIGHT:370G/M2</t>
  </si>
  <si>
    <t>ART.EBT150521
COMP:100%N
WIDTH:130CM
WEIGHT:240G/M2</t>
  </si>
  <si>
    <t>ART.EBT150522
COMP:100%N
WIDTH:130CM
WEIGHT:275G/M2</t>
  </si>
  <si>
    <t>ART.EBT150523
COMP:100%N
WIDTH:130CM
WEIGHT:160G/M2</t>
  </si>
  <si>
    <t>ART.EBT150526
COMP:100%PL
WIDTH:125CM
WEIGHT:</t>
  </si>
  <si>
    <t>ART.EBT150527
COMP:100%PL
WIDTH:125CM
WEIGHT:</t>
  </si>
  <si>
    <t>ART.EBT150528
COMP:100%PL
WIDTH:125CM
WEIGHT:</t>
  </si>
  <si>
    <t>ART.EBT150529
COMP:100%PL
WIDTH:125CM
WEIGHT:</t>
  </si>
  <si>
    <t>ART.EBT150530
COMP:100%PL
WIDTH:125CM
WEIGHT:</t>
  </si>
  <si>
    <t>ART.EBT150531
COMP:101%PL
WIDTH:125CM
WEIGHT:</t>
  </si>
  <si>
    <t>ART.EBT150532
COMP:100%PL
WIDTH:125CM
WEIGHT:</t>
  </si>
  <si>
    <t>ART.EBT150533
COMP:100%PL
WIDTH:125CM
WEIGHT:</t>
  </si>
  <si>
    <t>ART.EBT150534
COMP:100%PL
WIDTH:125CM
WEIGHT:</t>
  </si>
  <si>
    <t>ART.EBT150537
COMP:35%PA 65%CO
WIDTH:150CM
WEIGHT:</t>
  </si>
  <si>
    <t>ART.EBT150538
COMP:35%PA 65%CO
WIDTH:125CM
WEIGHT:</t>
  </si>
  <si>
    <t>ART.EBT150539
COMP:35%PA 65%CO
WIDTH:150CM
WEIGHT:</t>
  </si>
  <si>
    <t>ART.EBT150540
COMP:35%PA 65%CO
WIDTH:150CM
WEIGHT:</t>
  </si>
  <si>
    <t>ART.EBT150558-OPTION 3
COMP:F:12%VI 88%PL
G:100%PL
WIDTH:55/56"
WEIGHT:290G/M2</t>
  </si>
  <si>
    <t>ART.EBT150559
COMP:100%c
WIDTH:127CM
WEIGHT:295G/M2</t>
  </si>
  <si>
    <t>ART.EBT150568
COMP:25%P,75%AC
WIDTH:160CM
WEIGHT:800G/M</t>
  </si>
  <si>
    <t>ART.EBT150569
COMP:15%P,85%AC
WIDTH:155CM
WEIGHT:750G/M</t>
  </si>
  <si>
    <t>ART.EBT150570
COMP:15%P,85%AC
WIDTH:160CM
WEIGHT:850G/M</t>
  </si>
  <si>
    <t>ART.EBT150571
COMP:15%P,85%AC
WIDTH:155CM
WEIGHT:850G/M</t>
  </si>
  <si>
    <t>ART.EBT150572
COMP:15%MODAC 85%AC
WIDTH:150CM
WEIGHT:870G/M2</t>
  </si>
  <si>
    <t>ART.EBT150573
COMP:55%MODAC 45%AC
WIDTH:150CM
WEIGHT:800G/M2</t>
  </si>
  <si>
    <t>ART.EBT150574
COMP:100%AC
WIDTH:150CM
WEIGHT:600G/M2</t>
  </si>
  <si>
    <t>ART.EBT150577
COMP:40%MODAC 60%AC
WIDTH:150CM
WEIGHT:640G/M2</t>
  </si>
  <si>
    <t>ART.EBT150578
COMP:100%AC
WIDTH:150CM
WEIGHT:800G/M2</t>
  </si>
  <si>
    <t>ART.EBT150579
COMP:100%AC
WIDTH:150CM
WEIGHT:770G/M2</t>
  </si>
  <si>
    <t>ART.EBT150580
COMP:5%MODAC 95%AC
WIDTH:150CM
WEIGHT:730G/M2</t>
  </si>
  <si>
    <t>ART.EBT150581
COMP:5%MODAC 95%AC
WIDTH:150CM
WEIGHT:1200G/M2</t>
  </si>
  <si>
    <t>ART.EBT150582
COMP:10%MODAC 90%AC
WIDTH:150CM
WEIGHT:770G/M2</t>
  </si>
  <si>
    <t>ART.EBT150583
COMP:100%AC
WIDTH:150CM
WEIGHT:670G/M2</t>
  </si>
  <si>
    <t>ART.EBT150584
COMP:96%PL 4%EA
WIDTH:135CM
WEIGHT:270G/M</t>
  </si>
  <si>
    <t>ART.EBT150585
COMP:100%PL
WIDTH:130CM
WEIGHT:178G/M</t>
  </si>
  <si>
    <t>ART.EBT150586
COMP:100%PL
WIDTH:50"/52"
WEIGHT:293G/M</t>
  </si>
  <si>
    <t>ART.EBT150587
COMP:100%PL
WIDTH:120CM
WEIGHT:299G/M</t>
  </si>
  <si>
    <t>ART.EBT150588
COMP:100%PL
WIDTH:127CM
WEIGHT:200G/M</t>
  </si>
  <si>
    <t>ART.EBT150589
COMP:100%PL
WIDTH:125-130CM
WEIGHT:150G/M2</t>
  </si>
  <si>
    <t>ART.EBT150590
COMP:100%PL
WIDTH:125-130CM
WEIGHT:100G/M2</t>
  </si>
  <si>
    <t>ART.EBT150592
COMP:100%AC
WIDTH:155CM
WEIGHT:950G/M</t>
  </si>
  <si>
    <t>ART.EBT150593
COMP:100%AC
WIDTH:180CM
WEIGHT:1250G/M</t>
  </si>
  <si>
    <t>ART.EBT150594
COMP:100%AC
WIDTH:155CM
WEIGHT:1200G/M</t>
  </si>
  <si>
    <t>ART.EBT150595
COMP:100%AC
WIDTH:155CM
WEIGHT:900G/M</t>
  </si>
  <si>
    <t>ART.EBT150596
COMP:100%AC
WIDTH:155CM
WEIGHT:1200G/M</t>
  </si>
  <si>
    <t>ART.EBT150597
COMP:100%AC
WIDTH:155CM
WEIGHT:1200G/M</t>
  </si>
  <si>
    <t>ART.EBT150600
COMP:90%PL 10%WO
WIDTH:150CM
WEIGHT:405G/M2</t>
  </si>
  <si>
    <t>ART.EBT150601
COMP:66%PL 30%VI 4%EA
WIDTH:57/58"
WEIGHT:270G/M2</t>
  </si>
  <si>
    <t>ART.EBT150602
COMP:80%PL 15%VI 5%EA
WIDTH:57/58"
WEIGHT:330G/M2</t>
  </si>
  <si>
    <t>ART.EBT150603
COMP:84%PL 11%VI 5%EA
WIDTH:57/58"
WEIGHT:270G/M2</t>
  </si>
  <si>
    <t>ART.EBT150604
COMP:100%PL
WIDTH:57/58"
WEIGHT:570G/M</t>
  </si>
  <si>
    <t>ART.EBT150605-1
COMP:100%PL
WIDTH:57/58"
WEIGHT:225G/M2</t>
  </si>
  <si>
    <t>ART.EBT150605-2
COMP:100%PL
WIDTH:57/58"
WEIGHT:225G/M2</t>
  </si>
  <si>
    <t>ART.EBT150605-3
COMP:100%PL
WIDTH:144CM
WEIGHT:290G/M2</t>
  </si>
  <si>
    <t>ART.EBT150605-single
COMP:100%PL
WIDTH:57/58"
WEIGHT:130G/M2</t>
  </si>
  <si>
    <t>ART.EBT150615
COMP:100%PL
WIDTH:57/58"
WEIGHT:</t>
  </si>
  <si>
    <t>ART.EBT150635
COMP:100%PA
WIDTH:57/58"
WEIGHT:40G/M2</t>
  </si>
  <si>
    <t>ART.EBT150636
COMP:100%PL 
WIDTH:57/58"
WEIGHT:65G/M2</t>
  </si>
  <si>
    <t>ART.EBT150637
COMP:100%L
WIDTH:53/54"
WEIGHT:295G/M2</t>
  </si>
  <si>
    <t>ART.EBT150648
COMP:F:100%POLY 
G:100%POLY
WIDTH:142CM
WEIGHT:500G/M2</t>
  </si>
  <si>
    <t>ART.EBT150649
COMP:F:100%POLY 
G:100%POLY
WIDTH:142CM
WEIGHT:435G/M2</t>
  </si>
  <si>
    <t>ART.EBT150650
COMP:F:100%POLY 
G:100%POLY
WIDTH:144CM
WEIGHT:470G/M2</t>
  </si>
  <si>
    <t>ART.EBT150651
COMP:F:100%POLY 
G:100%POLY
WIDTH:144CM
WEIGHT:460G/M2</t>
  </si>
  <si>
    <t>ART.EBT150652
COMP:F:100%POLY 
G:95%POLY 5%EA
WIDTH:143CM
WEIGHT:268G/M2</t>
  </si>
  <si>
    <t>ART.EBT150653
COMP:F:100%POLY 
G:100%POLY
WIDTH:141CM
WEIGHT:428G/M2</t>
  </si>
  <si>
    <t>ART.EBT150656
COMP:100%PA
WIDTH:52/58"
WEIGHT:205G/M2</t>
  </si>
  <si>
    <t>ART.EBT150657
COMP:100%CO
WIDTH:52/58"
WEIGHT:123G/M2</t>
  </si>
  <si>
    <t>ART.EBT150665
COMP:100%PL
WIDTH:57/58"
WEIGHT:140G/M2</t>
  </si>
  <si>
    <t>ART.EBT150666
COMP:F:100%PU G:100%PL
WIDTH:137CM
WEIGHT:200G/M2</t>
  </si>
  <si>
    <t>ART.EBT150670
COMP:40%W 60%OTHERS
WIDTH:57/58"
WEIGHT:570G/M</t>
  </si>
  <si>
    <t>ART.EBT150677
COMP:40%N 60%R
WIDTH:150CM
WEIGHT:110G/M2</t>
  </si>
  <si>
    <t>ART.EBT150704
COMP:100% P
WIDTH:49/50"
WEIGHT:</t>
  </si>
  <si>
    <t>ART.EBT150705
COMP:60% P 40% PU
WIDTH:51/52"
WEIGHT:</t>
  </si>
  <si>
    <t>ART.EBT150708
COMP:66.5%N 33.5%R
WIDTH:54"
WEIGHT:200G/M</t>
  </si>
  <si>
    <t>ART.EBT150712
COMP:5%WL 95%SYNTHETIC
WIDTH:57"58"
WEIGHT:460G/M</t>
  </si>
  <si>
    <t>ART.EBT150715
COMP:100%PA
WIDTH:150CM
WEIGHT:</t>
  </si>
  <si>
    <t>ART.EBT150717
COMP:98%PL 2%EA
WIDTH:155CM
WEIGHT:220G/M2</t>
  </si>
  <si>
    <t>ART.EBT150721
COMP:5%M 30%PA 65%CO
WIDTH:145CM
WEIGHT:190G/M</t>
  </si>
  <si>
    <t>ART.EBT150722
COMP:50%M 50%PA
WIDTH:145CM
WEIGHT:90G/M</t>
  </si>
  <si>
    <t>ART.EBT150727
COMP:34.1%PA 35.3%CO 30.6%VI
WIDTH:54" 56"
WEIGHT:215G/M</t>
  </si>
  <si>
    <t>ART.EBT150728
COMP:68%PA 32%CO
WIDTH:56"/58"
WEIGHT:215G/M</t>
  </si>
  <si>
    <t>ART.EBT150729
COMP:12%VI 47%PA 41%CO
WIDTH:54" 56"
WEIGHT:270G/M</t>
  </si>
  <si>
    <t>ART.EBT150733
COMP:100%PC
WIDTH:150CM
WEIGHT:700G/M</t>
  </si>
  <si>
    <t>ART.EBT150734
COMP:100%PC
WIDTH:150CM
WEIGHT:750G/M</t>
  </si>
  <si>
    <t>ART.EBT150735
COMP:100%PC
WIDTH:160CM
WEIGHT:1200G/M</t>
  </si>
  <si>
    <t>ART.EBT150736
COMP:F:100%PL G:100%PL
WIDTH:144CM
WEIGHT:170G/M2</t>
  </si>
  <si>
    <t>ART.EBT150737
COMP:F:100%PL G:100%PL
WIDTH:144CM
WEIGHT:182G/M2</t>
  </si>
  <si>
    <t>ART.EBT150738
COMP:F:100%PL G:100%PA
WIDTH:144CM
WEIGHT:160G/M2</t>
  </si>
  <si>
    <t>ART.EBT150739
COMP:F:100%PL G:100%PA
WIDTH:144CM
WEIGHT:153G/M2</t>
  </si>
  <si>
    <t>ART.EBT150740
COMP:F:100%PL G:100%PA
WIDTH:144CM
WEIGHT:203G/M2</t>
  </si>
  <si>
    <t>ART.EBT150741
COMP:F:100%PL G:95%PL 5%EA
WIDTH:142CM
WEIGHT:370G/M2</t>
  </si>
  <si>
    <t>ART.EBT150742
COMP:F:100%PL G:95%PL 5%EA
WIDTH:142CM
WEIGHT:360G/M2</t>
  </si>
  <si>
    <t>ART.EBT150743
COMP:F:100%PL G:95%PL 5%EA
WIDTH:142CM
WEIGHT:355G/M2</t>
  </si>
  <si>
    <t>ART.EBT150744
COMP:F:100%PL G:95%PL 5%EA
WIDTH:142CM
WEIGHT:350G/M2</t>
  </si>
  <si>
    <t>ART.EBT150745
COMP:100%PL
WIDTH:120CM
WEIGHT:</t>
  </si>
  <si>
    <t>ART.EBT150746
COMP:100%POLY
WIDTH:150CM
WEIGHT:390G/M2</t>
  </si>
  <si>
    <t>ART.EBT150747
COMP:100%POLY
WIDTH:146CM
WEIGHT:</t>
  </si>
  <si>
    <t>ART.EBT150749
COMP:100%PL
WIDTH:145CM
WEIGHT:400G/M2</t>
  </si>
  <si>
    <t>ART.EBT150752
COMP:100%PL
WIDTH:143CM
WEIGHT:222G/M2</t>
  </si>
  <si>
    <t>ART.EBT150753
COMP:100%PL
WIDTH:143CM
WEIGHT:224G/M2</t>
  </si>
  <si>
    <t>ART.EBT150754
COMP:100%PL
WIDTH:125CM
WEIGHT:240G/M2</t>
  </si>
  <si>
    <t>ART.EBT150755
COMP:EMB:100%PL G:100%CO
WIDTH:130CM
WEIGHT:350G/M2</t>
  </si>
  <si>
    <t>ART.EBT150759
COMP:F:100%PU G:100%PL
WIDTH:137CM
WEIGHT:360G/M2 Thick:0.85MM</t>
  </si>
  <si>
    <t>ART.EBT150766
COMP:100%PL
WIDTH:50"
WEIGHT:</t>
  </si>
  <si>
    <t>ART.EBT150772
COMP:100%PL
WIDTH:50"
WEIGHT:</t>
  </si>
  <si>
    <t>ART.EBT150774
COMP:100%POLY
WIDTH:57"
WEIGHT:79G/M2</t>
  </si>
  <si>
    <t>ART.EBT150774-1
COMP:100%POLY
WIDTH:57"
WEIGHT:90G/M2</t>
  </si>
  <si>
    <t>ART.EBT150774-2
COMP:100%POLY
WIDTH:57"
WEIGHT:90G/M2</t>
  </si>
  <si>
    <t>ART.EBT150775
COMP:85%VI 15%PL
WIDTH:147CM
WEIGHT:200G/M2</t>
  </si>
  <si>
    <t>ART.EBT150777
COMP:97%POLY 3%EA 
WIDTH:147CM
WEIGHT:270G/M2</t>
  </si>
  <si>
    <t>ART.EBT150777-310
COMP:97%POLY 3%EA 
WIDTH:147CM
WEIGHT:310G/M2</t>
  </si>
  <si>
    <t>ART.EBT150777-340
COMP:97%POLY 3%EA 
WIDTH:147CM
WEIGHT:340G/M2</t>
  </si>
  <si>
    <t>ART.EBT150779-A
COMP:97%PL 3%EA
WIDTH:144CM
WEIGHT:227G/M2</t>
  </si>
  <si>
    <t>ART.EBT150779-C
COMP:97%PL 3%EA
WIDTH:144CM
WEIGHT:340G/M2</t>
  </si>
  <si>
    <t>ART.EBT150786
COMP:100%POLY
WIDTH:120CM
WEIGHT:</t>
  </si>
  <si>
    <t>ART.EBT150787
COMP:100%CTN
WIDTH:120CM
WEIGHT:</t>
  </si>
  <si>
    <t>ART.EBT150791
COMP:100%C
WIDTH:110CM
WEIGHT:</t>
  </si>
  <si>
    <t>ART.EBT150793
COMP:100%C
WIDTH:130CM
WEIGHT:</t>
  </si>
  <si>
    <t>ART.EBT150808
COMP:100%POLY
WIDTH:130CM
WEIGHT:</t>
  </si>
  <si>
    <t>ART.EBT150809
COMP:100%C
WIDTH:135CM
WEIGHT:</t>
  </si>
  <si>
    <t>ART.EBT150810
COMP:100%C
WIDTH:135CM
WEIGHT:</t>
  </si>
  <si>
    <t>ART.EBT150811
COMP:100%C
WIDTH:125CM
WEIGHT:</t>
  </si>
  <si>
    <t>ART.EBT150832
COMP:F:100% PC G:100% PL
WIDTH:150CM
WEIGHT:560G/M</t>
  </si>
  <si>
    <t>ART.EBT150833
COMP:F:80%PC 20%PL G:100%PL
WIDTH:150CM
WEIGHT:560G/M</t>
  </si>
  <si>
    <t>ART.EBT150834
COMP:100% PL
WIDTH:150CM
WEIGHT:400G/M</t>
  </si>
  <si>
    <t>ART.EBT150835
COMP:100% PL
WIDTH:150CM
WEIGHT:550G/M</t>
  </si>
  <si>
    <t>ART.EBT150837
COMP:87.7%PL 12.3%EA
WIDTH:58"
WEIGHT:400G/M2</t>
  </si>
  <si>
    <t>ART.EBT150838
COMP:100%PL
WIDTH:57"58"
WEIGHT:190G/M2</t>
  </si>
  <si>
    <t>ART.EBT150839
COMP:64%CO，33%PA，3%EA
WIDTH:57"58"
WEIGHT:165G/M2</t>
  </si>
  <si>
    <t>ART.EBT150840
COMP:100%PL
WIDTH:157CM
WEIGHT:199G/M2</t>
  </si>
  <si>
    <t>ART.EBT150841
COMP:100%PL
WIDTH:145CM
WEIGHT:176G/M2</t>
  </si>
  <si>
    <t>ART.EBT150842
COMP:45%WO 55%PL
WIDTH:56/57"
WEIGHT:420G/M2</t>
  </si>
  <si>
    <t>ART.EBT150843
COMP:30%WO 70SYTHETIC
WIDTH:146CM
WEIGHT:420G/M2</t>
  </si>
  <si>
    <t>ART.EBT150844
COMP:50%WO 50%PL
WIDTH:146CM
WEIGHT:480G/M2</t>
  </si>
  <si>
    <t>ART.EBT150845
COMP:50%WO 50%PL
WIDTH:146CM
WEIGHT:480G/M2</t>
  </si>
  <si>
    <t>ART.EBT150846
COMP:50%WO 50%PL
WIDTH:146CM
WEIGHT:430G/M2</t>
  </si>
  <si>
    <t>ART.EBT150847
COMP:70%WO 30%PL
WIDTH:146CM
WEIGHT:400G/M2</t>
  </si>
  <si>
    <t>ART.EBT150848
COMP:50%WO 50%PL
WIDTH:146CM
WEIGHT:420G/M2</t>
  </si>
  <si>
    <t>ART.EBT150849
COMP:50%WO 50%PL
WIDTH:146CM
WEIGHT:500G/M2</t>
  </si>
  <si>
    <t>ART.EBT150850
COMP:40%WO 60SYTHETIC
WIDTH:146CM
WEIGHT:355G/M2</t>
  </si>
  <si>
    <t>ART.EBT150851
COMP:95%WO 5%PA
WIDTH:146CM
WEIGHT:280G/M2</t>
  </si>
  <si>
    <t>ART.EBT150852
COMP:80%WO 20VI
WIDTH:146CM
WEIGHT:418G/M2</t>
  </si>
  <si>
    <t>ART.EBT150853
COMP:50%WO 50%PL
WIDTH:141CM
WEIGHT:352G/M2</t>
  </si>
  <si>
    <t>ART.EBT150854
COMP:55%WO 30%PL 15%AC
WIDTH:141CM
WEIGHT:310G/M2</t>
  </si>
  <si>
    <t>ART.EBT150855
COMP:45%WO 40%PL 15%PA
WIDTH:146CM
WEIGHT:430G/M2</t>
  </si>
  <si>
    <t>ART.EBT150856
COMP:50%WO 50%PL
WIDTH:146CM
WEIGHT:560G/M2</t>
  </si>
  <si>
    <t>ART.EBT250331
COMP:
WIDTH:145CM
WEIGHT:370G/ML</t>
  </si>
  <si>
    <t>ART.EBT250348
COMP:40%WOOL 60%POLY MIX
WIDTH:57/58"
WEIGHT:600G/M(+/-20G/M)</t>
  </si>
  <si>
    <t>ART.EBT250349
COMP:30%WO 70%PL
WIDTH:57/58"
WEIGHT:540G/ML</t>
  </si>
  <si>
    <t>ART.EBT250351
COMP:40%WOOL 60%OTHER
WIDTH:57/58"
WEIGHT:620G/M(+/-20G/M)</t>
  </si>
  <si>
    <t>ART.EBT250365
COMP:50%NY 30%AC 20%POLY
WIDTH:148CM
WEIGHT:230G/M2</t>
  </si>
  <si>
    <t>ART.EBT250366
COMP:77%POLY 23%CO
WIDTH:145CM
WEIGHT:405G/M2</t>
  </si>
  <si>
    <t>ART.EBT250368
COMP:46%POLY 54%VI
WIDTH:56/57"
WEIGHT:300G/M2</t>
  </si>
  <si>
    <t>ART.EBT250375
COMP:100%PL PU COATED
WIDTH:138CM
WEIGHT:</t>
  </si>
  <si>
    <t>ART.EBT250385
COMP:
WIDTH:140CM
WEIGHT:</t>
  </si>
  <si>
    <t>ART.EBT250402
COMP:100%POLY
WIDTH:150CM
WEIGHT:165G/SM</t>
  </si>
  <si>
    <t>ART.EBT250415
COMP:100%PL
WIDTH:150CM
WEIGHT:85GSN</t>
  </si>
  <si>
    <t>ART.EBT150862
COMP:Coating:100%PU
G:100%PL
WIDTH:134CM
WEIGHT:</t>
  </si>
  <si>
    <t>ART.EBT150863
COMP:Coating:100%PU
G:100%PL
WIDTH:134CM
WEIGHT:</t>
  </si>
  <si>
    <t>ART.EBT150864
COMP:Coating:100%PU
G:100%PL
WIDTH:134CM
WEIGHT:</t>
  </si>
  <si>
    <t>ART.EBT150865
COMP:Coating:100%PU
G:100%PL
WIDTH:134CM
WEIGHT:</t>
  </si>
  <si>
    <t>ART.EBT150866
COMP:100% PL 
WIDTH:143CM
WEIGHT:241G/M2</t>
  </si>
  <si>
    <t xml:space="preserve">ART.EBT150867
COMP:100% PL 
WIDTH:146CM
WEIGHT:238G/M2 </t>
  </si>
  <si>
    <t>ART.EBT150868
COMP:63%CO 31%PA 6%EA
WIDTH:135CM
WEIGHT:195G/M2</t>
  </si>
  <si>
    <t>ART.EBT150894
COMP:G:100%poly 
F:46%modacrylic 54%acrylic
WIDTH:150CM
WEIGHT:833g/m2</t>
  </si>
  <si>
    <t>ART.EBT150897
COMP:100%PL
WIDTH:57/58"
WEIGHT:203G/M2</t>
  </si>
  <si>
    <t>ART.EBT150898
COMP:100%PL
WIDTH:57/58"
WEIGHT:207G/M2</t>
  </si>
  <si>
    <t>ART.EBT150899
COMP:100%PL
WIDTH:57/58"
WEIGHT:132G/M2</t>
  </si>
  <si>
    <t>ART.EBT150900
COMP:100%PL
WIDTH:57/58"
WEIGHT:112G/M2</t>
  </si>
  <si>
    <t>ART.EBT150901
COMP:100%PL
WIDTH:57/58"
WEIGHT:125G/M2</t>
  </si>
  <si>
    <t>ART.EBT150902
COMP:100%PL
WIDTH:57/58"
WEIGHT:158G/M2</t>
  </si>
  <si>
    <t>ART.EBT150903
COMP:100%PL
WIDTH:57/58"
WEIGHT:107G/M2</t>
  </si>
  <si>
    <t>ART.EBT150904
COMP:100%PL
WIDTH:57/58"
WEIGHT:124G/M2</t>
  </si>
  <si>
    <t>ART.EBT150905
COMP:100%PL
WIDTH:57/58"
WEIGHT:117G/M2</t>
  </si>
  <si>
    <t>ART.EBT150906
COMP:100%PL
WIDTH:57/58"
WEIGHT:140G/M2</t>
  </si>
  <si>
    <t>ART.EBT150907
COMP:100%N
WIDTH:57/58"
WEIGHT:32G/M2</t>
  </si>
  <si>
    <t>ART.EBT150908
COMP:100%N
WIDTH:57/58"
WEIGHT:30G/M2</t>
  </si>
  <si>
    <t>ART.EBT150916
COMP:100%CO
WIDTH:57/58"
WEIGHT:116G/M2</t>
  </si>
  <si>
    <t>ART.EBT150917
COMP:100%CO
WIDTH:57/58"
WEIGHT:109G/M2</t>
  </si>
  <si>
    <t>ART.EBT150918
COMP:100%CO
WIDTH:53/54"
WEIGHT:55G/M2</t>
  </si>
  <si>
    <t>ART.EBT150919
COMP:100%CO
WIDTH:57/58"
WEIGHT:99G/M2</t>
  </si>
  <si>
    <t>ART.EBT150920
COMP:100%CO
WIDTH:53/54"
WEIGHT:75G/M2</t>
  </si>
  <si>
    <t>ART.EBT150921
COMP:100%CO
WIDTH:57/58"
WEIGHT:137G/M2</t>
  </si>
  <si>
    <t>ART.EBT150922
COMP:100%CO
WIDTH:57/58"
WEIGHT:93G/M2</t>
  </si>
  <si>
    <t>ART.EBT150923
COMP:100%CO
WIDTH:57/58"
WEIGHT:66G/M2</t>
  </si>
  <si>
    <t>ART.EBT150926
COMP:100%SHAPE MEMORY
WIDTH:137CM
WEIGHT:213G/M2</t>
  </si>
  <si>
    <t>ART.EBT150927
COMP:100%PL
WIDTH:164CM
WEIGHT:104G/M2</t>
  </si>
  <si>
    <t>ART.EBT150928
COMP:100%PL
WIDTH:164CM
WEIGHT:107G/M2</t>
  </si>
  <si>
    <t>ART.EBT150929
COMP:100%PL
WIDTH:157CM
WEIGHT:120G/M2</t>
  </si>
  <si>
    <t>ART.EBT150937
COMP:100%CTN
WIDTH:110CM
WEIGHT:</t>
  </si>
  <si>
    <t>ART.EBT250449
COMP:25%NY 75% VI
WIDTH:120-125CM
WEIGHT:</t>
  </si>
  <si>
    <t>ART.EBT250452
COMP:F:25%NY 75% VI G:100% PL 
WIDTH:130CM
WEIGHT:</t>
  </si>
  <si>
    <t>ART.EBT250453
COMP:F:25%NY 75% VI G:100% PL 
WIDTH:130CM
WEIGHT:</t>
  </si>
  <si>
    <t>ART.EBT250454
COMP:F:25%NY 75% VI G:100% PL
WIDTH:130CM
WEIGHT:</t>
  </si>
  <si>
    <t>ART.EBT250455
COMP:25%NY 75% VI EMB  
WIDTH:125CM
WEIGHT:</t>
  </si>
  <si>
    <t>ART.EBT250456
COMP:25%NY 75% VI EMB  
WIDTH:125CM
WEIGHT:</t>
  </si>
  <si>
    <t>ART.EBT250457
COMP:25%NY 75% VI EMB  
WIDTH:125CM
WEIGHT:</t>
  </si>
  <si>
    <t>ART.EBT140008
COMP:100%POLY
WIDTH:57/58"
WEIGHT:550G/M</t>
  </si>
  <si>
    <t>ART.EBT140010
COMP:100%PL
WIDTH:57/58"
WEIGHT:254G/M2</t>
  </si>
  <si>
    <t>ART.EBT140011
COMP:
WIDTH:57/58"
WEIGHT:363G/M2</t>
  </si>
  <si>
    <t>ART.EBT140012
COMP:
WIDTH:57/58"
WEIGHT:281G/M2</t>
  </si>
  <si>
    <t>ART.EBT140013
COMP:100%PL
WIDTH:57/58"
WEIGHT:</t>
  </si>
  <si>
    <t>ART.EBT140015
COMP:
WIDTH:57/58"
WEIGHT:171G/M2</t>
  </si>
  <si>
    <t>ART.EBT140016
COMP:65%W 21%A 9%PL 5%LUREX
WIDTH:57/58"
WEIGHT:</t>
  </si>
  <si>
    <t>ART.EBT140018
COMP:100%PL
WIDTH:57/58"
WEIGHT:253G/M2</t>
  </si>
  <si>
    <t>ART.EBT140019
COMP:61%PL 39%C
WIDTH:57/58"
WEIGHT:247G/M2</t>
  </si>
  <si>
    <t>ART.EBT140021
COMP:
WIDTH:155CM
WEIGHT:273G/M2</t>
  </si>
  <si>
    <t>ART.EBT140022
COMP:30%N 70%V
WIDTH:145CM
WEIGHT:147G/M2</t>
  </si>
  <si>
    <t>ART.EBT140025
COMP:100%POLY+SQUINS
WIDTH:52/26"
WEIGHT:345G/M2</t>
  </si>
  <si>
    <t>ART.EBT140026
COMP:100%POLY+SQUINS
WIDTH:51/52"
WEIGHT:</t>
  </si>
  <si>
    <t>ART.EBT140027
COMP:100%POLY+SQUINS
WIDTH:51/52"
WEIGHT:</t>
  </si>
  <si>
    <t>ART.EBT140028
COMP:100%POLY+SQUINS
WIDTH:51/52"
WEIGHT:</t>
  </si>
  <si>
    <t>ART.EBT140029
COMP:100%POLY+SQUINS
WIDTH:51/52"
WEIGHT:</t>
  </si>
  <si>
    <t>ART.EBT140030
COMP:100%POLY+SQUINS
WIDTH:51/52"
WEIGHT:</t>
  </si>
  <si>
    <t>ART.EBT140031
COMP:G:95%VI 5%EA F:5MM SEQUWS EMB
WIDTH:149CM
WEIGHT:511G/M2</t>
  </si>
  <si>
    <t>ART.EBT140032
COMP:46%NL 54%PO
WIDTH:58"
WEIGHT:160G/M2</t>
  </si>
  <si>
    <t>ART.EBT140034
COMP:100%POLY
WIDTH:57/58"
WEIGHT:88G/M2</t>
  </si>
  <si>
    <t>ART.EBT140039
COMP:39%PO 61%CO
WIDTH:54"
WEIGHT:235G/M2</t>
  </si>
  <si>
    <t>ART.EBT140040
COMP:53%CO 47%PO
WIDTH:53"
WEIGHT:180G/M2</t>
  </si>
  <si>
    <t>ART.EBT140042
COMP:51%CO 28%PO 21%ML
WIDTH:54"
WEIGHT:160G/M2</t>
  </si>
  <si>
    <t>ART.EBT140043
COMP:64%CO 32%PO 4%MET
WIDTH:59"
WEIGHT:175G/M2</t>
  </si>
  <si>
    <t>ART.EBT140045-B
COMP:58%CO40%PL2%EA
WIDTH:53"
WEIGHT:320G/M2</t>
  </si>
  <si>
    <t>ART.EBT140045-C
COMP:58%VI40%PL2%EA
WIDTH:53"
WEIGHT:350G/M2</t>
  </si>
  <si>
    <t>ART.EBT140045-D
COMP:58%VI40%PL2%EA
WIDTH:53"
WEIGHT:345G/M2</t>
  </si>
  <si>
    <t>ART.EBT140047
COMP:64%CO 32%PO 4%MET
WIDTH:57"
WEIGHT:205G/M2</t>
  </si>
  <si>
    <t>ART.EBT140048
COMP:95%PL 5%EA
WIDTH:57"
WEIGHT:320G/M2</t>
  </si>
  <si>
    <t>ART.EBT140051
COMP:100%CO
WIDTH:59"
WEIGHT:136G/M2</t>
  </si>
  <si>
    <t>ART.EBT140054
COMP:28%PL 72%MODAL
WIDTH:148CM
WEIGHT:123G/M2</t>
  </si>
  <si>
    <t>ART.EBT140059
COMP:100%PL 
WIDTH:150CM
WEIGHT:154G/M2</t>
  </si>
  <si>
    <t>ART.EBT140062
COMP:95%PL 5%EA
WIDTH:144CM
WEIGHT:271G/M2</t>
  </si>
  <si>
    <t>ART.EBT140065
COMP:95%PL 5%EA
WIDTH:57"
WEIGHT:320G/M2</t>
  </si>
  <si>
    <t>ART.EBT140066
COMP:67%MODAL 7%TE 26%PL
WIDTH:148CM
WEIGHT:187G/M2</t>
  </si>
  <si>
    <t>ART.EBT140067
COMP:100%CO
WIDTH:127/128CM
WEIGHT:210G/M2</t>
  </si>
  <si>
    <t>ART.EBT140068
COMP:48%PO 52%VI
WIDTH:149CM
WEIGHT:215G/M2</t>
  </si>
  <si>
    <t>ART.EBT140069
COMP:100%PO
WIDTH:56/57"
WEIGHT:185G/M2</t>
  </si>
  <si>
    <t>ART.EBT140070
COMP:37%PO 52%AC 11%MET
WIDTH:56/57"
WEIGHT:215G/M2</t>
  </si>
  <si>
    <t>ART.EBT140071
COMP:66%PO 34%VI
WIDTH:147CM
WEIGHT:205G/M2</t>
  </si>
  <si>
    <t>ART.EBT140099
COMP:100%SYNYHETIC
WIDTH:57/58"
WEIGHT:346G/M2</t>
  </si>
  <si>
    <t>ART.EBT140100
COMP:
WIDTH:
WEIGHT:</t>
  </si>
  <si>
    <t>ART.EBT140101
COMP:
WIDTH:
WEIGHT:</t>
  </si>
  <si>
    <t>ART.EBT140103
COMP:80%MAD ACRYLIC 20%AC
WIDTH:150CM
WEIGHT:950G/M</t>
  </si>
  <si>
    <t>ART.EBT140105
COMP:100%MAC
WIDTH:150CM
WEIGHT:1350G/M</t>
  </si>
  <si>
    <t>ART.EBT140106
COMP:
WIDTH:
WEIGHT:</t>
  </si>
  <si>
    <t>ART.EBT140107
COMP:5%W 95%CF
WIDTH:57/58"
WEIGHT:570G/M</t>
  </si>
  <si>
    <t>ART.EBT140121
COMP:100%T
WIDTH:57/58"
WEIGHT:195G/M2</t>
  </si>
  <si>
    <t>ART.EBT140122
COMP:
WIDTH:
WEIGHT:</t>
  </si>
  <si>
    <t>ART.EBT140123
COMP:
WIDTH:
WEIGHT:</t>
  </si>
  <si>
    <t>ART.EBT140125
COMP:100%POLY
WIDTH:160CM
WEIGHT:335G/M2</t>
  </si>
  <si>
    <t>ART.EBT140126
COMP:
WIDTH:
WEIGHT:</t>
  </si>
  <si>
    <t>ART.EBT140127
COMP:
WIDTH:
WEIGHT:</t>
  </si>
  <si>
    <t>ART.EBT140130
COMP:40%CTN 60%PA
WIDTH:145CM
WEIGHT:127G/M2</t>
  </si>
  <si>
    <t>ART.EBT140133
COMP:100%POLY
WIDTH:57/58"
WEIGHT:110G/M2</t>
  </si>
  <si>
    <t>ART.EBT140134
COMP:100%POLY
WIDTH:57/58"
WEIGHT:100G/M2</t>
  </si>
  <si>
    <t>ART.EBT140135
COMP:100%POLY
WIDTH:57/58"
WEIGHT:105G/M2</t>
  </si>
  <si>
    <t>ART.EBT140136
COMP:100%POLY
WIDTH:57/58"
WEIGHT:120G/M2</t>
  </si>
  <si>
    <t>ART.EBT140137
COMP:76%PO 24%CO
WIDTH:53"
WEIGHT:265G/M2</t>
  </si>
  <si>
    <t>ART.EBT140140
COMP:100%POLY
WIDTH:135CM
WEIGHT:</t>
  </si>
  <si>
    <t>ART.EBT140144
COMP:100%POLY
WIDTH:57/58"
WEIGHT:255G/M</t>
  </si>
  <si>
    <t>ART.EBT140146
COMP:100%T
WIDTH:57/58"
WEIGHT:330G/M</t>
  </si>
  <si>
    <t>ART.EBT140149
COMP:15%NL 85%VI
WIDTH:55/56"
WEIGHT:172G/M2</t>
  </si>
  <si>
    <t>ART.EBT140150
COMP:100%POLY
WIDTH:145CM
WEIGHT:60G/M2</t>
  </si>
  <si>
    <t>ART.EBT140154
COMP:31%W 69%T
WIDTH:150CM
WEIGHT:450G/M2</t>
  </si>
  <si>
    <t>ART.EBT140157
COMP:50%W 50%R
WIDTH:150CM
WEIGHT:350G/M2</t>
  </si>
  <si>
    <t>ART.EBT140160
COMP:100%WOOL
WIDTH:150CM
WEIGHT:580G/M</t>
  </si>
  <si>
    <t>ART.EBT140163
COMP:80%W 20%N
WIDTH:57/58"
WEIGHT:600G/M</t>
  </si>
  <si>
    <t>ART.EBT140164
COMP:50%W 50%T
WIDTH:57/58"
WEIGHT:650G/M</t>
  </si>
  <si>
    <t>ART.EBT140165
COMP:50%W 50%T
WIDTH:57/58"
WEIGHT:510G/M</t>
  </si>
  <si>
    <t>ART.EBT140170B
COMP:100%POLY
WIDTH:150CM
WEIGHT:472G/M2</t>
  </si>
  <si>
    <t>ART.EBT140170B-GT
COMP:100%POLY
WIDTH:150CM
WEIGHT:472G/M2</t>
  </si>
  <si>
    <t>ART.EBT140172
COMP:94%PE 6%EA
WIDTH:150CM
WEIGHT:280G/M2</t>
  </si>
  <si>
    <t>ART.EBT140173
COMP:96%PL 4%EA
WIDTH:158CM
WEIGHT:280G/M2</t>
  </si>
  <si>
    <t>ART.EBT140174
COMP:N/R/SP 33/62/5
WIDTH:150CM
WEIGHT:440G/M2</t>
  </si>
  <si>
    <t>ART.EBT140175
COMP:N/R/SP 29/66/5
WIDTH:150CM
WEIGHT:370G/M2</t>
  </si>
  <si>
    <t>ART.EBT140176
COMP:48%PL 48%PA 4%EA
WIDTH:150CM
WEIGHT:370G/M2</t>
  </si>
  <si>
    <t>ART.EBT140177
COMP:96%PA 4%EA
WIDTH:150CM
WEIGHT:340G/M2</t>
  </si>
  <si>
    <t>ART.EBT140178-POLY-QX
COMP:F:100%POLY
G:100%POLY
WIDTH:57/58"
WEIGHT:360G/M2</t>
  </si>
  <si>
    <t>ART.EBT140182
COMP:100%T
WIDTH:58/60"
WEIGHT:360G/M</t>
  </si>
  <si>
    <t>ART.EBT140183
COMP:100%PL
WIDTH:58/60"
WEIGHT:230G/M</t>
  </si>
  <si>
    <t>ART.EBT140189
COMP:50%PU 50%R
WIDTH:
WEIGHT:</t>
  </si>
  <si>
    <t>ART.EBT140190
COMP:50%PU 50%R
WIDTH:
WEIGHT:</t>
  </si>
  <si>
    <t>ART.EBT140191
COMP:50%PU 50%R
WIDTH:
WEIGHT:</t>
  </si>
  <si>
    <t>ART.EBT140192
COMP:100%POLY
WIDTH:58/60"
WEIGHT:350G/M2</t>
  </si>
  <si>
    <t>ART.EBT140193
COMP:96%PL 4%EA
WIDTH:150CM
WEIGHT:410G/M2</t>
  </si>
  <si>
    <t>ART.EBT140195
COMP:T/SP 95/5
WIDTH:150CM
WEIGHT:295G/M2</t>
  </si>
  <si>
    <t>ART.EBT140196
COMP:61%VI 35%PA 4%EA
WIDTH:155CM
WEIGHT:310G/M2</t>
  </si>
  <si>
    <t>ART.EBT140197
COMP:100%POLY
WIDTH:150CM
WEIGHT:280G/M2</t>
  </si>
  <si>
    <t>ART.EBT140201
COMP:T/SP 94/6
WIDTH:148CM
WEIGHT:320G/M2</t>
  </si>
  <si>
    <t>ART.EBT140202
COMP:100%POLY
WIDTH:57/58"
WEIGHT:235G/M2</t>
  </si>
  <si>
    <t>ART.EBT140205
COMP:F:100%PU G:100%POLY
WIDTH:54/55"
WEIGHT:</t>
  </si>
  <si>
    <t>ART.EBT140206
COMP:F:100%PU G:87%POLY 13%NYLON
WIDTH:57/58"
WEIGHT:</t>
  </si>
  <si>
    <t>ART.EBT140207
COMP:F:100%PU G:100%POLY
WIDTH:54/55"
WEIGHT:</t>
  </si>
  <si>
    <t>ART.EBT140208
COMP:F:100%PU G:100%POLY
WIDTH:54/55"
WEIGHT:</t>
  </si>
  <si>
    <t>ART.EBT140212
COMP:88%PL 12%EA
WIDTH:57/58"
WEIGHT:400G/M2</t>
  </si>
  <si>
    <t>ART.EBT140212 WITHOUT FOIL
COMP:88%PL 12%EA
WIDTH:57/58"
WEIGHT:400G/M2</t>
  </si>
  <si>
    <t>ART.EBT140212 WITHOUT FOIL-300G/M2
COMP:88%PL 12%EA
WIDTH:57/58"
WEIGHT:300G/M2</t>
  </si>
  <si>
    <t>ART.EBT140217
COMP:100%PU+100%PL
WIDTH:135CM
WEIGHT:258G/M2</t>
  </si>
  <si>
    <t>ART.EBT140219
COMP:97%PL 3%EA
WIDTH:150CM
WEIGHT:260G/M2</t>
  </si>
  <si>
    <t>ART.EBT140221
COMP:100%PO
WIDTH:46"
WEIGHT:170G/M2</t>
  </si>
  <si>
    <t>ART.EBT140223
COMP:50%CO50%PO
WIDTH:56"
WEIGHT:245G/M2</t>
  </si>
  <si>
    <t>ART.EBT140226
COMP:
WIDTH:
WEIGHT:</t>
  </si>
  <si>
    <t>ART.EBT140227
COMP:
WIDTH:
WEIGHT:</t>
  </si>
  <si>
    <t>ART.EBT140233
COMP:50%PU 50%PL
WIDTH:152CM
WEIGHT:126G/M2</t>
  </si>
  <si>
    <t>ART.EBT140242
COMP:F:35%PA 65%CO
G:100%CO
WIDTH:125CM
WEIGHT:396G/M2</t>
  </si>
  <si>
    <t>ART.EBT140244
COMP:G:95-97%NYLON 3-5%EA
F:PU
WIDTH:135CM
WEIGHT:315G/M2</t>
  </si>
  <si>
    <t>ART.EBT140244 IN PL GOUND
COMP:
WIDTH:
WEIGHT:</t>
  </si>
  <si>
    <t>ART.EBT140247
COMP:G:92%PL 8%EA
WIDTH:143CM
WEIGHT:325G/M2</t>
  </si>
  <si>
    <t>ART.EBT140248
COMP:G:92%PL 8%EA
WIDTH:141CM
WEIGHT:314G/M2</t>
  </si>
  <si>
    <t>ART.EBT140249
COMP:G:92%PL 8%EA
WIDTH:142CM
WEIGHT:310G/M2</t>
  </si>
  <si>
    <t>ART.EBT140250
COMP:G:92%PL 8%EA
WIDTH:143CM
WEIGHT:287G/M2</t>
  </si>
  <si>
    <t>ART.EBT140251
COMP:G:92%PL 8%EA
WIDTH:141CM
WEIGHT:305G/M2</t>
  </si>
  <si>
    <t>ART.EBT140253
COMP:100%POLY
WIDTH:
WEIGHT:</t>
  </si>
  <si>
    <t>ART.EBT140255
COMP:58%CO 35%PO 7%MET
WIDTH:59"
WEIGHT:215G/M2</t>
  </si>
  <si>
    <t>ART.EBT140256
COMP:40%CUPRO 60%TENCEL
WIDTH:54/55"
WEIGHT:90G/M2</t>
  </si>
  <si>
    <t>ART.EBT140257
COMP:F:PU+PL, G:PL
WIDTH:130CM
WEIGHT:</t>
  </si>
  <si>
    <t>ART.EBT140258
COMP:60%PL 40%C
WIDTH:57/58"
WEIGHT:275G/M2</t>
  </si>
  <si>
    <t>ART.EBT140259
COMP:53%CO 43%PL 4%LUREX
WIDTH:56"
WEIGHT:220G/M2</t>
  </si>
  <si>
    <t>ART.EBT140260
COMP:100%POLY+100%PU
WIDTH:57/58"
WEIGHT:439/M2</t>
  </si>
  <si>
    <t>ART.EBT140261
COMP:100%PU+100%PL
WIDTH:54/55
WEIGHT:315G/M2</t>
  </si>
  <si>
    <t>ART.EBT140264
COMP:100%PU+100%PL
WIDTH:54/55"
WEIGHT:</t>
  </si>
  <si>
    <t>ART.EBT140265
COMP:100%PU+100%PL
WIDTH:54/55"
WEIGHT:</t>
  </si>
  <si>
    <t>ART.EBT140266
COMP:100%PU+100%PL
WIDTH:54/55"
WEIGHT:</t>
  </si>
  <si>
    <t>ART.EBT140267
COMP:100%PL
WIDTH:140CM
WEIGHT:</t>
  </si>
  <si>
    <t>ART.EBT140268
COMP:100%PL
WIDTH:140CM
WEIGHT:</t>
  </si>
  <si>
    <t>ART.EBT140269
COMP:51%CO 28%PO 21%NL
WIDTH:53"
WEIGHT:160G/M2</t>
  </si>
  <si>
    <t>ART.EBT140273
COMP:65%PO 35%CO
WIDTH:54"
WEIGHT:130G/M2</t>
  </si>
  <si>
    <t>ART.EBT140274
COMP:100%CO
WIDTH:57/58"
WEIGHT:297G/M2</t>
  </si>
  <si>
    <t>ART.EBT140275
COMP:87.4%PL 12%VI 0.6%MET
WIDTH:55"
WEIGHT:275G/M2</t>
  </si>
  <si>
    <t>ART.EBT140276
COMP:40%CUPRO 60%LI
WIDTH:57/58"
WEIGHT:165G/M2</t>
  </si>
  <si>
    <t>ART.EBT140278
COMP:100%CUPRO
WIDTH:57/58"
WEIGHT:150G/M2</t>
  </si>
  <si>
    <t>ART.EBT140279
COMP:65%CUPRO 35%TE
WIDTH:58/59"
WEIGHT:123G/M2</t>
  </si>
  <si>
    <t>ART.EBT140280
COMP:40%CUPRO 60%LI
WIDTH:57/58"
WEIGHT:180G/M2</t>
  </si>
  <si>
    <t>ART.EBT140283
COMP:15%CU 38%TE 47%VR
WIDTH:147CM
WEIGHT:162G/M2</t>
  </si>
  <si>
    <t>ART.EBT140284
COMP:70%CU 30%TE 
WIDTH:142CM
WEIGHT:175G/M2</t>
  </si>
  <si>
    <t>ART.EBT140285
COMP:55%CU 45%VR
WIDTH:135CM
WEIGHT:110G/M2</t>
  </si>
  <si>
    <t>ART.EBT140290
COMP:100%POLY
WIDTH:
WEIGHT:</t>
  </si>
  <si>
    <t>ART.EBT140291
COMP:F:PU+PL, G:PL
WIDTH:130CM
WEIGHT:</t>
  </si>
  <si>
    <t>ART.EBT140292
COMP:F:PU+PL, G:PL
WIDTH:130CM
WEIGHT:</t>
  </si>
  <si>
    <t>ART.EBT140299
COMP:100%PU+G:65%VI 35%PL
WIDTH:137CM
WEIGHT:233G/M2</t>
  </si>
  <si>
    <t>ART.EBT140304
COMP:F:100%PU 100%POLY
G:95-97%NYLON 3.5%EA
WIDTH:145CM
WEIGHT:325G/M2</t>
  </si>
  <si>
    <t>ART.EBT140304 IN PL GOUND
COMP:
WIDTH:
WEIGHT:</t>
  </si>
  <si>
    <t>ART.EBT140305
COMP:54%PO 43%CO 3%EA
WIDTH:56"
WEIGHT:176G/M2</t>
  </si>
  <si>
    <t>ART.EBT140307
COMP:43%PL 54%CO 3%EA
WIDTH:144CM
WEIGHT:231G/M2</t>
  </si>
  <si>
    <t>ART.EBT140308
COMP:
WIDTH:
WEIGHT:</t>
  </si>
  <si>
    <t>ART.EBT140309
COMP:73.5%N 26.5%C
WIDTH:145CM
WEIGHT:185G/M</t>
  </si>
  <si>
    <t>ART.EBT140310
COMP:F:100%PU
G:100%POLY
WIDTH:54/55"
WEIGHT:</t>
  </si>
  <si>
    <t>ART.EBT140311
COMP:30%S 70%C
WIDTH:54"
WEIGHT:9MM</t>
  </si>
  <si>
    <t>ART.EBT140313
COMP:F:100%PU
G:100%POLY
WIDTH:53/54"
WEIGHT:</t>
  </si>
  <si>
    <t>ART.EBT140314
COMP:F:100%PU
G:100%POLY
WIDTH:48/49"
WEIGHT:</t>
  </si>
  <si>
    <t>ART.EBT140315
COMP:F:100%PU
G:100%POLY
WIDTH:48/49"
WEIGHT:</t>
  </si>
  <si>
    <t>ART.EBT140316
COMP:F:100%PU
G:100%POLY
WIDTH:38/39"
WEIGHT:</t>
  </si>
  <si>
    <t>ART.EBT140317
COMP:100%PL
WIDTH:140CM
WEIGHT:340G/M</t>
  </si>
  <si>
    <t>ART.EBT140318
COMP:F:100%PU 
G:95-97%NYLON 3-5%EA
WIDTH:135CM
WEIGHT:368G/M2</t>
  </si>
  <si>
    <t>ART.EBT140319
COMP:100%tencel
WIDTH:57/58"
WEIGHT:185G/M2</t>
  </si>
  <si>
    <t>ART.EBT140322
COMP:45%CUPRO 55%TENCEL
WIDTH:54/55"
WEIGHT:150G/M2</t>
  </si>
  <si>
    <t>ART.EBT140323
COMP:50%CUPRO 50%TENCEL
WIDTH:55/56"
WEIGHT:185G/M2</t>
  </si>
  <si>
    <t>ART.EBT140324
COMP:65%CUPRO 35%TE
WIDTH:57/58"
WEIGHT:128G/M2</t>
  </si>
  <si>
    <t>ART.EBT140325
COMP:100%CUPRO
WIDTH:54/55"
WEIGHT:115G/M2</t>
  </si>
  <si>
    <t>ART.EBT140326
COMP:100%TENCEL
WIDTH:57/58"
WEIGHT:194G/M2</t>
  </si>
  <si>
    <t>ART.EBT140328
COMP:56%CO 44%PL
WIDTH:57/58"
WEIGHT:410G/M</t>
  </si>
  <si>
    <t>ART.EBT140329
COMP:95-97%nylon 3-5%EA
WIDTH:160CM
WEIGHT:115G/M2</t>
  </si>
  <si>
    <t>ART.EBT140332
COMP:97%CO 3%EA
WIDTH:54/55"
WEIGHT:208G/M2</t>
  </si>
  <si>
    <t>ART.EBT140333
COMP:97%CO 3%EA
WIDTH:54/55"
WEIGHT:213G/M2</t>
  </si>
  <si>
    <t>ART.EBT140334
COMP:97%CO 3%EA
WIDTH:57/58"
WEIGHT:214G/M2</t>
  </si>
  <si>
    <t>ART.EBT140335
COMP:97%CO 3%EA
WIDTH:57/58"
WEIGHT:199G/M2</t>
  </si>
  <si>
    <t>ART.EBT140336
COMP:F:100%PU
G:100%POLY
WIDTH:54/55"
WEIGHT:</t>
  </si>
  <si>
    <t>ART.EBT140337
COMP:52%CTN 48%NYLON
WIDTH:56/58"
WEIGHT:205G/M</t>
  </si>
  <si>
    <t>ART.EBT140338
COMP:30%NYLON 70%CTN
WIDTH:50/52"
WEIGHT:525G/M</t>
  </si>
  <si>
    <t>ART.EBT140339
COMP:38%NYLON 62%CTN
WIDTH:56/58"
WEIGHT:155G/M</t>
  </si>
  <si>
    <t>ART.EBT140340
COMP:100%POLY
WIDTH:58/60"
WEIGHT:143G/M</t>
  </si>
  <si>
    <t>ART.EBT140341
COMP:90%nylon 10%EA
WIDTH:140CM
WEIGHT:135G/M</t>
  </si>
  <si>
    <t>ART.EBT140342
COMP:90%nylon 10%EA
WIDTH:140CM
WEIGHT:135G/M</t>
  </si>
  <si>
    <t>ART.EBT140343
COMP:50%pu 50%vi
WIDTH:137CM
WEIGHT:</t>
  </si>
  <si>
    <t>ART.EBT140344
COMP:86%PL 14%R
WIDTH:145CM
WEIGHT:340G/M2</t>
  </si>
  <si>
    <t>ART.EBT140345
COMP:97%PL 3%EA
WIDTH:153CM
WEIGHT:280-300G/M2</t>
  </si>
  <si>
    <t>ART.EBT140346
COMP:97%PL 3%EA
WIDTH:57/58"
WEIGHT:330G/M2</t>
  </si>
  <si>
    <t>ART.EBT140347
COMP:100%PL
WIDTH:140CM
WEIGHT:</t>
  </si>
  <si>
    <t>ART.EBT140348
COMP:100%PU 100%PC
WIDTH:140CM
WEIGHT:</t>
  </si>
  <si>
    <t>ART.EBT140349 before wash
COMP:100%PU 100%PL
WIDTH:140CM
WEIGHT:956G/M2</t>
  </si>
  <si>
    <t>ART.EBT140350
COMP:93%PL 7%EA
WIDTH:160CM
WEIGHT:135-140G/M2</t>
  </si>
  <si>
    <t>ART.EBT140351
COMP:100%POLY
WIDTH:57/58"
WEIGHT:75G/M2</t>
  </si>
  <si>
    <t>ART.EBT140352
COMP:98%PC 2%LUREX
WIDTH:150CM
WEIGHT:270G/M2</t>
  </si>
  <si>
    <t>ART.EBT140353
COMP:100%PL
WIDTH:150CM
WEIGHT:285G/M2</t>
  </si>
  <si>
    <t>ART.EBT140355
COMP:88%N 12%EA
WIDTH:142CM
WEIGHT:197G/M2</t>
  </si>
  <si>
    <t>ART.EBT140356
COMP:F:100%PU
G:100%POLY
WIDTH:136CM
WEIGHT:263G/M2</t>
  </si>
  <si>
    <t>ART.EBT140358
COMP:100%PU 100%VI(G)
WIDTH:137+-2CM
WEIGHT:</t>
  </si>
  <si>
    <t>ART.EBT140362
COMP:70%POLY 30%VI
WIDTH:54"
WEIGHT:310G/M</t>
  </si>
  <si>
    <t>ART.EBT140363
COMP:100%poly
WIDTH:54"
WEIGHT:305G/M</t>
  </si>
  <si>
    <t>ART.EBT140364
COMP:65%PL 35%C
WIDTH:57/58"
WEIGHT:248G/M2</t>
  </si>
  <si>
    <t>ART.EBT140366
COMP:100%CTN
WIDTH:57/58"
WEIGHT:230G/M2</t>
  </si>
  <si>
    <t>ART.EBT140367
COMP:100%C
WIDTH:57/58"
WEIGHT:245G/M2</t>
  </si>
  <si>
    <t>ART.EBT140368
COMP:100%C
WIDTH:57/58"
WEIGHT:290G/M2</t>
  </si>
  <si>
    <t>ART.EBT140369
COMP:100%CTN
WIDTH:57/58"
WEIGHT:250G/M2</t>
  </si>
  <si>
    <t>ART.EBT140373
COMP:45%PL 55% VI
WIDTH:55"
WEIGHT:130G/M2</t>
  </si>
  <si>
    <t>ART.EBT140374
COMP:100%POLY
WIDTH:148CM
WEIGHT:228G/M2</t>
  </si>
  <si>
    <t>ART.EBT140375
COMP:100%POLY
WIDTH:57/58"
WEIGHT:228G/M2</t>
  </si>
  <si>
    <t>ART.EBT140376
COMP:49%CO 51%PO 
WIDTH:52"
WEIGHT:140G/M2</t>
  </si>
  <si>
    <t>ART.EBT140377
COMP:49%CO 50%PO 1%EA
WIDTH:54"
WEIGHT:170G/M2</t>
  </si>
  <si>
    <t>ART.EBT140378
COMP:84%PO 15%VI 1%EA
WIDTH:46"
WEIGHT:300G/M2</t>
  </si>
  <si>
    <t>ART.EBT140379
COMP:100%LINEN DELAVE
WIDTH:144/146CM
WEIGHT:170/180G/M2</t>
  </si>
  <si>
    <t>ART.EBT140380
COMP:100%LINEN DELAVE
WIDTH:146-148CM
WEIGHT:175/185G/M2</t>
  </si>
  <si>
    <t>ART.EBT140381
COMP:100%LINEN
WIDTH:144/146CM
WEIGHT:170-180G/M2</t>
  </si>
  <si>
    <t>ART.EBT140382
COMP:100%LINEN DELAVE
WIDTH:144/146CM
WEIGHT:175-185G/M2</t>
  </si>
  <si>
    <t>ART.EBT140383
COMP:45%CO 55%LI
WIDTH:132/136CM
WEIGHT:150-160G/M2</t>
  </si>
  <si>
    <t>ART.EBT140384
COMP:45%CO 55%LI
WIDTH:132/136CM
WEIGHT:210-220G/M2</t>
  </si>
  <si>
    <t>ART.EBT140385
COMP:100%LINEN
WIDTH:132/136CM
WEIGHT:200-210G/M2</t>
  </si>
  <si>
    <t>ART.EBT140386
COMP:100%LINEN
WIDTH:132/136CM
WEIGHT:190-200G/M2</t>
  </si>
  <si>
    <t>ART.EBT140387
COMP:100%LINEN DELAVE
WIDTH:144/146CM
WEIGHT:170/180G/M2</t>
  </si>
  <si>
    <t>ART.EBT140394
COMP:2%LINEN 3%POLY 38%AC 57%CO
WIDTH:52/53"
WEIGHT:197G/M2</t>
  </si>
  <si>
    <t>ART.EBT140395
COMP:POLY+SP
WIDTH:
WEIGHT:280G/M2</t>
  </si>
  <si>
    <t>ART.EBT140397
COMP:F:100%CO
G:100%POLY
WIDTH:142CM
WEIGHT:304G/M2</t>
  </si>
  <si>
    <t>ART.EBT140398
COMP:G:95%PL 5%EA
F:100%POLY
WIDTH:136CM
WEIGHT:345G/M2</t>
  </si>
  <si>
    <t>ART.EBT140400
COMP:G:95%PL 5%EA
F:100%POLY
WIDTH:141CM
WEIGHT:349G/M2</t>
  </si>
  <si>
    <t>ART.EBT140401
COMP:G:95%PL 5%EA
F:100%POLY
WIDTH:145CM
WEIGHT:345G/M2</t>
  </si>
  <si>
    <t>ART.EBT140402
COMP:45%CO 55%POLY
WIDTH:160CM
WEIGHT:200G/M2</t>
  </si>
  <si>
    <t>ART.EBT140403
COMP:71%CTN 29%MET
WIDTH:180CM
WEIGHT:210G/M2</t>
  </si>
  <si>
    <t>ART.EBT140405
COMP:100%TENCEL
WIDTH:56/57"
WEIGHT:211G/M2</t>
  </si>
  <si>
    <t>ART.EBT140407
COMP:52%LI 48%CO
WIDTH:136/138CM
WEIGHT:175/185G/M2</t>
  </si>
  <si>
    <t>ART.EBT140408
COMP:95%PL 5%EA
WIDTH:150CM
WEIGHT:210-220G/M2</t>
  </si>
  <si>
    <t>ART.EBT140412
COMP:F:96%PL 4%EA
G:95-97%NLYON 3-5%EA
WIDTH:152CM
WEIGHT:313G/M2</t>
  </si>
  <si>
    <t>ART.EBT140412
COMP:F:95%PL 5%EA
G:95-97%NLYON 3-5%EA
WIDTH:152CM
WEIGHT:310G/M2</t>
  </si>
  <si>
    <t>ART.EBT140412-220LC
COMP:F:95%PL 5%EA
G:100%PL
WIDTH:152CM
WEIGHT:310G/M2</t>
  </si>
  <si>
    <t>ART.EBT140412-280LC
COMP:F:95%PL 5%EA
G:100%PL
WIDTH:152CM
WEIGHT:310G/M2</t>
  </si>
  <si>
    <t>ART.EBT140414
COMP:94%PL6%EA+FOIL
WIDTH:145CM
WEIGHT:280G/M2</t>
  </si>
  <si>
    <t>ART.EBT140418
COMP:51%PO 46%CO 3%EA
WIDTH:53"
WEIGHT:205G/M2</t>
  </si>
  <si>
    <t>ART.EBT140419
COMP:60%PO 35%CO 5%EA
WIDTH:53"
WEIGHT:235G/M2</t>
  </si>
  <si>
    <t>ART.EBT140420
COMP:49%CO 50%PO 1%EA
WIDTH:56"
WEIGHT:150G/M2</t>
  </si>
  <si>
    <t>ART.EBT140422
COMP:51%PO 46%CO 3%EA
WIDTH:53"
WEIGHT:200G/M2</t>
  </si>
  <si>
    <t>ART.EBT140423
COMP:51%PO 46%CO 3%EA
WIDTH:53"
WEIGHT:205G/M2</t>
  </si>
  <si>
    <t>ART.EBT140424
COMP:49%CO 50%PO 1%EA
WIDTH:54"
WEIGHT:160G/M2</t>
  </si>
  <si>
    <t>ART.EBT140425
COMP:49%CO 50%PO 1%EA
WIDTH:54"
WEIGHT:170G/M2</t>
  </si>
  <si>
    <t>ART.EBT140426
COMP:84%PO 15%VI 1%EA
WIDTH:51"
WEIGHT:240G/M2</t>
  </si>
  <si>
    <t>ART.EBT140429
COMP:G:100%PA F:100%CO
WIDTH:120CM
WEIGHT:135G/M2</t>
  </si>
  <si>
    <t>ART.EBT140431
COMP:100%POLY
WIDTH:145CM
WEIGHT:280G/M2</t>
  </si>
  <si>
    <t>ART.EBT140433
COMP:100%POLY
WIDTH:150CM
WEIGHT:259G/M2</t>
  </si>
  <si>
    <t>ART.EBT140436
COMP:95%PL 5%EA
WIDTH:150CM
WEIGHT:270G/M2</t>
  </si>
  <si>
    <t>ART.EBT140438
COMP:100%V
WIDTH:55"
WEIGHT:200G/M2</t>
  </si>
  <si>
    <t>ART.EBT140440
COMP:97%V 3%EA
WIDTH:56"
WEIGHT:267G/M2</t>
  </si>
  <si>
    <t>ART.EBT140441
COMP:96%PL 4%EA
WIDTH:150CM
WEIGHT:320G/M2</t>
  </si>
  <si>
    <t>ART.EBT140443
COMP:70%V 26%N 4%EA
WIDTH:60/61"
WEIGHT:360G/M2</t>
  </si>
  <si>
    <t>ART.EBT140444
COMP:100%CO
WIDTH:53"
WEIGHT:185G/M2</t>
  </si>
  <si>
    <t>ART.EBT140445
COMP:100%POLY
WIDTH:150CM
WEIGHT:74G/M2</t>
  </si>
  <si>
    <t>ART.EBT140447
COMP:F:100%PU 
G:100%PL
WIDTH:128CM
WEIGHT:</t>
  </si>
  <si>
    <t>ART.EBT140447L
COMP:F:100%PU 
G:100%PL
WIDTH:133CM
WEIGHT:240G/M2</t>
  </si>
  <si>
    <t>ART.EBT140449
COMP:F:100%PL
G:100%PL
WIDTH:145CM
WEIGHT:305G/M2</t>
  </si>
  <si>
    <t>ART.EBT140454
COMP:100%V
WIDTH:54/55"
WEIGHT:145G/M2</t>
  </si>
  <si>
    <t>ART.EBT140457
COMP:31%PL54%VI15%ME
WIDTH:63"
WEIGHT:190G/M2</t>
  </si>
  <si>
    <t>ART.EBT140460
COMP:100%T
WIDTH:58/60"
WEIGHT:310G/M2</t>
  </si>
  <si>
    <t>ART.EBT140461
COMP:100%PL
WIDTH:130CM
WEIGHT:200G/SM</t>
  </si>
  <si>
    <t>ART.EBT140462
COMP:F:100%PL
G:71%CO 14%PL 11%PC 4%VI
WIDTH:148CM
WEIGHT:445G/M2</t>
  </si>
  <si>
    <t>ART.EBT140465
COMP:74C 26N
WIDTH:57/58"
WEIGHT:168G/M2</t>
  </si>
  <si>
    <t>ART.EBT140466
COMP:68C 32N
WIDTH:51/52"
WEIGHT:209G/M2</t>
  </si>
  <si>
    <t>ART.EBT140467
COMP:37N 63C
WIDTH:57/58"
WEIGHT:160G/M2</t>
  </si>
  <si>
    <t>ART.EBT140468
COMP:73C 27N
WIDTH:57/58"
WEIGHT:183G/M2</t>
  </si>
  <si>
    <t>ART.EBT140469
COMP:100%C
WIDTH:43/44"
WEIGHT:240G/M2</t>
  </si>
  <si>
    <t>ART.EBT140470
COMP:70%C30%N
WIDTH:56/57"
WEIGHT:139G/M2</t>
  </si>
  <si>
    <t>ART.EBT140476
COMP:100%PL
WIDTH:57/58"
WEIGHT:190G/M2</t>
  </si>
  <si>
    <t>ART.EBT140477
COMP:100%PA
WIDTH:58"
WEIGHT:75G/M2</t>
  </si>
  <si>
    <t>ART.EBT140481
COMP:28%PC 4%VI 68%PL
WIDTH:57/58"
WEIGHT:285G/M2</t>
  </si>
  <si>
    <t>ART.EBT140483
COMP:100%PL
WIDTH:148CM
WEIGHT:460G/M</t>
  </si>
  <si>
    <t>ART.EBT140484
COMP:97%PL 3%EA
WIDTH:160CM
WEIGHT:240G/M</t>
  </si>
  <si>
    <t>ART.EBT140485
COMP:20%PA 80%CO
WIDTH:57/58"
WEIGHT:</t>
  </si>
  <si>
    <t>ART.EBT140486
COMP:39%PL 58%CO 3%EA
WIDTH:57/58"
WEIGHT:200G/M2</t>
  </si>
  <si>
    <t>ART.EBT140497
COMP:100%PA
WIDTH:150CM
WEIGHT:</t>
  </si>
  <si>
    <t>ART.EBT140498
COMP:49%PA 51%CO
WIDTH:150CM
WEIGHT:</t>
  </si>
  <si>
    <t>ART.EBT140499
COMP:35%PA 65%CO
WIDTH:150CM
WEIGHT:</t>
  </si>
  <si>
    <t>ART.EBT140501
COMP:100%CO G:100%PL
WIDTH:50/52"
WEIGHT:</t>
  </si>
  <si>
    <t>ART.EBT140502
COMP:100%CO G:100%PA
WIDTH:50/52"
WEIGHT:</t>
  </si>
  <si>
    <t>ART.EBT140504
COMP:100%PL
WIDTH:59"
WEIGHT:380G/M</t>
  </si>
  <si>
    <t>ART.EBT140505
COMP:100%PL+100%PLASTIC SEQUINS
WIDTH:52/56"
WEIGHT:400G/M2</t>
  </si>
  <si>
    <t>ART.EBT140506
COMP:100%PL+100%PLASTIC SEQUINS
WIDTH:52/56"
WEIGHT:400G/M2</t>
  </si>
  <si>
    <t>ART.EBT140507
COMP:100%PL+100%PLASTIC SEQUINS
WIDTH:53/58"
WEIGHT:210G/M2</t>
  </si>
  <si>
    <t>ART.EBT140508
COMP:100%PL+100%PLASTIC SEQUINS
WIDTH:53/58"
WEIGHT:210G/M2</t>
  </si>
  <si>
    <t>ART.EBT140509
COMP:100%PL+100%PLASTIC SEQUINS
WIDTH:52/56"
WEIGHT:195G/M2</t>
  </si>
  <si>
    <t>ART.EBT140510
COMP:100%PL+100%PLASTIC SEQUINS
WIDTH:52/56"
WEIGHT:400G/M2</t>
  </si>
  <si>
    <t>ART.EBT140512
COMP:100%PL
WIDTH:155CM
WEIGHT:280G/M2</t>
  </si>
  <si>
    <t>ART.EBT140514
COMP:T/SP 98/2
WIDTH:57"
WEIGHT:260G/M2</t>
  </si>
  <si>
    <t>ART.EBT140520
COMP:98%CO 2%ME
WIDTH:46"
WEIGHT:72G/SM</t>
  </si>
  <si>
    <t>ART.EBT140523
COMP:100%pu,100%poly
WIDTH:137+/-2CM
WEIGHT:284G/M2</t>
  </si>
  <si>
    <t>ART.EBT140524
COMP:100%pu,100%poly
WIDTH:137+/-2CM
WEIGHT:254G/M2</t>
  </si>
  <si>
    <t>ART.EBT140524-PUNCH OUT
COMP:100%pu,100%poly
WIDTH:130+/-2CM
WEIGHT:</t>
  </si>
  <si>
    <t>ART.EBT140525
COMP:97%PL 3%EA
WIDTH:148CM
WEIGHT:110G/M2</t>
  </si>
  <si>
    <t>ART.EBT140526
COMP:100%PL
WIDTH:57/58"
WEIGHT:160G/M2</t>
  </si>
  <si>
    <t>ART.EBT140527
COMP:100%PL
WIDTH:59/60"
WEIGHT:185G/M2</t>
  </si>
  <si>
    <t>ART.EBT140528
COMP:95%PL 5%EA
WIDTH:57/58"
WEIGHT:210G/M2</t>
  </si>
  <si>
    <t>ART.EBT140529P
COMP:100%PL
WIDTH:57/58"
WEIGHT:210G/M2</t>
  </si>
  <si>
    <t>ART.EBT140529PRINT
COMP:100%PL
WIDTH:57/58"
WEIGHT:210G/M2</t>
  </si>
  <si>
    <t>ART.EBT140529
COMP:100%PL
WIDTH:57/58"
WEIGHT:210G/M2</t>
  </si>
  <si>
    <t>ART.EBT140530
COMP:56% R 44% VI
WIDTH:62/63"
WEIGHT:208G/M2</t>
  </si>
  <si>
    <t>ART.EBT140531
COMP:100% VI
WIDTH:57/58"
WEIGHT:211G/M2</t>
  </si>
  <si>
    <t>ART.EBT140532
COMP:38%PL59%CO 3%EA
WIDTH:56"
WEIGHT:200G/M2</t>
  </si>
  <si>
    <t>ART.EBT140533
COMP:46%PA 51%CO 3%EA
WIDTH:57/58"
WEIGHT:212G/M2</t>
  </si>
  <si>
    <t>ART.EBT140534
COMP:48%PA 50%CO 2%EA
WIDTH:57/58"
WEIGHT:207G/M2</t>
  </si>
  <si>
    <t>ART.EBT140536
COMP:100% PL
WIDTH:57/58"
WEIGHT:250G/M2</t>
  </si>
  <si>
    <t>ART.EBT140537
COMP:70%PL 27%AC 3%CO
WIDTH:57/58"
WEIGHT:260G/M2</t>
  </si>
  <si>
    <t>ART.EBT140538
COMP:68%PL 30%CO 2%EA
WIDTH:160CM
WEIGHT:255G/M2</t>
  </si>
  <si>
    <t>ART.EBT140539
COMP:47% PL 53% CO
WIDTH:141CM
WEIGHT:310G/M2</t>
  </si>
  <si>
    <t>ART.EBT140540
COMP:100% CO
WIDTH:142CM
WEIGHT:305G/M2</t>
  </si>
  <si>
    <t>ART.EBT140541
COMP:80%CO 20%PL
WIDTH:139CM
WEIGHT:157G/M2</t>
  </si>
  <si>
    <t>ART.EBT140542
COMP:43%PL 57%CO
WIDTH:143CM
WEIGHT:220G/M2</t>
  </si>
  <si>
    <t>ART.EBT140543
COMP:95%PL 5%EA
WIDTH:144CM
WEIGHT:GOUND:
350G/M2</t>
  </si>
  <si>
    <t>ART.EBT140548
COMP:69%R　26%PA 5%EA
WIDTH:152CM
WEIGHT:305G/M2</t>
  </si>
  <si>
    <t>ART.EBT140562
COMP:100%N
WIDTH:145CM
WEIGHT:4.5M/KG</t>
  </si>
  <si>
    <t>ART.EBT140563
COMP:100%NYLON
WIDTH:145CM
WEIGHT:100G/M2</t>
  </si>
  <si>
    <t>ART.EBT140564
COMP:90%nylon 10%EA
WIDTH:145CM
WEIGHT:175G/M2</t>
  </si>
  <si>
    <t>ART.EBT140566
COMP:90%PL 10%EA
WIDTH:57/58"
WEIGHT:236G/M2</t>
  </si>
  <si>
    <t>ART.EBT140567
COMP:100%PL
WIDTH:57/58"
WEIGHT:240G/M2</t>
  </si>
  <si>
    <t>ART.EBT140569
COMP:95%PL 5%EA
WIDTH:57/58"
WEIGHT:120G/M2</t>
  </si>
  <si>
    <t>ART.EBT140570
COMP:69%CO 30%PL 1%EA
WIDTH:48"
WEIGHT:310G/M2</t>
  </si>
  <si>
    <t>ART.EBT140571
COMP:95%PL+5%EA
WIDTH:145CM
WEIGHT:300G/M2</t>
  </si>
  <si>
    <t>ART.EBT140572
COMP:100% PL+PU
WIDTH:136CM
WEIGHT:283G/M2</t>
  </si>
  <si>
    <t>ART.EBT140573
COMP:100% PL+PU
WIDTH:136CM
WEIGHT:277G/M2</t>
  </si>
  <si>
    <t>ART.EBT140574
COMP:92% PL 8% EA+ PU
WIDTH:160CM
WEIGHT:230G/M2</t>
  </si>
  <si>
    <t>ART.EBT140575
COMP:F:56%PL 32%CO 12%PA， G:84%PL 10% R 6%EA
WIDTH:57/58"
WEIGHT:521G/M2</t>
  </si>
  <si>
    <t>ART.EBT140576
COMP:84%PL 10% R 6%EA
WIDTH:155CM
WEIGHT:370G/M2</t>
  </si>
  <si>
    <t>ART.EBT140576-FOIL-GM
COMP:84%PL 10% R 6%EA
WIDTH:155CM
WEIGHT:370G/M2</t>
  </si>
  <si>
    <t>ART.EBT140577
COMP:F:90PL 10VI G:95PL 5EA
WIDTH:142CM
WEIGHT:705G/M2</t>
  </si>
  <si>
    <t>ART.EBT140578
COMP:F:95PL 5VI 
G:95PL 5EA
WIDTH:142CM
WEIGHT:705G/M2</t>
  </si>
  <si>
    <t>ART.EBT140579
COMP:F:100%CO G:95%PL5%EA
WIDTH:140CM
WEIGHT:625G/M2</t>
  </si>
  <si>
    <t>ART.EBT140580
COMP:88%PL 12%EA
WIDTH:142CM
WEIGHT:434G/M2</t>
  </si>
  <si>
    <t>ART.EBT140581
COMP:88%PL 12%EA
WIDTH:142CM
WEIGHT:425G/M2</t>
  </si>
  <si>
    <t>ART.EBT140582
COMP:95%PL 5%EA
WIDTH:147CM
WEIGHT:292G/M2</t>
  </si>
  <si>
    <t>ART.EBT140583
COMP:95%PL 5%EA
WIDTH:147CM
WEIGHT:292G/M2</t>
  </si>
  <si>
    <t>ART.EBT140585
COMP:52% PL 43%VI 15%EA
WIDTH:48"
WEIGHT:230G/M2</t>
  </si>
  <si>
    <t>ART.EBT140586
COMP:49%CO 53%PL
WIDTH:56"
WEIGHT:225G/M2</t>
  </si>
  <si>
    <t>ART.EBT140587
COMP:100%PL
WIDTH:54"
WEIGHT:250G/M2</t>
  </si>
  <si>
    <t>ART.EBT140588
COMP:100%PL
WIDTH:52"
WEIGHT:295G/M2</t>
  </si>
  <si>
    <t>ART.EBT140589
COMP:54%CO 46%PL
WIDTH:56"
WEIGHT:240G/M2</t>
  </si>
  <si>
    <t>ART.EBT140590
COMP:60%PL36%CO 4%EA
WIDTH:56"
WEIGHT:190G/M2</t>
  </si>
  <si>
    <t>ART.EBT140591
COMP:60%PL 36%CO 4%EA
WIDTH:57"
WEIGHT:190G/M2</t>
  </si>
  <si>
    <t>ART.EBT140592
COMP:29%VI 68%PO 3%EA
WIDTH:55"
WEIGHT:225G/M2</t>
  </si>
  <si>
    <t>ART.EBT140593
COMP:60%PO 35%CO 5%EA
WIDTH:54"
WEIGHT:225G/M2</t>
  </si>
  <si>
    <t>ART.EBT140594
COMP:59%PO 38%CO 3%EA
WIDTH:148CM
WEIGHT:215G/M2</t>
  </si>
  <si>
    <t>ART.EBT140595
COMP:74%PL 35%CO 3%EA
WIDTH:56/57"
WEIGHT:190G/M2</t>
  </si>
  <si>
    <t>ART.EBT140596
COMP:62%PL 35%CO 3%EA
WIDTH:145CM
WEIGHT:210G/M2</t>
  </si>
  <si>
    <t>ART.EBT140597
COMP:74%PL 23%VI 3%EA
WIDTH:56/57"
WEIGHT:198G/M2</t>
  </si>
  <si>
    <t>ART.EBT140598
COMP:71%PL 29%CO
WIDTH:132CM
WEIGHT:238G/M2</t>
  </si>
  <si>
    <t>ART.EBT140599
COMP:74%PL 23%VI 3%EA
WIDTH:56/57"
WEIGHT:198G/M2</t>
  </si>
  <si>
    <t>ART.EBT140600
COMP:60%PL 36%CO 4%EA
WIDTH:57"
WEIGHT:190G/M2</t>
  </si>
  <si>
    <t>ART.EBT140601
COMP:60%PL 36%CO 4%EA
WIDTH:56"
WEIGHT:190G/M2</t>
  </si>
  <si>
    <t>ART.EBT140602
COMP:51%AC 49%PL
WIDTH:56"
WEIGHT:280G/M2</t>
  </si>
  <si>
    <t>ART.EBT140603
COMP:100%POLY 100%PU
WIDTH:120CM
WEIGHT:244G/M2</t>
  </si>
  <si>
    <t>ART.EBT140604
COMP:100% PL foil
WIDTH:145CM
WEIGHT:244G/M2</t>
  </si>
  <si>
    <t>ART.EBT140604-wash
COMP:100% PL foil
WIDTH:145CM
WEIGHT:242G/M2</t>
  </si>
  <si>
    <t>ART.EBT140606
COMP:61%PL/36%CO/3%EA
WIDTH:56/57"
WEIGHT:320G/M</t>
  </si>
  <si>
    <t>ART.EBT140607
COMP:61%PL/36%CO/3%EA
WIDTH:142CM
WEIGHT:320G/M</t>
  </si>
  <si>
    <t>ART.EBT140608
COMP:98%PL/2%EA
WIDTH:142CM
WEIGHT:250G/M2</t>
  </si>
  <si>
    <t>ART.EBT140611
COMP:60%PL 40%CO
WIDTH:143CM
WEIGHT:210G/M2</t>
  </si>
  <si>
    <t>ART.EBT140622
COMP:100%POLY
WIDTH:57/58"
WEIGHT:220G/M2</t>
  </si>
  <si>
    <t>ART.EBT140628
COMP:67%PO33%CO
WIDTH:55"
WEIGHT:227G/M2</t>
  </si>
  <si>
    <t>ART.EBT140632
COMP:88% PL 12%EA
WIDTH:142CM
WEIGHT:446G/M2</t>
  </si>
  <si>
    <t>ART.EBT140633
COMP:88% PL 12%EA
WIDTH:145CM
WEIGHT:419G/M2</t>
  </si>
  <si>
    <t>ART.EBT140634
COMP:88% PL 12%EA
WIDTH:142CM
WEIGHT:442G/M2</t>
  </si>
  <si>
    <t>ART.EBT140635
COMP:100%PL+100%PU
WIDTH:142CM
WEIGHT:304G/M2</t>
  </si>
  <si>
    <t>ART.EBT140636
COMP:100%PL+100%PU
WIDTH:144CM
WEIGHT:296G/M2</t>
  </si>
  <si>
    <t>ART.EBT140637
COMP:100%PL+100%PU
WIDTH:142CM
WEIGHT:299G/M2</t>
  </si>
  <si>
    <t>ART.EBT140638
COMP:100%PA
WIDTH:155CM
WEIGHT:59G/M2</t>
  </si>
  <si>
    <t>ART.EBT140639
COMP:100%PL
WIDTH:57/58"
WEIGHT:230G/M2</t>
  </si>
  <si>
    <t>ART.EBT140647
COMP:23%CO 77%PL
WIDTH:53"
WEIGHT:</t>
  </si>
  <si>
    <t>ART.EBT140648
COMP:100%PL
WIDTH:60/61"
WEIGHT:405G/M2</t>
  </si>
  <si>
    <t>ART.EBT140649
COMP:100%PL
WIDTH:148CM
WEIGHT:88G/M2</t>
  </si>
  <si>
    <t>ART.EBT140650
COMP:13%N 87%PL
WIDTH:56/57"
WEIGHT:106G/M2</t>
  </si>
  <si>
    <t>ART.EBT140651
COMP:100%PL
WIDTH:56/57"
WEIGHT:80G/M2</t>
  </si>
  <si>
    <t>ART.EBT140652
COMP:13%N 87%PL
WIDTH:56/57"
WEIGHT:100G/M2</t>
  </si>
  <si>
    <t>ART.EBT140653
COMP:100%PL
WIDTH:57/58"
WEIGHT:90G/M2</t>
  </si>
  <si>
    <t>ART.EBT140654
COMP:100%PU +100%PL
WIDTH:137CM
WEIGHT:390G/M2</t>
  </si>
  <si>
    <t>ART.EBT140655
COMP:100%PL
WIDTH:143CM
WEIGHT:195G/M2</t>
  </si>
  <si>
    <t>ART.EBT140656
COMP:F:42%CO/58%PA; G:100%PL
WIDTH:130CM
WEIGHT:200G/M2</t>
  </si>
  <si>
    <t>ART.EBT140657
COMP:F:100%PU; G:100%PL
WIDTH:135CM
WEIGHT:</t>
  </si>
  <si>
    <t>ART.EBT140658
COMP:85%A 15%N
WIDTH:165CM
WEIGHT:175G/M2</t>
  </si>
  <si>
    <t>ART.EBT140671
COMP:F:100%PL+PU G:100%PL
WIDTH:142CM
WEIGHT:638G/M2</t>
  </si>
  <si>
    <t>ART.EBT140672
COMP:100PL
WIDTH:57/58"
WEIGHT:128G/M2</t>
  </si>
  <si>
    <t>ART.EBT140674
COMP:100%PA
WIDTH:57/58"
WEIGHT:50G/M2</t>
  </si>
  <si>
    <t>ART.EBT140675
COMP:100%PA
WIDTH:57/58"
WEIGHT:40G/M2</t>
  </si>
  <si>
    <t>ART.EBT140679
COMP:94%PL 6%EA
WIDTH:144CM
WEIGHT:307G/M2</t>
  </si>
  <si>
    <t>ART.EBT140701
COMP:51%MODAL/49%PL
WIDTH:57/58"
WEIGHT:124G/M2</t>
  </si>
  <si>
    <t>ART.EBT140702
COMP:100%R
WIDTH:54"
WEIGHT:147G/M2</t>
  </si>
  <si>
    <t>ART.EBT140703
COMP:100%R
WIDTH:56/57"
WEIGHT:166G/M2</t>
  </si>
  <si>
    <t>ART.EBT140704
COMP:100%R
WIDTH:52"
WEIGHT:145G/M2</t>
  </si>
  <si>
    <t>ART.EBT140711
COMP:88%PL 12%EA
WIDTH:57/58"
WEIGHT:340G/M2</t>
  </si>
  <si>
    <t>ART.EBT140712
COMP:85%N 15%EA
WIDTH:56/57"
WEIGHT:230G/M2</t>
  </si>
  <si>
    <t>ART.EBT140714
COMP:86.2%PL 13.8%EA
WIDTH:57/58"
WEIGHT:210G/M2</t>
  </si>
  <si>
    <t>ART.EBT140717
COMP:100%R
WIDTH:55"
WEIGHT:102G/M2</t>
  </si>
  <si>
    <t>ART.EBT140718
COMP:35%AC29%PL18%W12%VI16%MET
WIDTH:55"
WEIGHT:270G/M2</t>
  </si>
  <si>
    <t>ART.EBT140719
COMP:68%AC 23%PL 3%N 6%MET
WIDTH:52"
WEIGHT:270G/M2</t>
  </si>
  <si>
    <t>ART.EBT140720
COMP:61%PL39%AC
WIDTH:54"
WEIGHT:250G/M2</t>
  </si>
  <si>
    <t>ART.EBT140721
COMP:27%PL 59%AC 14%MET
WIDTH:54"
WEIGHT:200G/M2</t>
  </si>
  <si>
    <t>ART.EBT140722
COMP:69%PL 31%CO
WIDTH:62"
WEIGHT:155G/M2</t>
  </si>
  <si>
    <t>ART.EBT140723
COMP:86%PL 14%MET
WIDTH:56"
WEIGHT:155G/M2</t>
  </si>
  <si>
    <t>ART.EBT140724
COMP:41%PL 56%CO 3%MET
WIDTH:56"
WEIGHT:235G/M2</t>
  </si>
  <si>
    <t>ART.EBT140725
COMP:100%PL
WIDTH:62"
WEIGHT:160G/M2</t>
  </si>
  <si>
    <t>ART.EBT140726
COMP:41%PO56%CO3%MET
WIDTH:57"
WEIGHT:265G/M2</t>
  </si>
  <si>
    <t>ART.EBT140727
COMP:60%PL 40%VI
WIDTH:54"
WEIGHT:200G/M2</t>
  </si>
  <si>
    <t>ART.EBT140728
COMP:84%PL 15%MET 1%EA
WIDTH:49"
WEIGHT:320G/M2</t>
  </si>
  <si>
    <t>ART.EBT140729
COMP:41%PL 54%AC 5%MET
WIDTH:53"
WEIGHT:230G/M2</t>
  </si>
  <si>
    <t>ART.EBT140730
COMP:10%NL 12%MET 10%CO 68%VI
WIDTH:52"
WEIGHT:345G/M2</t>
  </si>
  <si>
    <t>ART.EBT140731
COMP:30%PL 51%CO 13%MET
WIDTH:54"
WEIGHT:195G/M2</t>
  </si>
  <si>
    <t>ART.EBT140732
COMP:100%PL
WIDTH:145CM
WEIGHT:514G/M</t>
  </si>
  <si>
    <t>ART.EBT140735
COMP:43W 52P 5AF
WIDTH:150CM
WEIGHT:360G/M2</t>
  </si>
  <si>
    <t>ART.EBT140736
COMP:20W 80AF
WIDTH:150CM
WEIGHT:210G/M2</t>
  </si>
  <si>
    <t>ART.EBT140737
COMP:
WIDTH:58/60"
WEIGHT:260G/M2</t>
  </si>
  <si>
    <t>ART.EBT140739
COMP:63|%PL33%R4%EA
WIDTH:57"
WEIGHT:400G/M2</t>
  </si>
  <si>
    <t>ART.EBT140740
COMP:97%PL 3%EA
WIDTH:160CM
WEIGHT:295G/M2</t>
  </si>
  <si>
    <t>ART.EBT140741
COMP:89%PL 11%R
WIDTH:58/59"
WEIGHT:335G/M2</t>
  </si>
  <si>
    <t>ART.EBT140741-310
COMP:89%PL 11%R
WIDTH:58/59"
WEIGHT:310-320G/M2</t>
  </si>
  <si>
    <t>ART.EBT140742
COMP:62%PL35%R3%EA
WIDTH:57/58"
WEIGHT:330G/M2</t>
  </si>
  <si>
    <t>ART.EBT140748
COMP:68%AC 23%PL 3%N 6%MET
WIDTH:53"
WEIGHT:275G/M2</t>
  </si>
  <si>
    <t>ART.EBT140749
COMP:100%NL
WIDTH:145CM
WEIGHT:</t>
  </si>
  <si>
    <t>ART.EBT140750
COMP:40%W60%H
WIDTH:57/58"
WEIGHT:510G/M</t>
  </si>
  <si>
    <t>ART.EBT140751
COMP:40%W60%VIS
WIDTH:150CM
WEIGHT:530-550G/M</t>
  </si>
  <si>
    <t>ART.EBT140752
COMP:F:96%PL4%EAG:95%PL5%EA
WIDTH:148CM
WEIGHT:615G/M2</t>
  </si>
  <si>
    <t>ART.EBT140755
COMP:50%PC 50%PL
WIDTH:137CM
WEIGHT:</t>
  </si>
  <si>
    <t>ART.EBT140756
COMP:50%PC 50%PL
WIDTH:137CM
WEIGHT:</t>
  </si>
  <si>
    <t>ART.EBT140757
COMP:100%PL
WIDTH:137CM
WEIGHT:</t>
  </si>
  <si>
    <t>ART.EBT140758
COMP:100%PL
WIDTH:137CM
WEIGHT:</t>
  </si>
  <si>
    <t>ART.EBT140759
COMP:100%PL
WIDTH:137CM
WEIGHT:</t>
  </si>
  <si>
    <t>ART.EBT140760
COMP:100%PL
WIDTH:137CM
WEIGHT:</t>
  </si>
  <si>
    <t>ART.EBT140761
COMP:50%PC 50%PL
WIDTH:137CM
WEIGHT:</t>
  </si>
  <si>
    <t>ART.EBT140762
COMP:100%PL
WIDTH:137CM
WEIGHT:</t>
  </si>
  <si>
    <t>ART.EBT140763
COMP:F:100%PU G:100%PL
WIDTH:137CM
WEIGHT:</t>
  </si>
  <si>
    <t>ART.EBT140764
COMP:F:100%PU G:100%PL
WIDTH:137CM
WEIGHT:</t>
  </si>
  <si>
    <t>ART.EBT140767
COMP:92%PL 8%EA
WIDTH:150CM
WEIGHT:220-230G/M2</t>
  </si>
  <si>
    <t>ART.EBT140771
COMP:65%PL 35%C
WIDTH:200CM
WEIGHT:250G/M2</t>
  </si>
  <si>
    <t>ART.EBT140772
COMP:75% P 25% AC
WIDTH:165CM
WEIGHT:345G/M2</t>
  </si>
  <si>
    <t>ART.EBT140773
COMP:86.8%PL/13.2%EA
WIDTH:58"
WEIGHT:290G/M2</t>
  </si>
  <si>
    <t>ART.EBT140774
COMP:86.8%PL/13.2%EA
WIDTH:58"
WEIGHT:340G/M2</t>
  </si>
  <si>
    <t>ART.EBT140775
COMP:86%PL/14%EA
WIDTH:50"
WEIGHT:300G/M2</t>
  </si>
  <si>
    <t>ART.EBT140776
COMP:86.8%PL/13.2%EA
WIDTH:58"
WEIGHT:320G/M2</t>
  </si>
  <si>
    <t>ART.EBT140777
COMP:100%PL
WIDTH:57/58"
WEIGHT:103G/M2</t>
  </si>
  <si>
    <t>ART.EBT140778
COMP:100%PL
WIDTH:55/56"
WEIGHT:98G/M2</t>
  </si>
  <si>
    <t>ART.EBT140782
COMP:T/R/EA 63/33/4
WIDTH:53/54
WEIGHT:240-250G/M2</t>
  </si>
  <si>
    <t>ART.EBT140783
COMP:87%PL/13%EA
WIDTH:142CM
WEIGHT:</t>
  </si>
  <si>
    <t>ART.EBT140784
COMP:87%PL/13%EA
WIDTH:12CM
WEIGHT:</t>
  </si>
  <si>
    <t>ART.EBT140785
COMP:87%PL/13%EA
WIDTH:144CM
WEIGHT:</t>
  </si>
  <si>
    <t>ART.EBT140788
COMP:F:100PL G:95PL 5EA
WIDTH:147CM
WEIGHT:526G/M2</t>
  </si>
  <si>
    <t>ART.EBT140789
COMP:F:43W 52PL 5AF G:95PL 5EA
WIDTH:145CM
WEIGHT:640G/M2</t>
  </si>
  <si>
    <t>ART.EBT140790
COMP:F:5W 95AF G:95PL 5EA
WIDTH:147CM
WEIGHT:645G/M2</t>
  </si>
  <si>
    <t>ART.EBT140791
COMP:F:52PL 48NY G:95PL 5PA
WIDTH:148CM
WEIGHT:370G/M2</t>
  </si>
  <si>
    <t>ART.EBT140792
COMP:87%PL/13%EA
WIDTH:130CM
WEIGHT:</t>
  </si>
  <si>
    <t>ART.EBT140793
COMP:87%PL/13%EA
WIDTH:112CM
WEIGHT:</t>
  </si>
  <si>
    <t>ART.EBT140794
COMP:87%PL/13%EA
WIDTH:105CM
WEIGHT:</t>
  </si>
  <si>
    <t>ART.EBT140794A
COMP:87%PL/13%EA
WIDTH:105CM
WEIGHT:</t>
  </si>
  <si>
    <t>ART.EBT140795
COMP:87%PL/13%EA
WIDTH:142CM
WEIGHT:</t>
  </si>
  <si>
    <t>ART.EBT140796
COMP:100%PL
WIDTH:57"/58"
WEIGHT:</t>
  </si>
  <si>
    <t>ART.EBT140797
COMP:100%NYLON+SEQUINS
WIDTH:49"
WEIGHT:280G/M2</t>
  </si>
  <si>
    <t>ART.EBT140802
COMP:5%WOOL 95%OTHERS
WIDTH:145CM
WEIGHT:</t>
  </si>
  <si>
    <t>ART.EBT140807
COMP:F:100%PL G:100%PL
WIDTH:57/58"
WEIGHT:371G/M2</t>
  </si>
  <si>
    <t>ART.EBT140808
COMP:F:100%PL G:100%PL
WIDTH:57/58"
WEIGHT:413G/M2</t>
  </si>
  <si>
    <t>ART.EBT140811
COMP:96%PL 4%EA
WIDTH:57/58"
WEIGHT:225G/M</t>
  </si>
  <si>
    <t>ART.EBT140816
COMP:45%WO 55%OTHERS
WIDTH:57/58"
WEIGHT:570G/M+/-20G/M</t>
  </si>
  <si>
    <t>ART.EBT140820
COMP:100%C
WIDTH:57/58"
WEIGHT:270G/M2</t>
  </si>
  <si>
    <t>ART.EBT140832
COMP:F:100%PU B:100%POLY
WIDTH:137CM
WEIGHT:320+-20G/M2</t>
  </si>
  <si>
    <t>ART.EBT140838
COMP:100%PL
WIDTH:57"/58"
WEIGHT:75G/M2</t>
  </si>
  <si>
    <t>ART.EBT140842
COMP:68%PL 30%CO 2%EA
WIDTH:56"
WEIGHT:235G/M2</t>
  </si>
  <si>
    <t>ART.EBT140863
COMP:100%POLY
WIDTH:56/57"
WEIGHT:225G/M2</t>
  </si>
  <si>
    <t>ART.EBT140864
COMP:T/C/SP=68/30/2 JACQ
WIDTH:53/54"
WEIGHT:305G/M2</t>
  </si>
  <si>
    <t>ART.EBT140866
COMP:F:T/R=70/30 
G:T/SP=97/3 
WIDTH:58/59"
WEIGHT:423G/M2</t>
  </si>
  <si>
    <t>ART.EBT140869
COMP:100%POLY
WIDTH:58/59"
WEIGHT:520G/M</t>
  </si>
  <si>
    <t>ART.EBT140870
COMP:50%PU  50%V
WIDTH:55/56"
WEIGHT:279G/M2</t>
  </si>
  <si>
    <t>ART.EBT140871
COMP:100%POLY
WIDTH:57/58"
WEIGHT:580G/M</t>
  </si>
  <si>
    <t>ART.EBT140872
COMP:50%WO/30%VI/18.7%PL/1.3%PU
WIDTH:154CM
WEIGHT:520G/M</t>
  </si>
  <si>
    <t>ART.EBT140873
COMP:80%WO/20%PL
WIDTH:152CM
WEIGHT:470G/M</t>
  </si>
  <si>
    <t>ART.EBT140874
COMP:60%WO/20%VI/20%PL
WIDTH:154CM
WEIGHT:545G/M</t>
  </si>
  <si>
    <t>ART.EBT140875
COMP:100%WO
WIDTH:142CM
WEIGHT:533G/M</t>
  </si>
  <si>
    <t>ART.EBT140876
COMP:60%WO/40%VI
WIDTH:150CM
WEIGHT:614G/M</t>
  </si>
  <si>
    <t>ART.EBT140877
COMP:100%WO
WIDTH:152CM
WEIGHT:380G/M</t>
  </si>
  <si>
    <t>ART.EBT140878
COMP:50.5%WO/49.5%CO
WIDTH:150CM
WEIGHT:365G/M</t>
  </si>
  <si>
    <t>ART.EBT140879
COMP:80%WO/20%MODAL
WIDTH:152CM
WEIGHT:560G/M</t>
  </si>
  <si>
    <t>ART.EBT140880
COMP:60%WO/20%VI/20%PL
WIDTH:154CM
WEIGHT:445G/M</t>
  </si>
  <si>
    <t>ART.EBT140881
COMP:Nylon/Sp
WIDTH:56"
WEIGHT:190G/M2</t>
  </si>
  <si>
    <t>ART.EBT140882
COMP:Nylon/Sp
WIDTH:56"
WEIGHT:200G/M2</t>
  </si>
  <si>
    <t>ART.EBT140883
COMP:Nylon/Sp
WIDTH:56"
WEIGHT:140G/M2</t>
  </si>
  <si>
    <t>ART.EBT140884
COMP:100%NYLON
WIDTH:56"
WEIGHT:150G/M2</t>
  </si>
  <si>
    <t>ART.EBT140886
COMP:NYLON/SP
WIDTH:140CM
WEIGHT:170G/M2</t>
  </si>
  <si>
    <t>ART.EBT140887
COMP:NYLON/POLY/SP
WIDTH:56"
WEIGHT:240G/M2</t>
  </si>
  <si>
    <t>ART.EBT140888
COMP:NYLON/SP
WIDTH:56"
WEIGHT:140G/M2</t>
  </si>
  <si>
    <t>ART.EBT140889
COMP:NYLON/SP
WIDTH:56"
WEIGHT:180G/M2</t>
  </si>
  <si>
    <t>ART.EBT140890
COMP:
WIDTH:140CM
WEIGHT:</t>
  </si>
  <si>
    <t>ART.EBT140891
COMP:
WIDTH:140CM
WEIGHT:</t>
  </si>
  <si>
    <t>ART.EBT140892
COMP:
WIDTH:140CM
WEIGHT:</t>
  </si>
  <si>
    <t>ART.EBT140893
COMP:
WIDTH:140CM
WEIGHT:</t>
  </si>
  <si>
    <t>ART.EBT140894
COMP:
WIDTH:140CM
WEIGHT:</t>
  </si>
  <si>
    <t>ART.EBT140895
COMP:
WIDTH:140CM
WEIGHT:</t>
  </si>
  <si>
    <t>ART.EBT140896
COMP:
WIDTH:140CM
WEIGHT:</t>
  </si>
  <si>
    <t>ART.EBT140897
COMP:
WIDTH:140CM
WEIGHT:</t>
  </si>
  <si>
    <t>ART.EBT140898
COMP:
WIDTH:140CM
WEIGHT:</t>
  </si>
  <si>
    <t>ART.EBT140899
COMP:
WIDTH:140CM
WEIGHT:</t>
  </si>
  <si>
    <t>ART.EBT140900
COMP:
WIDTH:140CM
WEIGHT:</t>
  </si>
  <si>
    <t>ART.EBT140901
COMP:
WIDTH:140CM
WEIGHT:</t>
  </si>
  <si>
    <t>ART.EBT140902
COMP:
WIDTH:140CM
WEIGHT:</t>
  </si>
  <si>
    <t>ART.EBT140903
COMP:
WIDTH:140CM
WEIGHT:</t>
  </si>
  <si>
    <t>ART.EBT140904
COMP:
WIDTH:140CM
WEIGHT:</t>
  </si>
  <si>
    <t>ART.EBT140905
COMP:
WIDTH:140CM
WEIGHT:</t>
  </si>
  <si>
    <t>ART.EBT140910
COMP:34%PL 5%Lurex 61%Loop
WIDTH:168CM
WEIGHT:252G/M2</t>
  </si>
  <si>
    <t>ART.EBT140911
COMP:30%PL 5%Lurex 65%Loop
WIDTH:168CM
WEIGHT:289G/M2</t>
  </si>
  <si>
    <t>ART.EBT140912
COMP:F:PU G:100%PL
WIDTH:142CM
WEIGHT:442G/M2</t>
  </si>
  <si>
    <t>ART.EBT140923
COMP:100%PL
WIDTH:130CM
WEIGHT:</t>
  </si>
  <si>
    <t>ART.EBT140924
COMP:100%PL
WIDTH:130CM
WEIGHT:</t>
  </si>
  <si>
    <t>ART.EBT140925
COMP:100%PL
WIDTH:130CM
WEIGHT:</t>
  </si>
  <si>
    <t>ART.EBT140926
COMP:100%PL
WIDTH:150CM
WEIGHT:150G/M2</t>
  </si>
  <si>
    <t>ART.EBT140926B
COMP:F:97%PL 3%EA G:100%PL 
WIDTH:150CM
WEIGHT:214G/M2</t>
  </si>
  <si>
    <t>ART.EBT140927
COMP:100%PL
WIDTH:160CM
WEIGHT:300G/M2</t>
  </si>
  <si>
    <t>ART.EBT140934
COMP:F:100%PU G:100%PL
WIDTH:137CM
WEIGHT:thickness1.1MM</t>
  </si>
  <si>
    <t>ART.EBT140936
COMP:100%POLY
WIDTH:57/58"
WEIGHT:80G/M2</t>
  </si>
  <si>
    <t>ART.EBT140937
COMP:99.5%P0.5%LUREX
WIDTH:57/58"
WEIGHT:150G/M2</t>
  </si>
  <si>
    <t>ART.EBT140938
COMP:100%POLY
WIDTH:57/58"
WEIGHT:160G/M2</t>
  </si>
  <si>
    <t>ART.EBT140939
COMP:45%P55%R
WIDTH:57/58"
WEIGHT:130G/M2</t>
  </si>
  <si>
    <t>ART.EBT140940
COMP:45%P55%R
WIDTH:57/58"
WEIGHT:130G/M2</t>
  </si>
  <si>
    <t>ART.EBT140941
COMP:100%POLY
WIDTH:57/58"
WEIGHT:70G/M2</t>
  </si>
  <si>
    <t>ART.EBT140942
COMP:100%POLY
WIDTH:57/58"
WEIGHT:45G/M2</t>
  </si>
  <si>
    <t>ART.EBT140943
COMP:100%POLY
WIDTH:57/58"
WEIGHT:85G/M2</t>
  </si>
  <si>
    <t>ART.EBT140944
COMP:100%POLY
WIDTH:57/58"
WEIGHT:70G/M2</t>
  </si>
  <si>
    <t>ART.EBT140945
COMP:100%POLY
WIDTH:56/57"
WEIGHT:40G/M2</t>
  </si>
  <si>
    <t>ART.EBT140946
COMP:100%POLY
WIDTH:57/58"
WEIGHT:90G/M2</t>
  </si>
  <si>
    <t>ART.EBT140947
COMP:100%POLY
WIDTH:55/56"
WEIGHT:45G/M2</t>
  </si>
  <si>
    <t>ART.EBT140948
COMP:100%POLY
WIDTH:55/56"
WEIGHT:45G/M2</t>
  </si>
  <si>
    <t>ART.EBT140949
COMP:94.5%P5%C1%SQ
WIDTH:56/57"
WEIGHT:240G/M2</t>
  </si>
  <si>
    <t>ART.EBT140950
COMP:100%POLY
WIDTH:55/56"
WEIGHT:45G/M2</t>
  </si>
  <si>
    <t>ART.EBT140951
COMP:88%P12%R
WIDTH:57/58"
WEIGHT:160G/M2</t>
  </si>
  <si>
    <t>ART.EBT140952
COMP:40%P60%V
WIDTH:55/56"
WEIGHT:50G/M2</t>
  </si>
  <si>
    <t>ART.EBT140953
COMP:40%P60%V
WIDTH:54/55"
WEIGHT:45G/M2</t>
  </si>
  <si>
    <t>ART.EBT140954
COMP:40%P60%V
WIDTH:54/55"
WEIGHT:50G/M2</t>
  </si>
  <si>
    <t>ART.EBT140955
COMP:40%P60%V
WIDTH:54/55"
WEIGHT:45G/M2</t>
  </si>
  <si>
    <t>ART.EBT140956
COMP:40%P60%V
WIDTH:54/55"
WEIGHT:50G/M2</t>
  </si>
  <si>
    <t>ART.EBT140957
COMP:40%P60%V
WIDTH:54/55"
WEIGHT:45G/M2</t>
  </si>
  <si>
    <t>ART.EBT140958
COMP:40%P40%V
WIDTH:57/58"
WEIGHT:45G/M2</t>
  </si>
  <si>
    <t>ART.EBT140959
COMP:40%W60%A
WIDTH:57/58"
WEIGHT:640G/M2</t>
  </si>
  <si>
    <t>ART.EBT140960
COMP:100%PU
WIDTH:138CM
WEIGHT:500G/M2</t>
  </si>
  <si>
    <t>ART.EBT140961
COMP:5%W95%OTHERS
WIDTH:57/58"
WEIGHT:340G/M</t>
  </si>
  <si>
    <t>ART.EBT140962
COMP:15%W75%P10%OTHERS
WIDTH:57/58"
WEIGHT:530G/M</t>
  </si>
  <si>
    <t>ART.EBT140965
COMP:F:100%PU G:100%PL
WIDTH:137CM
WEIGHT:</t>
  </si>
  <si>
    <t>ART.EBT140966
COMP:F:100%PU G:100%PL
WIDTH:137CM
WEIGHT:</t>
  </si>
  <si>
    <t>ART.EBT140967
COMP:100% MIX FIBER
WIDTH:57/58"
WEIGHT:580G/M+/-20G/M</t>
  </si>
  <si>
    <t>ART.EBT140968
COMP:100% OTHERS
WIDTH:57/58"
WEIGHT:570G/M+/-20G/M</t>
  </si>
  <si>
    <t>ART.EBT140969
COMP:5%W 95%OTHERS
WIDTH:57/58"
WEIGHT:585G/M+/-20G/M</t>
  </si>
  <si>
    <t>ART.EBT140971
COMP:100% OTHERS
WIDTH:57/58"
WEIGHT:720G/M+/-20G/M</t>
  </si>
  <si>
    <t>ART.EBT140972
COMP:10%W 90%OTHERS
WIDTH:57/58"
WEIGHT:690G/M+/-20G/M</t>
  </si>
  <si>
    <t>ART.EBT140978
COMP:100%others
WIDTH:58/59"
WEIGHT:600G/M+/20G/M</t>
  </si>
  <si>
    <t>ART.EBT140979
COMP:40%W 60%OTHERS
WIDTH:57/58"
WEIGHT:620G/M+/-20G/M</t>
  </si>
  <si>
    <t>ART.EBT140980
COMP:10%A 90%OTHERS
WIDTH:57/58"
WEIGHT:470G/M+/-20G/M</t>
  </si>
  <si>
    <t>ART.EBT140982
COMP:100%OTHERS
WIDTH:58/59"
WEIGHT:620G/M+/-20G/M</t>
  </si>
  <si>
    <t>ART.EBT140983
COMP:100%OTHERS
WIDTH:58/59"
WEIGHT:520G/M+/-20G/M</t>
  </si>
  <si>
    <t>ART.EBT140985
COMP:100%others
WIDTH:57/58"
WEIGHT:520G/M+/-20G/M</t>
  </si>
  <si>
    <t>ART.EBT140987
COMP:25%A75%OTHERS
WIDTH:57/58"
WEIGHT:480G/M+/-20G/M</t>
  </si>
  <si>
    <t>ART.EBT140988
COMP:30%A70%OTHERS
WIDTH:57/58"
WEIGHT:580G/M+/-20G/M</t>
  </si>
  <si>
    <t>ART.EBT140989
COMP:100%others
WIDTH:57/58"
WEIGHT:580G/M+/-20G/M</t>
  </si>
  <si>
    <t>ART.EBT140991
COMP:100%PU+100%PL
WIDTH:138CM
WEIGHT:250G/M2</t>
  </si>
  <si>
    <t>ART.EBT140996
COMP:G:100%PL+F:100%PU
WIDTH:53"/54"
WEIGHT:280G/M2+/-20G</t>
  </si>
  <si>
    <t>ART.EBT140997
COMP:G:100%PL+F:100%PU
WIDTH:53"/54"
WEIGHT:280G/M2+/-20G</t>
  </si>
  <si>
    <t>ART.EBT140998
COMP:G:100%PL+F:100%PU
WIDTH:53"/54"
WEIGHT:280G/M2+/-20G</t>
  </si>
  <si>
    <t>ART.EBT140999
COMP:50AC30P20R
WIDTH:147CM
WEIGHT:280G/SM</t>
  </si>
  <si>
    <t>ART.EBT141000
COMP:92%PL 8%EA
WIDTH:57"/58"
WEIGHT:195G/M2</t>
  </si>
  <si>
    <t>ART.EBT141001
COMP:96%PL 4%EA
WIDTH:57"/58"
WEIGHT:235G/M2</t>
  </si>
  <si>
    <t>ART.EBT141002
COMP:96%PL 4%EA
WIDTH:57"/58"
WEIGHT:220G/M2</t>
  </si>
  <si>
    <t>ART.EBT141004
COMP:98%CO 2%EA 
WIDTH:57"/58"
WEIGHT:280G/M2</t>
  </si>
  <si>
    <t>ART.EBT141005
COMP:98%CO 2%EA 
WIDTH:57"/58"
WEIGHT:290G/M2</t>
  </si>
  <si>
    <t>ART.EBT141006
COMP:100%poly
WIDTH:57"/58"
WEIGHT:200G/M2</t>
  </si>
  <si>
    <t>ART.EBT141007
COMP:100%PL+PU
WIDTH:138CM
WEIGHT:0.5MM</t>
  </si>
  <si>
    <t>ART.EBT141008
COMP:71%CO 14%PL 11%PC 4%VI
WIDTH:148CM
WEIGHT:445G/M2</t>
  </si>
  <si>
    <t>ART.EBT141009
COMP:93%PL 7%EA
WIDTH:57"/58"
WEIGHT:215G/M2</t>
  </si>
  <si>
    <t>ART.EBT141010
COMP:96%PL 4%EA TWILL
WIDTH:57"/58"
WEIGHT:235G/M2</t>
  </si>
  <si>
    <t>ART.EBT141011
COMP:100%PU+100%PL
WIDTH:135CM
WEIGHT:(270+-20)G/M2</t>
  </si>
  <si>
    <t>ART.EBT141012
COMP:100%PU+100%PL
WIDTH:135CM
WEIGHT:(315-320)G/M2</t>
  </si>
  <si>
    <t>ART.EBT141013
COMP:100%PU+100%PL
WIDTH:137CM
WEIGHT:(225+-20)G/M2</t>
  </si>
  <si>
    <t>ART.EBT141014
COMP:100%PU+100%PL
WIDTH:137CM
WEIGHT:(225+-20)G/M2</t>
  </si>
  <si>
    <t>ART.EBT141015
COMP:100%PU+100%PL
WIDTH:137CM
WEIGHT:(280+-20)G/M2</t>
  </si>
  <si>
    <t>ART.EBT141018
COMP:100%POLY
WIDTH:57/58"
WEIGHT:100G/M2</t>
  </si>
  <si>
    <t>ART.EBT141019
COMP:
WIDTH:
WEIGHT:</t>
  </si>
  <si>
    <t>ART.EBT141022
COMP:68%PL 28%CO 4%EA
WIDTH:57/58"
WEIGHT:370G/M2</t>
  </si>
  <si>
    <t>ART.EBT141025
COMP:48%PL/46%CO/6%OTHERS
WIDTH:140CM
WEIGHT:250G/M2</t>
  </si>
  <si>
    <t>ART.EBT141026
COMP:33%PL/67%CO
WIDTH:56/57"
WEIGHT:285G/M2</t>
  </si>
  <si>
    <t>ART.EBT141027
COMP:F/G 95%PL 5%EA
WIDTH:148CM
WEIGHT:465G/M2</t>
  </si>
  <si>
    <t>ART.EBT141028
COMP:F/G 96%PL 4%EA
WIDTH:148CM
WEIGHT:590G/M2</t>
  </si>
  <si>
    <t>ART.EBT141033
COMP:96%PL/4%EA
WIDTH:155CM
WEIGHT:215G/M2</t>
  </si>
  <si>
    <t>ART.EBT141036
COMP:65%PU, 35%POLY
WIDTH:50/51"
WEIGHT:355G/M</t>
  </si>
  <si>
    <t>ART.EBT141040
COMP:
WIDTH:
WEIGHT:</t>
  </si>
  <si>
    <t>ART.EBT141042
COMP:5%W 95%OTHERS
WIDTH:57/58"
WEIGHT:585G/M+/-20G/M</t>
  </si>
  <si>
    <t>ART.EBT141053
COMP:100%POLY
WIDTH:57/58"
WEIGHT:214G/M2</t>
  </si>
  <si>
    <t>ART.EBTBRT773
COMP:15%W 85%OMERS
WIDTH:57/58"
WEIGHT:375-385G/M2</t>
  </si>
  <si>
    <t>ART.EBTBRT755
COMP:100%SYNYHETIC
WIDTH:57/58"
WEIGHT:346G/M2</t>
  </si>
  <si>
    <t>ART.EBTBRT756
COMP:
WIDTH:
WEIGHT:</t>
  </si>
  <si>
    <t>ART.EBTBRT751
COMP:
WIDTH:
WEIGHT:</t>
  </si>
  <si>
    <t>ART.EBTBRT705
COMP:100%ACRYLIC
WIDTH:150CM
WEIGHT:1070G/M</t>
  </si>
  <si>
    <t>ART.EBTBRT706
COMP:80%MAD ACRYLIC 20%AC
WIDTH:150CM
WEIGHT:950G/M</t>
  </si>
  <si>
    <t>ART.EBTBRT713
COMP:100%MAC
WIDTH:150CM
WEIGHT:1350G/M</t>
  </si>
  <si>
    <t>ART.EBTBRT716
COMP:
WIDTH:
WEIGHT:</t>
  </si>
  <si>
    <t>ART.EBTBRT704
COMP:5%W 95%CF
WIDTH:57/58"
WEIGHT:570G/M</t>
  </si>
  <si>
    <t>ART.EBTBRT737
COMP:100%T
WIDTH:57/58"
WEIGHT:195G/M2</t>
  </si>
  <si>
    <t>ART.EBTBRT738
COMP:
WIDTH:
WEIGHT:</t>
  </si>
  <si>
    <t>ART.EBTBRT739
COMP:
WIDTH:
WEIGHT:</t>
  </si>
  <si>
    <t>ART.EBTBRT771
COMP:100%POLY
WIDTH:160CM
WEIGHT:335G/M2</t>
  </si>
  <si>
    <t>ART.EBTBRT772
COMP:
WIDTH:
WEIGHT:</t>
  </si>
  <si>
    <t>ART.EBTBRT774
COMP:
WIDTH:
WEIGHT:</t>
  </si>
  <si>
    <t>ART.EBT140412-E
COMP:F:95%PL 5%EA
G:100%PL
WIDTH:152CM
WEIGHT:310G/M2</t>
  </si>
  <si>
    <t>ART.EBT140412-F
COMP:F:95%PL 5%EA
G:100%PL
WIDTH:152CM
WEIGHT:310G/M2</t>
  </si>
  <si>
    <t>ART.EBT150946
COMP:G:100%NYLON
EMB:100%PL SEQUIN 
WIDTH:135CM 
WEIGHT:195G/M2</t>
  </si>
  <si>
    <t>ART.EBT150955
COMP:100%PA
WIDTH:142CM
WEIGHT:</t>
  </si>
  <si>
    <t>ART.EBT150956
COMP:100%PA
WIDTH:140CM
WEIGHT:</t>
  </si>
  <si>
    <t>ART.EBT150957
COMP:100%PA
WIDTH:144CM
WEIGHT:</t>
  </si>
  <si>
    <t>ART.EBT150960
COMP:99%PL 1%EA
WIDTH:56/57"
WEIGHT:400G/M</t>
  </si>
  <si>
    <t>ART.EBT150964
COMP:100%POLY
WIDTH:150CM
WEIGHT:80-90G/M2</t>
  </si>
  <si>
    <t>ART.EBT151002
COMP:100%TENCEL
WIDTH:145CM
WEIGHT:155G/M2</t>
  </si>
  <si>
    <t>ART.EBT151003
COMP:55%CO45%TENCEL 
WIDTH:147CM
WEIGHT:228G/M2</t>
  </si>
  <si>
    <t>ART.EBT151004
COMP:10%TENCEL
WIDTH:145CM
WEIGHT:165G/M2</t>
  </si>
  <si>
    <t>ART.EBT151005
COMP:10%TENCEL
WIDTH:145CM
WEIGHT:182G/M2</t>
  </si>
  <si>
    <t>ART.EBT151012
COMP:F:100%PL
G:100%PL
WIDTH:150CM
WEIGHT:370G/M2</t>
  </si>
  <si>
    <t>ART.EBT151013
COMP:FUR:100%PC
G:100%PL
WIDTH:150CM
WEIGHT:1000G/M</t>
  </si>
  <si>
    <t>ART.EBT250473
COMP:30%WOOL 70%POLY
WIDTH:57/58"
WEIGHT:480G/M</t>
  </si>
  <si>
    <t>ART.EBT250493
COMP:G:65%PL 35%VI
EMB:100%CO
WIDTH:120CM
WEIGHT:</t>
  </si>
  <si>
    <t>ART.EBT250494
COMP:100%PL
WIDTH:155CM
WEIGHT:</t>
  </si>
  <si>
    <t>ART.EBT250495
COMP:100%PL
WIDTH:146CM
WEIGHT:</t>
  </si>
  <si>
    <t>ART.EBT111404B
COMP:F:100%PL
G:100%PL
WIDTH:56/57“
WEIGHT:210G/M2</t>
  </si>
  <si>
    <t>ART.EBT10450-JR
COMP:62%PL 33%VI 5%EA
WIDTH:57/58"
WEIGHT:345G/M2</t>
  </si>
  <si>
    <t>ART.EBT130891
COMP:100%PL
WIDTH:131CM
WEIGHT:290G/M2</t>
  </si>
  <si>
    <t>ART.EBT130892
COMP:100%PL
WIDTH:131CM
WEIGHT:</t>
  </si>
  <si>
    <t>ART.EBT130910
COMP:100%PL
WIDTH:125CM
WEIGHT:</t>
  </si>
  <si>
    <t>ART.EBT150671A
COMP:70%PL 30%AF
WIDTH:57/58"
WEIGHT:590G/M</t>
  </si>
  <si>
    <t>ART.EBT150511-GT
COMP:100%PL
WIDTH:144CM
WEIGHT:165G/M2</t>
  </si>
  <si>
    <t>ART.EBT151015
COMP:100%PL
WIDTH:144CM
WEIGHT:300G/M2</t>
  </si>
  <si>
    <t>ART.EBT151018
COMP:95%PL 5%EA
WIDTH:144CM
WEIGHT:335G/M2</t>
  </si>
  <si>
    <t>ART.EBT151021
COMP:100%PL
WIDTH:
WEIGHT:</t>
  </si>
  <si>
    <t>ART.EBT151023
COMP:95%PL 5%EA
WIDTH:144CM
WEIGHT:282G/M2</t>
  </si>
  <si>
    <t>ART.EBT151016
COMP:91%PL 9%EA
WIDTH:138CM
WEIGHT:170G/M2</t>
  </si>
  <si>
    <t>ART.EBT151017
COMP:100%PL
WIDTH:145CM
WEIGHT:190G/M2</t>
  </si>
  <si>
    <t>ART.EBT151024
COMP:90%PL 9%VI 1%EA
WIDTH:144CM
WEIGHT:390G/M2</t>
  </si>
  <si>
    <t>ART.EBT151025
COMP:F:100%PU G:100%PL 
EMB:100%PL
WIDTH:127CM
WEIGHT:365G/M2</t>
  </si>
  <si>
    <t>ART.EBT151026
COMP:EMB:100%PL
G:100%PU 
WIDTH:115CM
WEIGHT:</t>
  </si>
  <si>
    <t>ART.EBT06337-JR
COMP:63%PL 33%VI 4%EA 
WIDTH:57/58"
WEIGHT:570G/M</t>
  </si>
  <si>
    <t>ART.EBT111379
COMP:45%VI 25%PL 25%PA 5%EA 
WIDTH:58"
WEIGHT:300G/M2</t>
  </si>
  <si>
    <t>ART.EBT111483
COMP:55%LI 42%VI 3%EA 
WIDTH:56/57"
WEIGHT:172G/M2</t>
  </si>
  <si>
    <t>ART.EBT120693
COMP:25%PL 75%VI
WIDTH:124CM</t>
  </si>
  <si>
    <t>ART.EBT120697
COMP:25%PL 75%VI
WIDTH:123CM</t>
  </si>
  <si>
    <t>ART.EBT120819
COMP:G:100%PA
EMB:100%CO
WIDTH:50/52"
WEIGHT:112G/M2</t>
  </si>
  <si>
    <t>ART.EBT120835
COMP:100%PL
WIDTH:138CM
WEIGHT:320G/M2</t>
  </si>
  <si>
    <t>ART.EBT120835-PRINT
COMP:100%PL
WIDTH:135CM
WEIGHT:335G/M2</t>
  </si>
  <si>
    <t>ART.EBT130007
COMP:41%PL 56%CO 3%EA
WIDTH:55/56"
WEIGHT:210G/M2</t>
  </si>
  <si>
    <t>ART.EBT130304
COMP:18%PC 82%PL
WIDTH:136CM
WEIGHT:285G/M2</t>
  </si>
  <si>
    <t>ART.EBT130544B
COMP:F:96%PL 4%EA
G:95%PL 5%EA
WIDTH:57/58''
WEIGHT:473G/M2</t>
  </si>
  <si>
    <t>ART.EBT130891
COMP:100%CO
WIDTH:131CM
WEIGHT:290G/M2</t>
  </si>
  <si>
    <t>ART.EBT140046
COMP:61%CO 38%PL 1%EA
WIDTH:55"
WEIGHT:270G/M2</t>
  </si>
  <si>
    <t>ART.EBT140120
COMP:88%PA 12%EA
WIDTH:150CM
WEIGHT:197G/M2</t>
  </si>
  <si>
    <t>ART.EBT140170
COMP:100%PL
WIDTH:57/58"
WEIGHT:237G/M2</t>
  </si>
  <si>
    <t>ART.EBT140178
COMP:100%CO
100%PL
WIDTH:57/58"
WEIGHT:380G/M2</t>
  </si>
  <si>
    <t>ART.EBT140178-POLY
COMP:F:100%PL
G:100%PL
WIDTH:55"
WEIGHT:380G/M2</t>
  </si>
  <si>
    <t>ART.EBT140178-POLY
COMP:F:100%POLY
G:100%POLY
WIDTH:55"
WEIGHT:380G/M2</t>
  </si>
  <si>
    <t>ART.EBT140254
COMP:98%CO 2%EA
WIDTH:50"
WEIGHT:270G/M2</t>
  </si>
  <si>
    <t>ART.EBT140399
COMP:G:95%PL 5%EA
F:100%PL
WIDTH:130CM
WEIGHT:330G/M2</t>
  </si>
  <si>
    <t>ART.EBT140428
COMP:100%PA
WIDTH:150CM
WEIGHT:21G/M2</t>
  </si>
  <si>
    <t>ART.EBT140479
COMP:38%PL 61%CO 1%EA
WIDTH:53"/54"
WEIGHT:250G/M2</t>
  </si>
  <si>
    <t>ART.EBT140489
COMP:62%VI 34%PA 4%EA
WIDTH:150CM
WEIGHT:320-330G/M2</t>
  </si>
  <si>
    <t>ART.EBT140492
COMP:97%PL 3%EA
WIDTH:145CM
WEIGHT:240G/M</t>
  </si>
  <si>
    <t>ART.EBT140557
COMP:90%PL 10%CO
WIDTH:55/56"
WEIGHT:289G/M2</t>
  </si>
  <si>
    <t>ART.EBT140609-H
COMP:95%PL 5%EA
WIDTH:142CM
WEIGHT:140G/M2</t>
  </si>
  <si>
    <t>ART.EBT140609-HB
COMP:95%PL 5%EA
WIDTH:142CM
WEIGHT:290/M2</t>
  </si>
  <si>
    <t>ART.EBT140662
COMP:38%PL 61%CO 1%EA
WIDTH:55"
WEIGHT:240G/M2</t>
  </si>
  <si>
    <t>ART.EBT140663
COMP:38%PL 61%CO 1%EA
WIDTH:55"
WEIGHT:245G/M2</t>
  </si>
  <si>
    <t>ART.EBT140664
COMP:38%PL 61%CO 1%EA
WIDTH:53"
WEIGHT:250G/M2</t>
  </si>
  <si>
    <t>ART.EBT140666
COMP:38%PL 61%CO 1%EA
WIDTH:54"
WEIGHT:235G/M2</t>
  </si>
  <si>
    <t>ART.EBT140667
COMP:38%PL 61%CO 1%EA
WIDTH:55"
WEIGHT:240G/M2</t>
  </si>
  <si>
    <t>ART.EBT140668
COMP:38%PL 61%CO 1%EA
WIDTH:55"
WEIGHT:235G/M2</t>
  </si>
  <si>
    <t>ART.EBT140856
COMP:76%PL 23%VI 1%EA
WIDTH:56/57"
WEIGHT:265G/M2</t>
  </si>
  <si>
    <t>ART.EBT140858
COMP:60%CO  40%PL
WIDTH:56/57"
WEIGHT:235G/M2</t>
  </si>
  <si>
    <t>ART.EBT140860
COMP:100%PL
WIDTH:57/58"
WEIGHT:197G/M2</t>
  </si>
  <si>
    <t>ART.EBT140907
COMP:29%PL 24%VI 34%PC 6%WO 7%ME
WIDTH:145CM
WEIGHT:360G/M</t>
  </si>
  <si>
    <t>ART.EBT140908
COMP:29%PL 24%VI 34%PC 6%WO 7%ME
WIDTH:145CM
WEIGHT:360G/M</t>
  </si>
  <si>
    <t>ART.EBT141017
COMP:38%PL 55%CO 7%ME
WIDTH:57/58"
WEIGHT:340G/M</t>
  </si>
  <si>
    <t>ART.EBT141030
COMP:100%PL
WIDTH:57/58"
WEIGHT:160G/M2</t>
  </si>
  <si>
    <t>ART.EBT150033
COMP:44%PL 43%VI 13%EA
WIDTH:54/55"
WEIGHT:292G/M2</t>
  </si>
  <si>
    <t>ART.EBT150051
COMP:47%PL 50%CO 3%EA
WIDTH:145CM
WEIGHT:220G/M2</t>
  </si>
  <si>
    <t>ART.EBT150239
COMP:F:100%PL 
G:95%PL 5%EA 
WIDTH:144CM
WEIGHT:373G/M2</t>
  </si>
  <si>
    <t>ART.EBT150244
COMP:F:100%PL
G:95%PL 5%EA
WIDTH:143CM
WEIGHT:525G/M2</t>
  </si>
  <si>
    <t>ART.EBT150332
COMP:82%PL 13%VI 5%EA
WIDTH:148CM
WEIGHT:380G/M2</t>
  </si>
  <si>
    <t>ART.EBT150361
COMP:100%PL
WIDTH:52/56"
WEIGHT:125G/M2</t>
  </si>
  <si>
    <t>ART.EBT150417
COMP:100%PL
WIDTH:58/59"
WEIGHT:210G/M2</t>
  </si>
  <si>
    <t>ART.EBT150469
COMP:100%PL
100%PU
WIDTH:118CM
WEIGHT:</t>
  </si>
  <si>
    <t>ART.EBT150473
COMP:38%PL 61%CO 1%EA
WIDTH:55"
WEIGHT:238G/M2</t>
  </si>
  <si>
    <t>ART.EBT150477
COMP:44%PL 56%PC
WIDTH:55"
WEIGHT:288G/M2</t>
  </si>
  <si>
    <t>ART.EBT150478
COMP:44%PL 56%PC
WIDTH:55"
WEIGHT:285G/M2</t>
  </si>
  <si>
    <t>ART.EBT150479
COMP:44%PL 56%PC
WIDTH:55"
WEIGHT:288G/M2</t>
  </si>
  <si>
    <t>ART.EBT150483
COMP:83%PL 15%VI 2%EA
WIDTH:155CM
WEIGHT:360G/M2</t>
  </si>
  <si>
    <t>ART.EBT150486
COMP:98%PL 2%EA
WIDTH:150CM
WEIGHT:330G/M2</t>
  </si>
  <si>
    <t>ART.EBT150511
COMP:100%PL
WIDTH:150CM
WEIGHT:175G/M2</t>
  </si>
  <si>
    <t>ART.EBT150513
COMP:100%PL
WIDTH:150CM
WEIGHT:300G/M2</t>
  </si>
  <si>
    <t>ART.EBT150558
COMP:F:60%CO 40%PA
G:100%PL
WIDTH:57/58"
WEIGHT:280G/M2</t>
  </si>
  <si>
    <t>ART.EBT150587-AD
COMP:100%PL
WIDTH:120CM
WEIGHT:299G/M</t>
  </si>
  <si>
    <t>ART.EBT150599
COMP:100%PL
WIDTH:125CM
WEIGHT:268G/M2</t>
  </si>
  <si>
    <t>ART.EBT150622-JR
COMP:EMB:100%PU 
G:100%PL
WIDTH:130CM
WEIGHT:</t>
  </si>
  <si>
    <t>ART.EBT150622-JR
COMP:EMB:100%PL
G:100%PL
WIDTH:130CM
WEIGHT:</t>
  </si>
  <si>
    <t>ART.EBT150626B-JR
COMP:EMB:100%PU 
G:100%PL
WIDTH:130CM
WEIGHT:</t>
  </si>
  <si>
    <t>ART.EBT150631
COMP:F:100%PL
G:95%PL 5%EA
WIDTH:57/58"
WEIGHT:660G/M2</t>
  </si>
  <si>
    <t>ART.EBT150634
COMP:F:100%PL
G:95%PL 5%EA
WIDTH:57/58"
WEIGHT:694G/M2</t>
  </si>
  <si>
    <t>ART.EBT150642-PS
COMP:20%PL 80%CO
WIDTH:144CM
WEIGHT:135G/M2</t>
  </si>
  <si>
    <t>ART.EBT150655
COMP:100%PL
WIDTH:135CM
WEIGHT:300G/M2</t>
  </si>
  <si>
    <t>ART.EBT150662
COMP:100%PL
WIDTH:130CM
WEIGHT:165G/M2</t>
  </si>
  <si>
    <t>ART.EBT150667
COMP:100%PL
WIDTH:130CM
WEIGHT:</t>
  </si>
  <si>
    <t>ART.EBT150674
COMP:60%CO 37%PL 3%EA
WIDTH:155CM
WEIGHT:320G/M2</t>
  </si>
  <si>
    <t>ART.EBT150686
COMP:100%PL
WIDTH:150CM
WEIGHT:140G/M2</t>
  </si>
  <si>
    <t>ART.EBT150694
COMP:100%PL
WIDTH:130CM
WEIGHT:225G/M2</t>
  </si>
  <si>
    <t>ART.EBT150706
COMP:10%WO 90%SYNTHETIC
WIDTH:57/58"
WEIGHT:690G/M</t>
  </si>
  <si>
    <t>ART.EBT150730
COMP:100%PL
WIDTH:125CM
WEIGHT:230G/M2</t>
  </si>
  <si>
    <t>ART.EBT150731
COMP:100%PL
WIDTH:125CM
WEIGHT:280G/M2</t>
  </si>
  <si>
    <t>ART.EBT150732
COMP:100%PL
WIDTH:125CM
WEIGHT:360G/M2</t>
  </si>
  <si>
    <t>ART.EBT150778
COMP:95%PL 5%EA +100%PL
WIDTH:140cm
WEIGHT:</t>
  </si>
  <si>
    <t>ART.EBT150779-B
COMP:97%PL 3%EA
WIDTH:144cm
WEIGHT:360G/M2</t>
  </si>
  <si>
    <t>ART.EBT150860
COMP:95%PL 5%EA
WIDTH:135CM
WEIGHT:353G/M2</t>
  </si>
  <si>
    <t>ART.EBT150861
COMP:Coating:100%PU
G:100%PL
WIDTH:CM:123CM
WEIGHT:</t>
  </si>
  <si>
    <t>ART.EBT150869
COMP:G:100%PL FLOWER:100%PU
WIDTH:126CM
WEIGHT:</t>
  </si>
  <si>
    <t>ART.EBT150892
COMP:F:100%PU G:100%PL
WIDTH:126CM
WEIGHT:365G/M2</t>
  </si>
  <si>
    <t>ART.EBT150896
COMP:100%PL
WIDTH:144CM
WEIGHT:135G/M2</t>
  </si>
  <si>
    <t>ART.EBT150924
COMP:90%PL 6%VI 4%EA
WIDTH:62"
WEIGHT:390G/M2</t>
  </si>
  <si>
    <t>ART.EBT150925
COMP:87%PL 10%VI 3%EA
WIDTH:62"
WEIGHT:360G/M2</t>
  </si>
  <si>
    <t>ART.EBT150947
COMP:95%PL 5%EA
WIDTH:145CM
WEIGHT:168G/M2</t>
  </si>
  <si>
    <t>ART.EBT150948
COMP:95%PL 5%EA
WIDTH:145CM
WEIGHT:167G/M2</t>
  </si>
  <si>
    <t>ART.EBT150949
COMP:95%PL 5%EA
WIDTH:128CM
WEIGHT:272G/M2</t>
  </si>
  <si>
    <t>ART.EBT150950
COMP:95%PL 5%EA
WIDTH:128CM
WEIGHT:260G/M2</t>
  </si>
  <si>
    <t>ART.EBT150958
COMP:95%PL 5%EA
WIDTH:126CM
WEIGHT:300G/M2</t>
  </si>
  <si>
    <t>ART.EBT150961
COMP:F:100%PU G:100%PL
WIDTH:128CM
WEIGHT:441G/M2</t>
  </si>
  <si>
    <t>ART.EBT150962
COMP:100%PL
WIDTH:122CM
WEIGHT:285G/M2</t>
  </si>
  <si>
    <t>ART.EBT150963
COMP:100%PL
WIDTH:122CM
WEIGHT:290G/M2</t>
  </si>
  <si>
    <t>ART.EBT150995
COMP:F:100%PL G:100%PL
WIDTH:128CM
WEIGHT:</t>
  </si>
  <si>
    <t>ART.EBT150996
COMP:F:100%PL G:100%PL
WIDTH:129CM
WEIGHT:</t>
  </si>
  <si>
    <t>ART.EBT150997
COMP:F:100%PL G:100%PL
WIDTH:130CM 
WEIGHT:</t>
  </si>
  <si>
    <t>ART.EBT150998
COMP:F:100%PL G:100%PL
WIDTH:124CM
WEIGHT:</t>
  </si>
  <si>
    <t>ART.EBT151014
COMP:90%PL 10%EA
WIDTH:145CM
WEIGHT:435G/M2</t>
  </si>
  <si>
    <t>ART.EBT250007
COMP:52%LI 45%VI 3%EA
WIDTH:145CM
WEIGHT:215G/M2</t>
  </si>
  <si>
    <t>ART.EBT250010
COMP:85.9%PL 14.1%EA
WIDTH:152CM
WEIGHT:320G/M2</t>
  </si>
  <si>
    <t>ART.EBT250011
COMP:30%WO 70%PL
WIDTH:150CM
WEIGHT:638G/M2</t>
  </si>
  <si>
    <t>ART.EBT250012
COMP:40%WO 60%PL
WIDTH:145CM
WEIGHT:480G/M2</t>
  </si>
  <si>
    <t>ART.EBT250032
COMP:F:95%PA 5%EA
 G:95%PL 5%EA
WIDTH:141CM
WEIGHT:373G/M2</t>
  </si>
  <si>
    <t>ART.EBT250033
COMP:F:100%PA 
G:95%PL 5%EA
WIDTH:134CM
WEIGHT:382G/M2</t>
  </si>
  <si>
    <t>ART.EBT250034
COMP:F:95%PA 5%EA
G:95%PL 5%EA
WIDTH:146CM
WEIGHT:355G/M2</t>
  </si>
  <si>
    <t>ART.EBT250075
COMP:50%WO 50%PL 
WIDTH:57/58"
WEIGHT:430G/M2</t>
  </si>
  <si>
    <t>ART.EBT250080
COMP:F:100%PL G:95%PL 5%EA
WIDTH:45/46"
WEIGHT:370G/M2</t>
  </si>
  <si>
    <t>ART.EBT250103
COMP:72%PL 22%VI 6%EA
WIDTH:57/58"
WEIGHT:310G/M2</t>
  </si>
  <si>
    <t>ART.EBT250310
COMP:40% WO 60%AF
WIDTH:57/58"
WEIGHT:600G/ML</t>
  </si>
  <si>
    <t>ART.EBT250332
COMP:100%CO
WIDTH:132CM
WEIGHT:</t>
  </si>
  <si>
    <t>ART.EBT250333
COMP:100%CO
WIDTH:132CM
WEIGHT:</t>
  </si>
  <si>
    <t>ART.EBT250335
COMP:100%CO
WIDTH:125CM
WEIGHT:</t>
  </si>
  <si>
    <t>ART.EBT250336
COMP:100%CO
WIDTH:125CM
WEIGHT:</t>
  </si>
  <si>
    <t>ART.EBT250337
COMP:100%CO
WIDTH:125CM
WEIGHT:</t>
  </si>
  <si>
    <t>ART.EBT250338
COMP:100%CO
WIDTH:125CM
WEIGHT:</t>
  </si>
  <si>
    <t>ART.EBT250339
COMP:100%CO 
WIDTH:130CM
WEIGHT:</t>
  </si>
  <si>
    <t>ART.EBT250491
COMP:G:55%VI 45%PL
EMB:100%CO
WIDTH:120CM
WEIGHT:</t>
  </si>
  <si>
    <t>ART.EBT250492
COMP:G:65%PL 35%VI
EMB:100%CO
WIDTH:120CM
WEIGHT:</t>
  </si>
  <si>
    <t>ART.EBT91364
COMP:100%PU+100%PL
WIDTH:135CM</t>
  </si>
  <si>
    <t>ART.EBT150625-JR
COMP:F:92%PL 8%EA
G:100%PL EMB:100%PL
WIDTH:128CM
WEIGHT:232G/M2</t>
  </si>
  <si>
    <t>ART.EBT150558-JR
COMP:F:45%CO 45%PA 10%VI
G:100%PL
WIDTH:130CM
WEIGHT:260G/M2</t>
  </si>
  <si>
    <t>ART.EBT250550
COMP:92%PL 8%EA
WIDTH:58"</t>
  </si>
  <si>
    <t>ART.EBT250551
COMP:86%PL 14%EA
WIDTH:59"</t>
  </si>
  <si>
    <t>ART.EBT120835-PRINT
COMP:100%PL
WIDTH:135CM
WEIGHT:380G/M2+/-5%</t>
  </si>
  <si>
    <t>ART.EBT150502-B-PS
COMP:100%PL
100%PU
WIDTH:115CM
WEIGHT:</t>
  </si>
  <si>
    <t>ART.EBT250496
COMP:52%PL 48%CO
WIDTH:
WEIGHT:</t>
  </si>
  <si>
    <t>ART.EBT250497
COMP:52%PL 48%CO
WIDTH:
WEIGHT:</t>
  </si>
  <si>
    <t>ART.EBT250499
COMP:100% CO
WIDTH:130CM
WEIGHT:</t>
  </si>
  <si>
    <t>ART.EBT250500
COMP:100% CO
WIDTH:130CM
WEIGHT:</t>
  </si>
  <si>
    <t>ART.EBT250510
COMP:100%CO
WIDTH:130CM
WEIGHT:</t>
  </si>
  <si>
    <t>ART.EBT250511
COMP:100%CO
WIDTH:130CM
WEIGHT:</t>
  </si>
  <si>
    <t>ART.EBT250512
COMP:100%CO
WIDTH:132CM
WEIGHT:</t>
  </si>
  <si>
    <t>ART.EBT250513
COMP:100%CO
WIDTH:130CM
WEIGHT:</t>
  </si>
  <si>
    <t>ART.EBT250514
COMP:100%CO
WIDTH:130CM
WEIGHT:</t>
  </si>
  <si>
    <t>ART.EBT250515
COMP:100%CO
WIDTH:130CM
WEIGHT:</t>
  </si>
  <si>
    <t>ART.EBT250516
COMP:100%CO
WIDTH:130CM
WEIGHT:</t>
  </si>
  <si>
    <t>ART.EBT250517
COMP:100%CO
WIDTH:130CM
WEIGHT:</t>
  </si>
  <si>
    <t>ART.EBT250518
COMP:100%CO
WIDTH:130CM
WEIGHT:</t>
  </si>
  <si>
    <t>ART.EBT250519
COMP:100%CO
WIDTH:130CM
WEIGHT:</t>
  </si>
  <si>
    <t>ART.EBT250520
COMP:100%CO
WIDTH:130CM
WEIGHT:</t>
  </si>
  <si>
    <t>ART.EBT250521
COMP:100%CO
WIDTH:130CM
WEIGHT:</t>
  </si>
  <si>
    <t>ART.EBT250522
COMP:100%CO
WIDTH:130CM
WEIGHT:</t>
  </si>
  <si>
    <t>ART.EBT250523
COMP:100%CO
WIDTH:130CM
WEIGHT:</t>
  </si>
  <si>
    <t>ART.EBT250524
COMP:100%CO
WIDTH:130CM
WEIGHT:</t>
  </si>
  <si>
    <t>ART.EBT250525
COMP:100%PA EMB:100% PL
WIDTH:125CM
WEIGHT:</t>
  </si>
  <si>
    <t>ART.EBT250526
COMP:100%PA EMB:100% PL
WIDTH:125CM
WEIGHT:</t>
  </si>
  <si>
    <t>ART.EBT250527
COMP:100%PA EMB:100% PL
WIDTH:125CM
WEIGHT:</t>
  </si>
  <si>
    <t>ART.EBT250528
COMP:100%PA EMB:100% PL
WIDTH:125CM
WEIGHT:</t>
  </si>
  <si>
    <t>ART.EBT250529
COMP:100%PA EMB:100% PL
WIDTH:125CM
WEIGHT:</t>
  </si>
  <si>
    <t>ART.EBT250530
COMP:100%PA EMB:100% PL
WIDTH:125CM
WEIGHT:</t>
  </si>
  <si>
    <t>ART.EBT250531
COMP:100%PA EMB:100% PL
WIDTH:125CM
WEIGHT:</t>
  </si>
  <si>
    <t>ART.EBT250532
COMP:100%PA EMB:100% PL
WIDTH:125CM
WEIGHT:</t>
  </si>
  <si>
    <t>ART.EBT250533
COMP:100%PA EMB:100% PL
WIDTH:125CM
WEIGHT:</t>
  </si>
  <si>
    <t>ART.EBT250534
COMP:100%PA EMB:100% PL
WIDTH:125CM
WEIGHT:</t>
  </si>
  <si>
    <t>ART.EBT250535
COMP:100%PA EMB:100% PL
WIDTH:125CM
WEIGHT:</t>
  </si>
  <si>
    <t>ART.EBT250536
COMP:100%PA EMB:100% PL
WIDTH:125CM
WEIGHT:</t>
  </si>
  <si>
    <t>ART.EBT250541
COMP:98%WO 2%EA 
WIDTH:149CM
WEIGHT:255G/ML</t>
  </si>
  <si>
    <t>ART.EBT250543A
COMP:52%WO 10%WM 26%CO 12%PA
WIDTH:150cm
WEIGHT:580G/ML</t>
  </si>
  <si>
    <t>ART.EBT250543B
COMP:52%WO 10%WM 26%CO 12%PA 
WIDTH:150cm
WEIGHT:580G/ML</t>
  </si>
  <si>
    <t>ART.EBT150428-JR
COMP:100%PL
WIDTH:125CM
WEIGHT:455G/M2</t>
  </si>
  <si>
    <t>ART.EBT150694-JR
COMP:100%PL
WIDTH:130CM
WEIGHT:195G/M2</t>
  </si>
  <si>
    <t>ART.EBT151028
COMP:F:50%PC 50%PL G:100%PL
WIDTH:150CM
WEIGHT:320G/M2320G/M2</t>
  </si>
  <si>
    <t>ART.EBT151029
COMP:100%PL
WIDTH:150CM
WEIGHT:260G/M2260G/M2</t>
  </si>
  <si>
    <t>ART.EBT151030
COMP:48%PL 52%CO
WIDTH:137CM
WEIGHT:180M/M2320G/M2</t>
  </si>
  <si>
    <t>ART.EBT151031
COMP:70%PL 22%AC 8%METALIC
WIDTH:142CM
WEIGHT:208G/M2</t>
  </si>
  <si>
    <t>ART.EBT151032
COMP:67%PL 28%CO 5%METALIC
WIDTH:142CM
WEIGHT:233G/M2</t>
  </si>
  <si>
    <t>ART.EBT151033
COMP:62%PL 38%METALIC
WIDTH:142CM
WEIGHT:140G/M2</t>
  </si>
  <si>
    <t>ART.EBT151034
COMP:67%PL 33%METALIC
WIDTH:137CM
WEIGHT:154G/M2</t>
  </si>
  <si>
    <t>ART.EBT151035
COMP:46%PL 40%CO 14%METALIC
WIDTH:137CM
WEIGHT:165G/M2</t>
  </si>
  <si>
    <t>ART.EBT151036
COMP:32%PL 12%METALIC 31%VI 25%CO
WIDTH:137CM
WEIGHT:219G/M2</t>
  </si>
  <si>
    <t>ART.EBT151037
COMP:88%PL 12%METALIC
WIDTH:139CM
WEIGHT:185G/M2</t>
  </si>
  <si>
    <t>ART.EBT150502B-PS
COMP:100%PL 100%PU
WIDTH:115CM
WEIGHT:</t>
  </si>
  <si>
    <t>ART.EBT151038
COMP:91%PL 9%EA
WIDTH:148CM
WEIGHT:85G/M2320G/M2</t>
  </si>
  <si>
    <t>ART.EBT150875-Print 
COMP:F:95%PL 5%EA
G:95%PL 5%EA
WIDTH:142CM
WEIGHT:440G/M2</t>
  </si>
  <si>
    <t>ART.EBTBRT995-Print
COMP:F:95%PL 5%EA
G:95%PL 5%EA
WIDTH:142CM
WEIGHT:440G/M2</t>
  </si>
  <si>
    <t>ART.EBT151027
COMP:100%VI
WIDTH:132CM
WEIGHT:200G/M2</t>
  </si>
  <si>
    <t>ART.EBT151040
COMP:90%PL 6%VI 4%EA 
WIDTH:145CM
WEIGHT:370G/M2</t>
  </si>
  <si>
    <t>ART.EBT151045
COMP:98%POLY 2%EA
WIDTH:146CM
WEIGHT:270G/M2</t>
  </si>
  <si>
    <t>ART.EBT151042
COMP:50%WO 50%PL
WIDTH:137CM
WEIGHT:450G/M2</t>
  </si>
  <si>
    <t>ART.EBT151049
COMP:100%C
WIDTH:125CM
WEIGHT:170G/M2</t>
  </si>
  <si>
    <t>ART.EBT151050
COMP:F:100%PL G:100%PL
WIDTH:142CM
WEIGHT:420G/M2</t>
  </si>
  <si>
    <t>ART.EBTBRT1056
COMP:20%WO 30%PA 50%PL
WIDTH:138CM
WEIGHT:260G/M2</t>
  </si>
  <si>
    <t>ART.EBTBRT1057
COMP:20%WO 30%PA 51%PL
WIDTH:145CM
WEIGHT:240G/M2</t>
  </si>
  <si>
    <t>ART.EBTBRT1054
COMP:20%WO 30%PA 52%PL
WIDTH:150CM
WEIGHT:260G/M2</t>
  </si>
  <si>
    <t>ART.EBTBRT1055
COMP:20%WO 30%PA 53%PL
WIDTH:148CM
WEIGHT:270G/M2</t>
  </si>
  <si>
    <t>ART.EBT130509
COMP:60%PA 40%VI
WIDTH:141CM
WEIGHT:</t>
  </si>
  <si>
    <t>ART.EBT120691
COMP:58%PL 39%CO 3%EA
WIDTH:145CM
WEIGHT:170G/M2</t>
  </si>
  <si>
    <t>ART.EBT151056
COMP:F:100%PL G:100%PL
WIDTH:142CM
WEIGHT:310G/M2</t>
  </si>
  <si>
    <t>ART.EBT151057
COMP:100%PA
WIDTH:125CM
WEIGHT:116G/M2</t>
  </si>
  <si>
    <t>ART.EBT151058
COMP:97%PL3%EA
WIDTH:130CM
WEIGHT:</t>
  </si>
  <si>
    <t>ART.EBT151059
COMP:97%PL3%EA
WIDTH:130CM
WEIGHT:</t>
  </si>
  <si>
    <t>ART.EBT151060
COMP:97%PL3%EA
WIDTH:130CM
WEIGHT:</t>
  </si>
  <si>
    <t>ART.EBT151061
COMP:100%POLY
WIDTH:136CM
WEIGHT:195G/M2</t>
  </si>
  <si>
    <t>ART.EBT130898
COMP:G:100%POLY
WIDTH:135CM
WEIGHT:409G/M2</t>
  </si>
  <si>
    <t>ART.EBT151064
COMP:G:100%PL FUR:100%PC
WIDTH:172CM
WEIGHT:2500G/M</t>
  </si>
  <si>
    <t>ART.EBT151066
COMP:95%POLY 5%SEA
WIDTH:142CM
WEIGHT:230G/M2</t>
  </si>
  <si>
    <t>ART.EBT151068
COMP:80%WO 20%WS
WIDTH:145CM
WEIGHT:370G/M2</t>
  </si>
  <si>
    <t>ART.EBT151071
COMP:100%PL
WIDTH:145CM
WEIGHT:210G/M2</t>
  </si>
  <si>
    <t>ART.EBT151079
COMP:F:97%PL 3%EA G:100%PL 
WIDTH:144CM
WEIGHT:285G/M2</t>
  </si>
  <si>
    <t>ART.EBT151080
COMP:F:95%PL 5%EA G:70%PL 30%VI
WIDTH:144CM
WEIGHT:448G/M2</t>
  </si>
  <si>
    <t>ART.EBT250545
COMP:F:50%CO,50%PU G:40%WO,60%PL
WIDTH:136CM
WEIGHT:510G/M2</t>
  </si>
  <si>
    <t>ART.EBT250546
COMP:F:50%CO,50%PU G:40%WO,60%PL
WIDTH:135CM
WEIGHT:507G/M2</t>
  </si>
  <si>
    <t>ART.EBT250547
COMP:F:50%CO,50%PU G:40%WO,60%PL
WIDTH:133CM
WEIGHT:498G/M2</t>
  </si>
  <si>
    <t>ART.EBT250548
COMP:F:100%PL G:40%WO,60%PL
WIDTH:125CM
WEIGHT:441G/M2</t>
  </si>
  <si>
    <t>ART.EBT250549A
COMP:25%PA 75%VI EMB:100%CO 
WIDTH:125CM
WEIGHT:</t>
  </si>
  <si>
    <t>ART.EBT250549B
COMP:25%PA 75%VI EMB:100%CO 
WIDTH:125CM
WEIGHT:</t>
  </si>
  <si>
    <t>ART.EBT250550
COMP:92%PL 8%EA
WIDTH:149CM
WEIGHT:</t>
  </si>
  <si>
    <t>ART.EBT250551
COMP:86%PL 14%EA 
WIDTH:59"
WEIGHT:</t>
  </si>
  <si>
    <t>ART.EBT250552
COMP:25%PA 75%VI
WIDTH:135CM
WEIGHT:65G/M2</t>
  </si>
  <si>
    <t>ART.EBT250553
COMP:F:95%PL5%EA;G:95%PL5%EA
WIDTH:148CM
WEIGHT:465G/M2</t>
  </si>
  <si>
    <t>ART.EBT250554
COMP:F:95%PL5%EA;G:95%PL5%EA
WIDTH:148CM
WEIGHT:465G/M2</t>
  </si>
  <si>
    <t>ART.EBT250555
COMP:18%WM 30%WO 32%CO 20%PA
WIDTH:150CM
WEIGHT:388G/M2</t>
  </si>
  <si>
    <t>ART.EBT250556
COMP:18%WM 30%WO 32%CO 20%PA
WIDTH:150CM
WEIGHT:414G/M2</t>
  </si>
  <si>
    <t>ART.EBT250557
COMP:55%WO 36%CO 9%PA DOBBY 
WIDTH:150CM
WEIGHT:373G/M2</t>
  </si>
  <si>
    <t>ART.EBT250558
COMP:25%PA 75%VI 
WIDTH:114CM
WEIGHT:</t>
  </si>
  <si>
    <t>ART.EBT250559
COMP:25%PA 75%VI 
WIDTH:114CM
WEIGHT:</t>
  </si>
  <si>
    <t>ART.EBT250560
COMP:25%PA 75%VI 
WIDTH:114CM
WEIGHT:</t>
  </si>
  <si>
    <t>ART.EBT250561
COMP:52%PL 48%CO
WIDTH:148CM
WEIGHT:205G/M2</t>
  </si>
  <si>
    <t>ART.EBT250562
COMP:52%WO 10%WM 26%CO 12%PA 
WIDTH:150CM
WEIGHT:378G/M2</t>
  </si>
  <si>
    <t>ART.EBT250563
COMP:20%WO 80%PL
WIDTH:150CM
WEIGHT:600G/M</t>
  </si>
  <si>
    <t>ART.EBT250564
COMP:F:64%PL 33%VI 3%EA G:100%PL
WIDTH:147CM
WEIGHT:547G/M2</t>
  </si>
  <si>
    <t>ART.EBT250565
COMP:F:64%PL 33%VI 3%EA G:100%PL
WIDTH:147CM
WEIGHT:553G/M2</t>
  </si>
  <si>
    <t>ART.EBT250566
COMP:F:90%PL 5%VI 5%EA G:100%PL
WIDTH:150CM
WEIGHT:500G/M2</t>
  </si>
  <si>
    <t>ART.EBT250567
COMP:40%WO 60%VI BOLL WOOL
WIDTH:130CM
WEIGHT:446G/M2</t>
  </si>
  <si>
    <t>ART.EBT250569
COMP:100%WO 
WIDTH:130CM
WEIGHT:406G/M2</t>
  </si>
  <si>
    <t>ART.EBT250570
COMP:92%PL 8%EA
WIDTH:58"
WEIGHT:</t>
  </si>
  <si>
    <t>ART.EBT250571
COMP:92%PL 8%EA
WIDTH:145CM
WEIGHT:150G/M2</t>
  </si>
  <si>
    <t>ART.EBT250572
COMP:64%PL 34%VI 2%EA
WIDTH:142CM
WEIGHT:220G/M2</t>
  </si>
  <si>
    <t>ART.EBT250573
COMP:59%PL 40%PC 1%EA
WIDTH:139CM
WEIGHT:325G/M2</t>
  </si>
  <si>
    <t>ART.EBT250574
COMP:F:100%OTHER G:100%PL
WIDTH:145CM
WEIGHT:497G/M2</t>
  </si>
  <si>
    <t>ART.EBT250575
COMP:99%CO 1%EA
WIDTH:145CM
WEIGHT:212G/M2</t>
  </si>
  <si>
    <t>ART.EBT250576
COMP:30%WOL 70%PL
WIDTH:150CM
WEIGHT:371G/M2</t>
  </si>
  <si>
    <t>ART.EBT250577
COMP:30%WOL 70%PL
WIDTH:150CM
WEIGHT:362G/M2</t>
  </si>
  <si>
    <t>ART.EBT250578
COMP:60%PL 39%CO 1%EA
WIDTH:124CM
WEIGHT:280G/M2</t>
  </si>
  <si>
    <t>ART.EBT250579
COMP:70%PL 30%VI
WIDTH:145CM
WEIGHT:186G/M2</t>
  </si>
  <si>
    <t>ART.EBT250580
COMP:50%PL 48%VI 2%EA
WIDTH:173CM
WEIGHT:303G/M2</t>
  </si>
  <si>
    <t>ART.EBT250581
COMP:100%PL
WIDTH:114CM
WEIGHT:240G/M2</t>
  </si>
  <si>
    <t>ART.EBT250582
COMP:63%PL 33%VI 4%EA
WIDTH:147CM
WEIGHT:355G/M2</t>
  </si>
  <si>
    <t>ART.EBT250583
COMP:41%PL 56%CO 3%EA
WIDTH:155CM
WEIGHT:300G/M2</t>
  </si>
  <si>
    <t>ART.EBT250584
COMP:69%PL 7%WO 9%PC 15%VI
WIDTH:142CM
WEIGHT:225G/M2</t>
  </si>
  <si>
    <t>ART.EBT250585
COMP:98%PL 2%EA
WIDTH:150CM
WEIGHT:290G/M2</t>
  </si>
  <si>
    <t>ART.EBT250586
COMP:98%PL 2%EA
WIDTH:165CM
WEIGHT:380G/M2</t>
  </si>
  <si>
    <t>ART.EBT250587
COMP:64%PL 34%VI 2%EA
WIDTH:145CM
WEIGHT:240G/M2</t>
  </si>
  <si>
    <t>ART.EBT250588
COMP:64%PL 34%VI 2%EA
WIDTH:145CM
WEIGHT:258G/M2</t>
  </si>
  <si>
    <t>ART.EBT250589
COMP:37%PL 59%CO 4%EA
WIDTH:145CM
WEIGHT:236G/M2</t>
  </si>
  <si>
    <t>ART.EBT250590
COMP:85%PL 13%VI 2%EA
WIDTH:145CM
WEIGHT:250G/M2</t>
  </si>
  <si>
    <t>ART.EBT250591
COMP:64%PL 34%VI 2%EA
WIDTH:145CM
WEIGHT:202G/M2</t>
  </si>
  <si>
    <t>ART.EBT250592
COMP:64%PL 34%VI 2%EA
WIDTH:145CM
WEIGHT:344G/M2</t>
  </si>
  <si>
    <t>ART.EBT250593
COMP:100%PL
WIDTH:145CM
WEIGHT:310G/M2</t>
  </si>
  <si>
    <t>ART.EBT250594
COMP:68%PL 19%VI 9%WO 4%EA
WIDTH:142CM
WEIGHT:284G/M2</t>
  </si>
  <si>
    <t xml:space="preserve">ART.EBT250595
COMP:100%CO 
WIDTH:147CM
WEIGHT:240G/M2  </t>
  </si>
  <si>
    <t>ART.EBT250596
COMP:63%PL 34%VI 3%EA
WIDTH:145CM
WEIGHT:309G/M2</t>
  </si>
  <si>
    <t>ART.EBT250597
COMP:63%PL 34%VI 3%EA DOUBLE F 
WIDTH:145CM
WEIGHT:373G/M2</t>
  </si>
  <si>
    <t>ART.EBT250598
COMP:63%PL 34%VI 3%EA 
WIDTH:145CM
WEIGHT:192G/M2</t>
  </si>
  <si>
    <t>ART.EBT250599
COMP:70%PL 25%CO 5%EA
WIDTH:150CM
WEIGHT:226G/M2</t>
  </si>
  <si>
    <t>ART.EBT250600
COMP:100%PL
WIDTH:147CM
WEIGHT:314G/M2</t>
  </si>
  <si>
    <t>ART.EBT250602
COMP:79%PL 18%CO 3%EA
WIDTH:140CM
WEIGHT:316G/M</t>
  </si>
  <si>
    <t>ART.EBT250603
COMP:64%PL 33% VI 3%EA HOCND-TOOTH
WIDTH:142CM
WEIGHT:285G/M2</t>
  </si>
  <si>
    <t>ART.EBT250604
COMP:63%PL 33% VI 4% EA 
WIDTH:142CM
WEIGHT:219G/M2</t>
  </si>
  <si>
    <t>ART.EBT250605
COMP:63%PL 33% VI 4% EA 
WIDTH:145CM
WEIGHT:220G/M2</t>
  </si>
  <si>
    <t xml:space="preserve">ART.EBT250606
COMP:30%WO 70%PL
WIDTH:145CM
WEIGHT:450G/M2 </t>
  </si>
  <si>
    <t>ART.EBT250607
COMP:PL+EA
WIDTH:
WEIGHT:</t>
  </si>
  <si>
    <t>ART.EBT250608
COMP:69%CO 20%PL 11%VI
WIDTH:145CM
WEIGHT:262G/M2</t>
  </si>
  <si>
    <t>ART.EBT250609
COMP:50%WO 50%PL
WIDTH:145CM
WEIGHT:385G/M2</t>
  </si>
  <si>
    <t>ART.EBT250610
COMP:100%PL
WIDTH:137CM
WEIGHT:800G/M</t>
  </si>
  <si>
    <t>ART.EBT250611
COMP:F:100%PC G:100% POLY
WIDTH:150CM
WEIGHT:580G/M</t>
  </si>
  <si>
    <t>ART.EBT250612
COMP:100%PL
WIDTH:150CM
WEIGHT:750G/M</t>
  </si>
  <si>
    <t>ART.EBT250613
COMP:100%PL
WIDTH:137CM
WEIGHT:800G/M</t>
  </si>
  <si>
    <t>ART.EBT250614
COMP:58%WO 17%PL 25%PC
WIDTH:150CM
WEIGHT:750G/M</t>
  </si>
  <si>
    <t>ART.EBT250615
COMP:100%AC
WIDTH:135CM 
WEIGHT:560G/M2</t>
  </si>
  <si>
    <t>ART.EBT250616
COMP:98%PL 2%EA
WIDTH:146CM
WEIGHT:270G/M2</t>
  </si>
  <si>
    <t>ART.EBT250617
COMP:79.5%PL 17.5%VI 3%EA
WIDTH:152CM
WEIGHT:443G/M2</t>
  </si>
  <si>
    <t>ART.EBT250618
COMP:66.7%PL 37.8%VI 4.5%EA
WIDTH:166CM
WEIGHT:410G/M2</t>
  </si>
  <si>
    <t>ART.EBT250619
COMP:85%PC 9%PA 6%EA
WIDTH:180CM
WEIGHT:305G/M2</t>
  </si>
  <si>
    <t>ART.EBT250620
COMP:95%PL 5%EA
WIDTH:165CM
WEIGHT:340G/M2</t>
  </si>
  <si>
    <t>ART.EBT250621
COMP:95%PL 5%EA
WIDTH:152CM
WEIGHT:307G/M2</t>
  </si>
  <si>
    <t>ART.EBT250622
COMP:97%CO 3%EA
WIDTH:145CM
WEIGHT:218G/M2</t>
  </si>
  <si>
    <t>ART.EBT250623
COMP:30%WO 70%OTHER
WIDTH:145CM
WEIGHT:530G/M</t>
  </si>
  <si>
    <t>ART.EBT250624
COMP:70%PL 30%VI
WIDTH:175CM
WEIGHT:265G/M2</t>
  </si>
  <si>
    <t>ART.EBT250625
COMP:98%PL 2%EA
WIDTH:160CM
WEIGHT:233G/M2</t>
  </si>
  <si>
    <t>ART.EBT250626
COMP:65%PL 35%VI
WIDTH:145CM
WEIGHT:350G/M2</t>
  </si>
  <si>
    <t>ART.EBT250628
COMP:F:10%WO 90%PL G:65%PL 35%VI 
WIDTH:150CM
WEIGHT:480G/M2</t>
  </si>
  <si>
    <t>ART.EBT250629
COMP:F:10%WO 90%PL G:100%PL
WIDTH:150CM
WEIGHT:574G/M2</t>
  </si>
  <si>
    <t>ART.EBT250632
COMP:100%VI PRINT FARIC 
WIDTH:130CM
WEIGHT:134G/M2</t>
  </si>
  <si>
    <t>ART.EBT250633
COMP:100%VI
WIDTH:135CM
WEIGHT:82G/M2</t>
  </si>
  <si>
    <t>ART.EBT250637
COMP:100%VI
WIDTH:120-125CM
WEIGHT:60G/M2</t>
  </si>
  <si>
    <t>ART.EBT250638
COMP:100%VI
WIDTH:138CM
WEIGHT:204G/M2</t>
  </si>
  <si>
    <t>ART.EBT250640
COMP:100%VI
WIDTH:138-140CM
WEIGHT:123G/M2</t>
  </si>
  <si>
    <t>ART.EBT250642
COMP:100%PL 
WIDTH:145CM
WEIGHT:223G/M2</t>
  </si>
  <si>
    <t>ART.EBT250643
COMP:100%PL 
WIDTH:130CM
WEIGHT:200G/M2</t>
  </si>
  <si>
    <t>ART.EBT250644
COMP:100%PL 
WIDTH:145CM
WEIGHT:211G/M2</t>
  </si>
  <si>
    <t>ART.EBT250645
COMP:80%VI 20%PL
WIDTH:165CM
WEIGHT:120G/M2</t>
  </si>
  <si>
    <t>ART.EBT250646
COMP:100%PL
WIDTH:150CM
WEIGHT:77G/M2</t>
  </si>
  <si>
    <t>ART.EBT250647
COMP:97%PL  3%EA
WIDTH:145CM
WEIGHT:166G/M2</t>
  </si>
  <si>
    <t>ART.EBT250648
COMP:48%PL 48%CO 4%EA
WIDTH:150CM
WEIGHT:180G/M2</t>
  </si>
  <si>
    <t>ART.EBT250649
COMP:C/T=65/35 BURN OUT 
WIDTH:157CM
WEIGHT:125G/M2</t>
  </si>
  <si>
    <t>ART.EBT250650
COMP:68%PL 30%VI 2%EA
WIDTH:145CM
WEIGHT:260G/M2</t>
  </si>
  <si>
    <t>ART.EBT250651
COMP:64%PL 34%VI 2%EA
WIDTH:142CM
WEIGHT:263G/M2</t>
  </si>
  <si>
    <t>ART.EBT250652
COMP:63%PL 33%VI 4%EA
WIDTH:142CM
WEIGHT:245G/M2</t>
  </si>
  <si>
    <t>ART.EBT250653
COMP:F:40%PA 40%CO 20%VI G:100%PL
WIDTH:140CM
WEIGHT:357G/M2</t>
  </si>
  <si>
    <t>ART.EBT250655
COMP:F:100%PA G:100%PL
WIDTH:140CM
WEIGHT:223G/M2</t>
  </si>
  <si>
    <t>ART.EBT250656
COMP:95%PA 5%EA
WIDTH:150CM
WEIGHT:148G/M2</t>
  </si>
  <si>
    <t>ART.EBT250657
COMP:F:100%PA 8%EA G:70%PC 30%PL
WIDTH:135CM
WEIGHT:210G/M2</t>
  </si>
  <si>
    <t>ART.EBT130694
COMP:5%WO95%PL+SEQUINS
WIDTH:134CM
WEIGHT:540G/M2</t>
  </si>
  <si>
    <t>ART.EBT111404
COMP:100%PL
WIDTH:57/58"
WEIGHT:88G/M2</t>
  </si>
  <si>
    <t>ART.EBT151123-PEACHED
COMP:97%CO 3%EA
WIDTH:48/50"
WEIGHT:335G/M2</t>
  </si>
  <si>
    <t>ART.EBT151124-PEACHED
COMP:97%CO 3%EA
WIDTH:57"
WEIGHT:290G/M2</t>
  </si>
  <si>
    <t>ART.EBT151125
COMP:97%CO 3%EA
WIDTH:48/50"
WEIGHT:320G/M2</t>
  </si>
  <si>
    <t>ART.EBT151126
COMP:97%CO 3%EA
WIDTH:56/57"
WEIGHT:280G/M2</t>
  </si>
  <si>
    <t>ART.EBT151127
COMP:100%CO
WIDTH:57/58"
WEIGHT:310G/M2</t>
  </si>
  <si>
    <t>ART.EBT151128
COMP:97%CO 3%EA
WIDTH:57/58"
WEIGHT:300G/M2</t>
  </si>
  <si>
    <t>ART.EBT151129
COMP:38%PL 51%CO 11%MET
WIDTH:53"
WEIGHT:205G/M2</t>
  </si>
  <si>
    <t>ART.EBT151130
COMP:22%CO 7%MET 71%PL
WIDTH:53"
WEIGHT:330G/M2</t>
  </si>
  <si>
    <t>ART.EBT151131
COMP:22%CO 7%MET 71%PL
WIDTH:53"
WEIGHT:330G/M2</t>
  </si>
  <si>
    <t>ART.EBT151132
COMP:22%CO 7%MET 71%PL
WIDTH:53"
WEIGHT:330G/M2</t>
  </si>
  <si>
    <t>ART.EBT151133
COMP:100%PL
WIDTH:128CM
WEIGHT:202G/M2</t>
  </si>
  <si>
    <t>ART.EBT120582
COMP:G:100%PL SEQUINS:7MM
WIDTH:130CM
WEIGHT:</t>
  </si>
  <si>
    <t xml:space="preserve">ART.EBT151135
COMP:85%PL 15%EA
WIDTH:140CM
WEIGHT:450G/M2 </t>
  </si>
  <si>
    <t>ART.EBT151139
COMP:89%PL 11%MET
WIDTH:150CM
WEIGHT:</t>
  </si>
  <si>
    <t>ART.EBT151140
COMP:83%PL 17%MET
WIDTH:145CM
WEIGHT:</t>
  </si>
  <si>
    <t>ART.EBT151141
COMP:83%PL 17%MET
WIDTH:145CM
WEIGHT:</t>
  </si>
  <si>
    <t>ART.EBT151093
COMP:SEQUINS G:100%PL
WIDTH:128CM
WEIGHT:</t>
  </si>
  <si>
    <t>ART.EBT151142
COMP:95%PL5%EA
WIDTH:147CM
WEIGHT:400G/M2</t>
  </si>
  <si>
    <t>ART.EBT151143
COMP:48%PO 46%CO 6%VI
WIDTH:138CM
WEIGHT:220G/M2</t>
  </si>
  <si>
    <t>ART.EBT151148
COMP:G:100%PL 
WIDTH:141CM
WEIGHT:</t>
  </si>
  <si>
    <t>ART.EBT151149
COMP:100%PL
WIDTH:123CM
WEIGHT:</t>
  </si>
  <si>
    <t>ART.EBT151150
COMP:100%PL
WIDTH:123CM
WEIGHT:</t>
  </si>
  <si>
    <t>ART.EBT151151
COMP:100%PL
WIDTH:123CM
WEIGHT:</t>
  </si>
  <si>
    <t>ART.EBT151152
COMP:100%PL
WIDTH:123CM
WEIGHT:</t>
  </si>
  <si>
    <t>ART.EBT151153
COMP:30%WO 20%VI 50%Other
WIDTH:142CM
WEIGHT:395G/M2</t>
  </si>
  <si>
    <t>ART.EBT151155
COMP:G:100% PL 
WIDTH:128CM
WEIGHT:395G/M2</t>
  </si>
  <si>
    <t>ART.EBT151156
COMP:G:100% PL 
WIDTH:128CM
WEIGHT:450G/M2</t>
  </si>
  <si>
    <t>ART.EBT151157
COMP:G:100% PL 
WIDTH:128CM
WEIGHT:</t>
  </si>
  <si>
    <t>ART.EBT151158
COMP:G:100% PL 
WIDTH:128CM
WEIGHT:</t>
  </si>
  <si>
    <t>ART.EBT151159
COMP:G:100% PL 
WIDTH:128CM
WEIGHT:330G/M2</t>
  </si>
  <si>
    <t>ART.EBT151160
COMP:G:100% PL 
WIDTH:128CM
WEIGHT:300G/M2</t>
  </si>
  <si>
    <t>ART.EBT151161
COMP:G:100% PL 
WIDTH:128CM
WEIGHT:</t>
  </si>
  <si>
    <t>ART.EBT151162
COMP:G:100% PL 
WIDTH:128CM
WEIGHT:</t>
  </si>
  <si>
    <t>ART.EBT151103
COMP:35%PA5%EA60%CO
WIDTH:46"
WEIGHT:133G/M</t>
  </si>
  <si>
    <t>ART.EBT151104
COMP:12%VI40%CO48%PA
WIDTH:54"
WEIGHT:245G/M</t>
  </si>
  <si>
    <t>ART.EBT151105
COMP:0
WIDTH:50"
WEIGHT:322G/M</t>
  </si>
  <si>
    <t>ART.EBT151106
COMP:22.7%VI18.7%PA55.6%CO3%MET
WIDTH:56"
WEIGHT:208G/M</t>
  </si>
  <si>
    <t>ART.EBT151107
COMP:15%VI30%CO55%PA
WIDTH:54"
WEIGHT:218G/M</t>
  </si>
  <si>
    <t>ART.EBT151108
COMP:10%VI35%CO53%PA
WIDTH:54"
WEIGHT:220G/M</t>
  </si>
  <si>
    <t>ART.EBT151109
COMP:16%VO49%PA35%CO
WIDTH:54"
WEIGHT:238G/M</t>
  </si>
  <si>
    <t>ART.EBT151110
COMP:18%VI45%CO37%PA
WIDTH:56"
WEIGHT:385G/M</t>
  </si>
  <si>
    <t>ART.EBT151112
COMP:30%CO10%VI60%PA
WIDTH:56"
WEIGHT:208G/M</t>
  </si>
  <si>
    <t>ART.EBT151113
COMP:9%VI53%PA38%CO
WIDTH:54"
WEIGHT:205G/M</t>
  </si>
  <si>
    <t>ART.EBT151114
COMP:15%VI38%CO47%PA
WIDTH:54"
WEIGHT:322G/M</t>
  </si>
  <si>
    <t>ART.EBT151115
COMP:8%VI60%CO32%PA
WIDTH:54"
WEIGHT:256G/M</t>
  </si>
  <si>
    <t>ART.EBT151116
COMP:13%VI38%CO49%PA
WIDTH:54"
WEIGHT:250G/M</t>
  </si>
  <si>
    <t>ART.EBT151117
COMP:25%PA75%VI
WIDTH:34"
WEIGHT:167G/M</t>
  </si>
  <si>
    <t>ART.EBT151118
COMP:
WIDTH:48"
WEIGHT:250G/M</t>
  </si>
  <si>
    <t>ART.EBT151119
COMP:50%CO47%PA3%EA
WIDTH:50"
WEIGHT:258G/M</t>
  </si>
  <si>
    <t>ART.EBT151163
COMP:67%PL21%CO10%ME 2%VI
WIDTH:142CM
WEIGHT:214G/SM</t>
  </si>
  <si>
    <t>ART.EBT151164
COMP:93%PL7%PA
WIDTH:157CM
WEIGHT:126G/SM</t>
  </si>
  <si>
    <t>ART.EBT151165
COMP:67%PL18%CO13%ME 2%VI
WIDTH:144CM
WEIGHT:227G/SM</t>
  </si>
  <si>
    <t>ART.EBT151189
COMP:26%PC74%PL
WIDTH:135CM
WEIGHT:</t>
  </si>
  <si>
    <t>ART.EBT151190
COMP:48%CO40%PC12%PL
WIDTH:140CM
WEIGHT:</t>
  </si>
  <si>
    <t>ART.EBT151191
COMP:63%CO37%PL
WIDTH:140CM
WEIGHT:</t>
  </si>
  <si>
    <t>ART.EBT151192
COMP:35%CO26%VI39%PL
WIDTH:140CM
WEIGHT:</t>
  </si>
  <si>
    <t>ART.EBT151193
COMP:47%PC53%PL
WIDTH:140CM
WEIGHT:</t>
  </si>
  <si>
    <t>ART.EBT151194
COMP:100%PL
WIDTH:135CM
WEIGHT:</t>
  </si>
  <si>
    <t>ART.EBT151195
COMP:100%PL
WIDTH:135CM
WEIGHT:</t>
  </si>
  <si>
    <t>ART.EBT151196
COMP:40%CO60%PL
WIDTH:135CM
WEIGHT:</t>
  </si>
  <si>
    <t>ART.EBT151197
COMP:65%CO20%LI15%PL
WIDTH:140CM
WEIGHT:</t>
  </si>
  <si>
    <t>ART.EBT151198
COMP:46%LI38%PC16%PL
WIDTH:140CM
WEIGHT:</t>
  </si>
  <si>
    <t>ART.EBT151199
COMP:68%PL32%ME
WIDTH:142CM
WEIGHT:</t>
  </si>
  <si>
    <t>ART.EBT151200
COMP:72%PL28%ME
WIDTH:142CM
WEIGHT:</t>
  </si>
  <si>
    <t>ART.EBT111559
COMP:100%PL
WIDTH:140CM
WEIGHT:254G/M2</t>
  </si>
  <si>
    <t>ART.EBT151213
COMP:100%PA
WIDTH:126CM
WEIGHT:</t>
  </si>
  <si>
    <t>ART.EBT151214
COMP:100%PL
WIDTH:126CM
WEIGHT:</t>
  </si>
  <si>
    <t>ART.EBT151215
COMP:100%PL
WIDTH:126CM
WEIGHT:</t>
  </si>
  <si>
    <t>ART.EBT151216
COMP:100%PA
WIDTH:126CM
WEIGHT:</t>
  </si>
  <si>
    <t>ART.EBT151217
COMP:100%PL
WIDTH:126CM
WEIGHT:</t>
  </si>
  <si>
    <t>ART.EBT151218
COMP:100%PL
WIDTH:126CM
WEIGHT:</t>
  </si>
  <si>
    <t>ART.EBT151219
COMP:100%PL
WIDTH:126CM
WEIGHT:</t>
  </si>
  <si>
    <t>ART.EBT151228
COMP:90%POLY 10%EA
WIDTH:125CM
WEIGHT:</t>
  </si>
  <si>
    <t>ART.EBT151227
COMP:100% POLY 
WIDTH:137CM
WEIGHT:500G/M2</t>
  </si>
  <si>
    <t>ART.EBT151237
COMP:100%PA
WIDTH:141CM
WEIGHT:</t>
  </si>
  <si>
    <t>ART.EBT151236
COMP:100%NYLON
WIDTH:126CM
WEIGHT:</t>
  </si>
  <si>
    <t>ART.EBT151242
COMP:60% PL 30%PU 10%EA
WIDTH:135CM
WEIGHT:320G/M2</t>
  </si>
  <si>
    <t>ART.EBT151243
COMP:60%PL 40%PU
WIDTH:135CM
WEIGHT:200G/M2</t>
  </si>
  <si>
    <t>ART.EBT151244
COMP:60% PL 30%PU 10%EA
WIDTH:135CM
WEIGHT:260G/M2</t>
  </si>
  <si>
    <t>ART.EBT151245
COMP:65% PL 30%PU 5%EA
WIDTH:135CM
WEIGHT:300G/M2</t>
  </si>
  <si>
    <t>ART.EBT151262
COMP:50%PL 50%C
WIDTH:138CM
WEIGHT:310G/M2</t>
  </si>
  <si>
    <t>ART.EBT250659
COMP:83%PL 12%VI 5%EA
WIDTH:156CM
WEIGHT:289G/M2</t>
  </si>
  <si>
    <t>ART.EBT250660
COMP:25%PA 75%VI 
WIDTH:137CM
WEIGHT:</t>
  </si>
  <si>
    <t>ART.EBT250661
COMP:25%PA 75%VI 
WIDTH:137CM
WEIGHT:155G/M2( BFORE BURN OUT )</t>
  </si>
  <si>
    <t>ART.EBT250662
COMP:35%NY 65%VI
WIDTH:140CM
WEIGHT:91G/M2</t>
  </si>
  <si>
    <t>ART.EBT250663
COMP:F:100%PL G:65%PL 35%VI 
WIDTH:150CM
WEIGHT:472G/M2</t>
  </si>
  <si>
    <t>ART.EBT250664
COMP:F:100%PL G:100%PL
WIDTH:150CM
WEIGHT:544G/M2</t>
  </si>
  <si>
    <t>ART.EBT250665
COMP:64%PL 34%VI 2%EA
WIDTH:142CM
WEIGHT:229G/M2</t>
  </si>
  <si>
    <t>ART.EBT250666
COMP:80%PL 18%VI 2%EA
WIDTH:135CM
WEIGHT:248G/M2</t>
  </si>
  <si>
    <t>ART.EBT250667
COMP:80%PL 18%VI 2%EA
WIDTH:142CM
WEIGHT:220G/M2</t>
  </si>
  <si>
    <t>ART.EBT250668
COMP:64%PL 34%VI 2%EA
WIDTH:56/57"
WEIGHT:256G/M2</t>
  </si>
  <si>
    <t>ART.EBT250669
COMP:63%PL 33%VI 4%EA
WIDTH:57/58"
WEIGHT:266G/M2</t>
  </si>
  <si>
    <t>ART.EBT250671
COMP:64%PL 34%VI 2%EA
WIDTH:53/54"
WEIGHT:293G/M2</t>
  </si>
  <si>
    <t>ART.EBT250672
COMP:64%PL 34%VI 2%EA
WIDTH:55/56’’ 
WEIGHT:230G/M2</t>
  </si>
  <si>
    <t>ART.EBT250673
COMP:100% PL + PU COATED
WIDTH:137CM
WEIGHT:270G/M2</t>
  </si>
  <si>
    <t>ART.EBT250674
COMP:30%PL 13%MET 57%CO
WIDTH:142CM
WEIGHT:230G/M2</t>
  </si>
  <si>
    <t>ART.EBT250675
COMP:100%PL
WIDTH:55/56"
WEIGHT:197G/M2</t>
  </si>
  <si>
    <t>ART.EBT250676
COMP:39.1%CO 60.9%PL 
WIDTH:60/61" 
WEIGHT:279G/M2</t>
  </si>
  <si>
    <t>ART.EBT250677
COMP:48%CO 45%PL 5%MTL 2%EA
WIDTH:148CM
WEIGHT:240G/M2</t>
  </si>
  <si>
    <t>ART.EBT250678
COMP:50%PL 37%CO 13%MET
WIDTH:56/57"
WEIGHT:200G/M2</t>
  </si>
  <si>
    <t>ART.EBT250679
COMP:65%PL 20%CO 15%MET
WIDTH:57/58"
WEIGHT:300G/M2</t>
  </si>
  <si>
    <t>ART.EBT250680
COMP:42%CO 46%PO 12%MET
WIDTH:141CM
WEIGHT:210G/M2</t>
  </si>
  <si>
    <t>ART.EBT250681
COMP:42%CO 46%PO 12%MET
WIDTH:141CM
WEIGHT:210G/M2</t>
  </si>
  <si>
    <t>ART.EBT250682
COMP:100%PL
WIDTH:145CM
WEIGHT:53G/M2</t>
  </si>
  <si>
    <t>ART.EBT250683
COMP:100%PL
WIDTH:145CM
WEIGHT:125G/M2</t>
  </si>
  <si>
    <t>ART.EBT250684
COMP:100%PL
WIDTH:150CM
WEIGHT:</t>
  </si>
  <si>
    <t>ART.EBT250685
COMP:100%PL
WIDTH:150CM
WEIGHT:</t>
  </si>
  <si>
    <t>ART.EBT250686
COMP:100%PL
WIDTH:150CM
WEIGHT:74G/M2</t>
  </si>
  <si>
    <t>ART.EBT250687
COMP:52% PES 34% VIS 10% WO 4%EA
WIDTH:145cm
WEIGHT:220G/M2</t>
  </si>
  <si>
    <t>ART.EBT250688
COMP:69% PES 29%VIS 2% EL
WIDTH:142cm
WEIGHT:225G/M2</t>
  </si>
  <si>
    <t>ART.EBT250690
COMP:F:20%WO 80%OT G:65%PL 35%VI 
WIDTH:150cm
WEIGHT:546G/M2</t>
  </si>
  <si>
    <t>ART.EBT250691
COMP:F:20%WO 80%OT G:100%PL
WIDTH:150cm
WEIGHT:518G/M2</t>
  </si>
  <si>
    <t>ART.EBT250692
COMP:100%VI TWILL 
WIDTH:140CM
WEIGHT:155G/M2</t>
  </si>
  <si>
    <t>ART.EBT250693
COMP:100%VI TWILL
WIDTH:55/56'
WEIGHT:210G/M2</t>
  </si>
  <si>
    <t>ART.EBT250694
COMP:100%VI TWILL
WIDTH:55/56'
WEIGHT:149G/M2</t>
  </si>
  <si>
    <t>ART.EBT250695
COMP:97%PL 3%EA
WIDTH:154CM
WEIGHT:200G/M</t>
  </si>
  <si>
    <t>ART.EBT250696
COMP:100%PL
WIDTH:130CM
WEIGHT:180G/M2</t>
  </si>
  <si>
    <t>ART.EBT250697
COMP:95%PL 5%EA
WIDTH:153CM
WEIGHT:295G/M2</t>
  </si>
  <si>
    <t>ART.EBT250698
COMP:100%PL+PU COATED 
WIDTH:55/56"
WEIGHT:326G/M2</t>
  </si>
  <si>
    <t>ART.EBT250700
COMP:97%PL 3%EA
WIDTH:49/50'
WEIGHT:193G/M2</t>
  </si>
  <si>
    <t>ART.EBT250701
COMP:63%PL 30%VI 17%MET
WIDTH:145CM
WEIGHT:280G/M2</t>
  </si>
  <si>
    <t>ART.EBT250702
COMP:49%PL 41%CO 10%MET
WIDTH:145CM
WEIGHT:150G/M2</t>
  </si>
  <si>
    <t>ART.EBT250703
COMP:50%PL 37%VI 13%MET
WIDTH:56/57"
WEIGHT:210G/M2</t>
  </si>
  <si>
    <t>ART.EBT250705
COMP:60%NY 40%VI
WIDTH:145CM
WEIGHT:103G/M2</t>
  </si>
  <si>
    <t>ART.EBT250706
COMP:68%PL 30%CO 2%EA
WIDTH:116CM
WEIGHT:280G/M2</t>
  </si>
  <si>
    <t>ART.EBT250707
COMP:68%PL 30%CO 2%EA
WIDTH:120CM
WEIGHT:335G/M2</t>
  </si>
  <si>
    <t>ART.EBT250711
COMP:100%PL 
WIDTH:147cm
WEIGHT:220G/M2</t>
  </si>
  <si>
    <t>ART.EBT250712
COMP:90%PL 10%EA
WIDTH:145cm
WEIGHT:225G/M2</t>
  </si>
  <si>
    <t>ART.EBT250713
COMP:100% POLY+ PU COTAED
WIDTH:138CM
WEIGHT:303G/M2</t>
  </si>
  <si>
    <t>ART.EBT250714
COMP::F:95%L 5%EA G:95%PL 5%EA 
WIDTH:145CM
WEIGHT:460G/M2</t>
  </si>
  <si>
    <t>ART.EBT250715
COMP:100%PL
WIDTH:57/58"
WEIGHT:253G/M2</t>
  </si>
  <si>
    <t>EBT151283</t>
  </si>
  <si>
    <t>EBT151284</t>
  </si>
  <si>
    <t>EBT151285</t>
  </si>
  <si>
    <t>EBT151286</t>
  </si>
  <si>
    <t>EBT151287</t>
  </si>
  <si>
    <t>EBT151288</t>
  </si>
  <si>
    <t xml:space="preserve">
info@ebtex.com.cn</t>
    <phoneticPr fontId="51" type="noConversion"/>
  </si>
  <si>
    <t>ART.EBT151283
COMP:100%PL
WIDTH:128CM
WEIGHT:220G/M2</t>
  </si>
  <si>
    <t>ART.EBT151284
COMP:100%PL
WIDTH:128CM
WEIGHT:220G/M2</t>
  </si>
  <si>
    <t>ART.EBT151285
COMP:F:SEQUINS G:100%PA 
WIDTH:126CM
WEIGHT:305G/M2</t>
  </si>
  <si>
    <t>ART.EBT151286
COMP:F:SEQUINS G:95%VI 5%EA 
WIDTH:126CM
WEIGHT:520G/M2</t>
  </si>
  <si>
    <t>ART.EBT151287
COMP:100%PL
WIDTH:126CM
WEIGHT:</t>
  </si>
  <si>
    <t>ART.EBT151288
COMP:100%PL
WIDTH:126CM
WEIGHT:</t>
  </si>
  <si>
    <t>EBT151270</t>
  </si>
  <si>
    <t>EBT151271</t>
  </si>
  <si>
    <t>EBT151272</t>
  </si>
  <si>
    <t>EBT151273</t>
  </si>
  <si>
    <t>ART.EBT250026
COMP:F:50%WO 33%PL 17%AC G:63%PL 32%VI 5%EA
WIDTH:57/58"
WEIGHT:462G/M2</t>
  </si>
  <si>
    <t>ART.EBT250340
COMP:20%Wo 80%other
WIDTH:145CM
WEIGHT:650G/ML</t>
  </si>
  <si>
    <t>ART.EBT150859
COMP:100%PL
WIDTH:142CM 
WEIGHT:197G/M2</t>
  </si>
  <si>
    <t>ART.EBT150782-2
COMP:F:95%PL 5% EA 
G:35%CO 65%PL
WIDTH:136CM
WEIGHT:372G/M2</t>
  </si>
  <si>
    <t>ART.EBT150783
COMP:F:95%PL 5% EA G:100% C
WIDTH:138CM
WEIGHT:438G/M2?</t>
  </si>
  <si>
    <t>ART.EBT150858
COMP:96%PL 4%EA
WIDTH:142CM 
WEIGHT:218G/M2</t>
  </si>
  <si>
    <t>ART.EBT150952
COMP:F:100%PU G:100%PL
WIDTH:128CM
WEIGHT:325G/M2</t>
  </si>
  <si>
    <t>ART.EBT150953
COMP:F:100%PU G:100%PL
WIDTH:128CM
WEIGHT:350G/M2</t>
  </si>
  <si>
    <t>ART.EBT150954
COMP:F:100%PU G:100%PL
WIDTH:126CM
WEIGHT:348G/M2</t>
  </si>
  <si>
    <t>ART.EBT250031
COMP:F:60%PA 40%VI LACE G:95%PL 5%EA
WIDTH:145CM
WEIGHT:343G/M2</t>
  </si>
  <si>
    <t>ART.EBT150782
COMP:F:95%PL 5% EA 
G:100% CO
WIDTH:136CM
WEIGHT:372G/M2</t>
  </si>
  <si>
    <t>ART.EBT130877
COMP:59%CO 27%PL 14%MET
WIDTH:53"
WEIGHT:202G/M2</t>
  </si>
  <si>
    <t>ART.EBT151144
COMP:G:95%PL 5%EA EMB:100%PL
WIDTH:123CM
WEIGHT:G:310G/M2</t>
  </si>
  <si>
    <t>ART.EBT151145
COMP:G:95%PL 5%EA EMB:100%PL
WIDTH:123CM
WEIGHT:G:310G/M2</t>
  </si>
  <si>
    <t>ART.EBT151146
COMP:G:95%PL 5%EA EMB:100%PL
WIDTH:123CM
WEIGHT:G:310G/M2</t>
  </si>
  <si>
    <t>ART.EBT151147
COMP:G:95%PL 5%EA EMB:100%PL
WIDTH:115CM
WEIGHT:G:310G/M2</t>
  </si>
  <si>
    <t>ART.EBT151099
COMP:90.7%PL 9.3%PA
WIDTH:49"
WEIGHT:476G/M</t>
  </si>
  <si>
    <t>ART.EBT151212
COMP:G:95%PL 5%EA
WIDTH:49"
WEIGHT:476G/M</t>
  </si>
  <si>
    <t>ART.EBT151220
COMP:G:95%PL 5%EA
WIDTH:124CM
WEIGHT:</t>
  </si>
  <si>
    <t>ART.EBT151221
COMP:G:95%PL 5%EA
WIDTH:124CM
WEIGHT:</t>
  </si>
  <si>
    <t>ART.EBT150782
COMP:F:95%PL 5% EA 
G:100% CO
WIDTH:136CM
WEIGHT:372G/M2?
info@ebtex.com.cn</t>
  </si>
  <si>
    <t>ART.EBT150783
COMP:F:95%PL 5% EA G:100% C
WIDTH:138CM
WEIGHT:438G/M2?
info@ebtex.com.cn</t>
  </si>
  <si>
    <t>ART.EBT150858
COMP:96%PL 4%EA
WIDTH:142CM 
WEIGHT:218G/M2
info@ebtex.com.cn</t>
  </si>
  <si>
    <t>ART.EBT150952
COMP:F:100%PU G:100%PL
WIDTH:128CM
WEIGHT:325G/M2
info@ebtex.com.cn</t>
  </si>
  <si>
    <t>ART.EBT150953
COMP:F:100%PU G:100%PL
WIDTH:128CM
WEIGHT:350G/M2
info@ebtex.com.cn</t>
  </si>
  <si>
    <t>ART.EBT150954
COMP:F:100%PU G:100%PL
WIDTH:126CM
WEIGHT:348G/M2
info@ebtex.com.cn</t>
  </si>
  <si>
    <t>ART.EBT250031
COMP:F:60%PA 40%VI LACE G:95%PL 5%EA
WIDTH:145CM
WEIGHT:343G/M2
info@ebtex.com.cn</t>
  </si>
  <si>
    <t>ART.EBT250004
COMP:N/R/SP=74/23/3
WIDTH:145CM
WEIGHT:210G/M2</t>
  </si>
  <si>
    <t>ART.EBT250005
COMP:T/R/SP=70/28/2
WIDTH:142CM
WEIGHT:312G/M2</t>
  </si>
  <si>
    <t>ART.EBT250035
COMP:F:90%PL 10%EA G:95%PL 5%EA 
WIDTH:59/60"
WEIGHT:468G/M2</t>
  </si>
  <si>
    <t>ART.EBT250036
COMP:F:90%PL 10%EA G:95%PL 5%EA 
WIDTH:
WEIGHT:488G/M2</t>
  </si>
  <si>
    <t>ART.EBT250048
COMP:90%PA 10%EA
WIDTH:140CM
WEIGHT:132G/M2</t>
  </si>
  <si>
    <t>ART.EBT250050
COMP:40%PA 60%CO
WIDTH:150CM
WEIGHT:93G/M2</t>
  </si>
  <si>
    <t>ART.EBT250051
COMP:85%PL 8%PA 7%EA
WIDTH:145CM
WEIGHT:250G/M2</t>
  </si>
  <si>
    <t>ART.EBT250052
COMP:85%PL 8%PA 7%EA
WIDTH:145CM
WEIGHT:340G/M2</t>
  </si>
  <si>
    <t>ART.EBT250053
COMP:28%PA 40%CO 32%VI
WIDTH:150CM
WEIGHT:190G/M2</t>
  </si>
  <si>
    <t>ART.EBT250054
COMP:100%PA
WIDTH:150CM
WEIGHT:55G/M2</t>
  </si>
  <si>
    <t>ART.EBT250056
COMP:49%PL 48%VI 3%EA
WIDTH:56/57"
WEIGHT:280G/M2</t>
  </si>
  <si>
    <t>ART.EBT250057
COMP:93.5%PL 6.5%EA
WIDTH:147CM
WEIGHT:370G/M2</t>
  </si>
  <si>
    <t>ART.EBT250058
COMP:92%PL 8%EA
WIDTH:150CM
WEIGHT:350G/M2</t>
  </si>
  <si>
    <t>ART.EBT250059
COMP:86%PL 14%EA
WIDTH:150CM
WEIGHT:300G/M2</t>
  </si>
  <si>
    <t>ART.EBT250064
COMP:100%PA
WIDTH:140CM
WEIGHT:114G/M2</t>
  </si>
  <si>
    <t>ART.EBT250073
COMP:100%PL
WIDTH:140CM
WEIGHT:140G/M2</t>
  </si>
  <si>
    <t>ART.EBT250074
COMP:F:94%PL 6%EA G:90%PL 10%EA
WIDTH:135CM
WEIGHT:450G/M2</t>
  </si>
  <si>
    <t>ART.EBT250087
COMP:60%PA 40%VI
WIDTH:57/58"
WEIGHT:110G/M2</t>
  </si>
  <si>
    <t>ART.EBT250088
COMP:60%PA 40%R
WIDTH:145CM 
WEIGHT:128G/M2</t>
  </si>
  <si>
    <t>ART.EBT250108
COMP:55%VI 45%PL
WIDTH:150CM
WEIGHT:180G/M2</t>
  </si>
  <si>
    <t>ART.EBT250109
COMP:75%VI 25%PL
WIDTH:150CM
WEIGHT:150G/M2</t>
  </si>
  <si>
    <t>ART.EBT250110
COMP:90%PL 10%EA
WIDTH:146-147CM
WEIGHT:168G/M2</t>
  </si>
  <si>
    <t>ART.EBT250111
COMP:100%VI
WIDTH:180CM
WEIGHT:105G/M2</t>
  </si>
  <si>
    <t>ART.EBT250112
COMP:65%PL 35%CO
WIDTH:156CM
WEIGHT:162G/M2</t>
  </si>
  <si>
    <t>ART.EBT250113
COMP:70%PL 30%CO
WIDTH:150CM
WEIGHT:110G/M2</t>
  </si>
  <si>
    <t>ART.EBT250114
COMP:96%PL 4%EA
WIDTH:157CM
WEIGHT:171G/M2</t>
  </si>
  <si>
    <t>ART.EBT250116
COMP:100%PL
WIDTH:150CM
WEIGHT:148G/M2</t>
  </si>
  <si>
    <t>ART.EBT250117
COMP:100%CO
WIDTH:132CM
WEIGHT:340G/M2</t>
  </si>
  <si>
    <t>ART.EBT250118
COMP:100%CO
WIDTH:134CM
WEIGHT:350G/M2</t>
  </si>
  <si>
    <t>ART.EBT250119
COMP:98%CO 2%EA
WIDTH:146CM
WEIGHT:310G/M2</t>
  </si>
  <si>
    <t>ART.EBT250126
COMP:100%PL
WIDTH:150CM
WEIGHT:384G/M2</t>
  </si>
  <si>
    <t>ART.EBT250128
COMP:67%PL 30%CO 3%EA
WIDTH:143CM
WEIGHT:285G/M2</t>
  </si>
  <si>
    <t>ART.EBT250129
COMP:67%PL 30%CO 3%EA
WIDTH:143CM
WEIGHT:290G/M2</t>
  </si>
  <si>
    <t>ART.EBT250130
COMP:48%CO 44%L 8%PL
WIDTH:145CM
WEIGHT:202G/M2</t>
  </si>
  <si>
    <t>ART.EBT250132
COMP:60%VI 40%LI
WIDTH:146CM
WEIGHT:137G/M2</t>
  </si>
  <si>
    <t>ART.EBT250133
COMP:55%CO 45%LI
WIDTH:137CM
WEIGHT:305G/M2</t>
  </si>
  <si>
    <t>ART.EBT250134
COMP:50%CO 50%LI
WIDTH:145CM
WEIGHT:196G/M2</t>
  </si>
  <si>
    <t>ART.EBT250135
COMP:85%CO 13%PL 2%VI
WIDTH:165CM
WEIGHT:245G/M2</t>
  </si>
  <si>
    <t>ART.EBT250136
COMP:98%CO 2%PL
WIDTH:165CM
WEIGHT:230G/M2</t>
  </si>
  <si>
    <t>ART.EBT250137
COMP:95%PL 5%EA
WIDTH:145CM
WEIGHT:195G/M2</t>
  </si>
  <si>
    <t>ART.EBT250138
COMP:60%PL 40%CO
WIDTH:160CM
WEIGHT:220G/M2</t>
  </si>
  <si>
    <t>ART.EBT250139
COMP:100%LI
WIDTH:142CM
WEIGHT:134G/M2</t>
  </si>
  <si>
    <t>ART.EBT250140
COMP:100%CO
WIDTH:165CM
WEIGHT:130-135G/M2</t>
  </si>
  <si>
    <t>ART.EBT250141
COMP:55%LI 45%VI
WIDTH:145CM
WEIGHT:186G/M2</t>
  </si>
  <si>
    <t>ART.EBT250142
COMP:96%VI 4%EA
WIDTH:140CM
WEIGHT:205G/M2</t>
  </si>
  <si>
    <t>ART.EBT250143
COMP:50%CUPRO 50%VI
WIDTH:135CM
WEIGHT:71G/M2</t>
  </si>
  <si>
    <t>ART.EBT250144
COMP:100%CO
WIDTH:137CM
WEIGHT:55G/M2</t>
  </si>
  <si>
    <t>ART.EBT250145
COMP:60%LI 16%TENCEL 24%CO
WIDTH:145CM
WEIGHT:141G/M2</t>
  </si>
  <si>
    <t>ART.EBT250146
COMP:100%VI
WIDTH:135CM
WEIGHT:139G/M2</t>
  </si>
  <si>
    <t>ART.EBT250147
COMP:50%CO 20%VI 30%LI
WIDTH:142CM
WEIGHT:152G/M2</t>
  </si>
  <si>
    <t>ART.EBT250148
COMP:64%LI 36%CO
WIDTH:132CM
WEIGHT:199G/M2</t>
  </si>
  <si>
    <t>ART.EBT250150
COMP:58%LI 42%VI
WIDTH:137CM
WEIGHT:200G/M2</t>
  </si>
  <si>
    <t>ART.EBT250151
COMP:35%LI 45%CO 20%PL
WIDTH:137CM
WEIGHT:218G/M2</t>
  </si>
  <si>
    <t>ART.EBT250152
COMP:100%LI
WIDTH:137CM
WEIGHT:130G/M2</t>
  </si>
  <si>
    <t>ART.EBT250153
COMP:100%CO
WIDTH:145CM
WEIGHT:81G/M2</t>
  </si>
  <si>
    <t>ART.EBT250155
COMP:55%LI 45%VI
WIDTH:140CM
WEIGHT:202G/M2</t>
  </si>
  <si>
    <t>ART.EBT250156
COMP:55%LI 45%CO
WIDTH:135CM
WEIGHT:90G/M2</t>
  </si>
  <si>
    <t>ART.EBT250157
COMP:100%VI
WIDTH:137CM
WEIGHT:150G/M2</t>
  </si>
  <si>
    <t>ART.EBT250158
COMP:80%CO 18%PL 2%EA
WIDTH:145CM
WEIGHT:260G/M2</t>
  </si>
  <si>
    <t>ART.EBT250159
COMP:100%CO
WIDTH:159CM
WEIGHT:140G/M2</t>
  </si>
  <si>
    <t>ART.EBT250160
COMP:40%PL 55%CO 5%MET
WIDTH:143CM
WEIGHT:290G/M2</t>
  </si>
  <si>
    <t>ART.EBT250161
COMP:70%PL 30%AC
WIDTH:137CM
WEIGHT:300G/M2</t>
  </si>
  <si>
    <t>ART.EBT250162
COMP:100%CO
WIDTH:145CM
WEIGHT:166G/M2</t>
  </si>
  <si>
    <t>ART.EBT250164
COMP:55%PL 45%VI
WIDTH:145CM
WEIGHT:120G/M2</t>
  </si>
  <si>
    <t>ART.EBT250165
COMP:100%PL
WIDTH:147CM
WEIGHT:60G/M2</t>
  </si>
  <si>
    <t>ART.EBT250166
COMP:45%PL 53%CO 2%EA
WIDTH:145CM
WEIGHT:300G/M2</t>
  </si>
  <si>
    <t>ART.EBT250168
COMP:30%PA 66%VI 4%EA
WIDTH:152CM
WEIGHT:400G/M2</t>
  </si>
  <si>
    <t>ART.EBT250169
COMP:62%VI 12%PL 26%PA
WIDTH:145CM
WEIGHT:82G/M2</t>
  </si>
  <si>
    <t>ART.EBT250170
COMP:100%CO
WIDTH:145CM
WEIGHT:134G/M2</t>
  </si>
  <si>
    <t>ART.EBT250171
COMP:97%PL 3%EA
WIDTH:153CM
WEIGHT:260G/M2</t>
  </si>
  <si>
    <t>ART.EBT250172
COMP:67%VI 28%PA 5%EA
WIDTH:155CM
WEIGHT:390G/M2</t>
  </si>
  <si>
    <t>ART.EBT250174
COMP:F:100%PU G:100%PL
WIDTH:138CM
WEIGHT:300G/M2</t>
  </si>
  <si>
    <t>ART.EBT250175
COMP:67%VI 28%PA 5%EA
WIDTH:155CM
WEIGHT:325G/M2</t>
  </si>
  <si>
    <t>ART.EBT250176
COMP:98%PL 2%EA
WIDTH:160CM
WEIGHT:136G/M2</t>
  </si>
  <si>
    <t>ART.EBT250177
COMP:98%PL 2%EA
WIDTH:174CM
WEIGHT:165G/M2</t>
  </si>
  <si>
    <t>ART.EBT250179
COMP:50%WO 50%AF
WIDTH:145CM
WEIGHT:490G/M2</t>
  </si>
  <si>
    <t>ART.EBT250180
COMP:100%CO
WIDTH:145CM
WEIGHT:100G/M2</t>
  </si>
  <si>
    <t>ART.EBT250182
COMP:70%PL 30%CO
WIDTH:185CM
WEIGHT:380G/M2</t>
  </si>
  <si>
    <t>ART.EBT250183
COMP:49.3%VI   44.2%PA  6.5%EA 
WIDTH:152CM
WEIGHT:250G/M2</t>
  </si>
  <si>
    <t>ART.EBT250186
COMP:100%TENCEL 
WIDTH:150CM
WEIGHT:192G/M2</t>
  </si>
  <si>
    <t>ART.EBT250187
COMP:100%TENCEL
WIDTH:145CM
WEIGHT:170G/M2</t>
  </si>
  <si>
    <t>ART.EBT250188
COMP:42%VI 58%CUPRO
WIDTH:142CM
WEIGHT:115G/M2</t>
  </si>
  <si>
    <t>ART.EBT250189
COMP:53%CO 47%PL
WIDTH:162CM
WEIGHT:256G/M2</t>
  </si>
  <si>
    <t>ART.EBT250190
COMP:46％PL 51％CO 3％EA
WIDTH:145CM
WEIGHT:226G/M2</t>
  </si>
  <si>
    <t>ART.EBT250191
COMP:100%TENCEL
WIDTH:145-147CM
WEIGHT:190G/M2</t>
  </si>
  <si>
    <t>ART.EBT250192
COMP:23%CO 77%TENCEL 
WIDTH:142CM
WEIGHT:183G/M2</t>
  </si>
  <si>
    <t>ART.EBT250194
COMP:100%VI
WIDTH:142CM
WEIGHT:184G/M2</t>
  </si>
  <si>
    <t>ART.EBT250195
COMP:100%CO
WIDTH:145CM
WEIGHT:134G/M2</t>
  </si>
  <si>
    <t>ART.EBT250196
COMP:65%CO 32%PL 3%EA
WIDTH:120CM
WEIGHT:166G/M2</t>
  </si>
  <si>
    <t>ART.EBT250197
COMP:100%CO
WIDTH:132CM
WEIGHT:260G/M2</t>
  </si>
  <si>
    <t>ART.EBT250198
COMP:100%CO
WIDTH:145CM
WEIGHT:280G/M2</t>
  </si>
  <si>
    <t>ART.EBT250199
COMP:100%CO
WIDTH:145CM
WEIGHT:120G/M2</t>
  </si>
  <si>
    <t>ART.EBT250200
COMP:100%CO
WIDTH:145CM
WEIGHT:127G/M2</t>
  </si>
  <si>
    <t>ART.EBT250201
COMP:100%CO
WIDTH:142CM
WEIGHT:100G/M2</t>
  </si>
  <si>
    <t>ART.EBT250202
COMP:100%PL
WIDTH:145CM
WEIGHT:250G/M2</t>
  </si>
  <si>
    <t>ART.EBT250203
COMP:100%TENCEL 
WIDTH:147CM
WEIGHT:180G/M2</t>
  </si>
  <si>
    <t>ART.EBT250204
COMP:100%CO 
WIDTH:124CM
WEIGHT:263G/M2</t>
  </si>
  <si>
    <t>ART.EBT250205
COMP:36%PL 37%W 25%AC 2%AF
WIDTH:145CM
WEIGHT:350G/M2</t>
  </si>
  <si>
    <t>ART.EBT250210
COMP:100%PL
WIDTH:155CM
WEIGHT:122G/M2</t>
  </si>
  <si>
    <t>ART.EBT250212
COMP:65%CO 35%PL
WIDTH:165CM
WEIGHT:240G/M2</t>
  </si>
  <si>
    <t>ART.EBT250213
COMP:100%PL
WIDTH:145CM
WEIGHT:230G/M2</t>
  </si>
  <si>
    <t>ART.EBT250215
COMP:100%PL
WIDTH:145CM
WEIGHT:266G/M2</t>
  </si>
  <si>
    <t>ART.EBT250216
COMP:66%TENCEL 34%CO
WIDTH:145CM
WEIGHT:200G/M2</t>
  </si>
  <si>
    <t>ART.EBT250217
COMP:100%CO
WIDTH:145CM
WEIGHT:311G/M2</t>
  </si>
  <si>
    <t>ART.EBT250218
COMP:45%CO 55%LI
WIDTH:143CM
WEIGHT:94G/M2</t>
  </si>
  <si>
    <t>ART.EBT250219
COMP:CO+LI
WIDTH:147CM
WEIGHT:168G/M2</t>
  </si>
  <si>
    <t>ART.EBT250220
COMP:45%CO 55%LI
WIDTH:139CM
WEIGHT:165G/M2</t>
  </si>
  <si>
    <t>ART.EBT250221
COMP:55%LINEN 45%CO
WIDTH:143CM
WEIGHT:124G/M2</t>
  </si>
  <si>
    <t>ART.EBT250222
COMP:CO+LI
WIDTH:143CM
WEIGHT:146G/M2</t>
  </si>
  <si>
    <t>ART.EBT250223
COMP:100%CO
WIDTH:145CM
WEIGHT:126G/M2</t>
  </si>
  <si>
    <t>ART.EBT250224
COMP:54%CO 46%LI
WIDTH:142CM
WEIGHT:193G/M2</t>
  </si>
  <si>
    <t>ART.EBT250226
COMP:100%VI
WIDTH:145CM
WEIGHT:91G/M2</t>
  </si>
  <si>
    <t>ART.EBT250233
COMP:CO+LI
WIDTH:56/57"
WEIGHT:85G/M2</t>
  </si>
  <si>
    <t>ART.EBT250234
COMP:100%LI
WIDTH:145CM
WEIGHT:159G/M2</t>
  </si>
  <si>
    <t>ART.EBT250235
COMP:96%PL 4%EA
WIDTH:147CM
WEIGHT:215G/M2</t>
  </si>
  <si>
    <t>ART.EBT250236
COMP:51%VI 49%TENCEL
WIDTH:150CM
WEIGHT:142G/M2</t>
  </si>
  <si>
    <t>ART.EBT250247
COMP:F:80%PL 15%VI 5%EA G:100%PL
WIDTH:145CM
WEIGHT:425G/M2</t>
  </si>
  <si>
    <t>ART.EBT250248
COMP:F:80%PL 15%VI 5%EA G:100%PL
WIDTH:145CM
WEIGHT:401G/M2</t>
  </si>
  <si>
    <t>ART.EBT250249
COMP:F:80%PL 15%VI 5%EA G:100%PL
WIDTH:145CM
WEIGHT:414G/M2</t>
  </si>
  <si>
    <t>ART.EBT250251
COMP:100%VI
WIDTH:132CM
WEIGHT:242G/M2</t>
  </si>
  <si>
    <t>ART.EBT250255
COMP:100%PL
WIDTH:150CM
WEIGHT:216G/M2</t>
  </si>
  <si>
    <t>ART.EBT250256
COMP:100%PL
WIDTH:150CM
WEIGHT:203G/M2</t>
  </si>
  <si>
    <t>ART.EBT250257
COMP:100%PL
WIDTH:150CM
WEIGHT:212G/M2</t>
  </si>
  <si>
    <t>ART.EBT250258
COMP:99%PL 1%EA
WIDTH:150CM
WEIGHT:215G/M2</t>
  </si>
  <si>
    <t>ART.EBT250259
COMP:100%PL
WIDTH:148CM
WEIGHT:180G/M2</t>
  </si>
  <si>
    <t>ART.EBT250260
COMP:98%PL 2%EA
WIDTH:148CM
WEIGHT:200G/M2</t>
  </si>
  <si>
    <t>ART.EBT250261
COMP:91%PL 9%EA
WIDTH:146CM
WEIGHT:290G/M2</t>
  </si>
  <si>
    <t>ART.EBT250263
COMP:100%PL
WIDTH:146CM
WEIGHT:174G/M2</t>
  </si>
  <si>
    <t>ART.EBT250265
COMP:45%PA 52%CO 3%EA
WIDTH:53/54"
WEIGHT:258G/M2</t>
  </si>
  <si>
    <t>ART.EBT250266
COMP:62%PL 32%VI 6%EA
WIDTH:57/58"
WEIGHT:270G/M2</t>
  </si>
  <si>
    <t>ART.EBT250267
COMP:65%PL 30%VI 5%EA
WIDTH:56/57“
WEIGHT:352G/M2</t>
  </si>
  <si>
    <t>ART.EBT250275
COMP:64%PL 29%VI 7%EA
WIDTH:147CM
WEIGHT:284G/M2</t>
  </si>
  <si>
    <t>ART.EBT250277
COMP:97.5%PL  2.5%WO
WIDTH:128CM
WEIGHT:320G/M2</t>
  </si>
  <si>
    <t>ART.EBT250278
COMP:85%PL  11%AC 3%CO 1%EA
WIDTH:160CM
WEIGHT:370G/M2</t>
  </si>
  <si>
    <t>ART.EBT250279
COMP:91%PL 9%EA
WIDTH:155CM
WEIGHT:211G/M2</t>
  </si>
  <si>
    <t>ART.EBT250280
COMP:97%PL 4%EA
WIDTH:145CM
WEIGHT:210G/M2</t>
  </si>
  <si>
    <t>ART.EBT250281
COMP:19%PA 81%CO
WIDTH:147CM
WEIGHT:246G/M2</t>
  </si>
  <si>
    <t>ART.EBT250282
COMP:52%CO 45%VI 3%EA
WIDTH:126CM
WEIGHT:244G/M2</t>
  </si>
  <si>
    <t>ART.EBT250283
COMP:100%PL
WIDTH:150CM
WEIGHT:165G/M2</t>
  </si>
  <si>
    <t>ART.EBT250284
COMP:80%PL 15%VI 5%EA
WIDTH:144CM
WEIGHT:270G/M2</t>
  </si>
  <si>
    <t>ART.EBT250285
COMP:91%PL 9%EA
WIDTH:148CM
WEIGHT:246G/M2</t>
  </si>
  <si>
    <t>ART.EBT250291
COMP:92%PL 8%VI
WIDTH:150CM 
WEIGHT:290G/M2</t>
  </si>
  <si>
    <t>ART.EBT250293
COMP:84%CO 15%PL 1%EA
WIDTH:57/58"
WEIGHT:330G/M2</t>
  </si>
  <si>
    <t>ART.EBT250294
COMP:82%PL 14%VI 4%EA
WIDTH:155CM
WEIGHT:300G/M2</t>
  </si>
  <si>
    <t>ART.EBT250295
COMP:73%PL 27%VI
WIDTH:156CM
WEIGHT:287G/M2</t>
  </si>
  <si>
    <t>ART.EBT250299
COMP:100%PL JACQ
WIDTH:145CM
WEIGHT:230G/M2</t>
  </si>
  <si>
    <t>ART.EBT250300
COMP:F:68%PL 30%VI 2%EA G:100%PL
WIDTH:142CM
WEIGHT:473G/M2</t>
  </si>
  <si>
    <t>ART.EBT250303
COMP:42%PL 43%VI 5%EA
WIDTH:160CM
WEIGHT:500G/M2</t>
  </si>
  <si>
    <t>ART.EBT250304
COMP:F:65%PL 30%VI 5%EA G:100%PL
WIDTH:57/58"
WEIGHT:370G/M2</t>
  </si>
  <si>
    <t>ART.EBT250307
COMP:47%VI 50%CO 3%EA
WIDTH:56/57"
WEIGHT:319G/M2</t>
  </si>
  <si>
    <t>ART.EBT150071
COMP:65%WO/35%PL
WIDTH:150CM
WEIGHT:390G/M2</t>
  </si>
  <si>
    <t>ART.EBT150072
COMP:65%WO/35%PL
WIDTH:150CM
WEIGHT:350G/M2</t>
  </si>
  <si>
    <t>ART.EBT150073
COMP:65%WO/35%PL
WIDTH:150CM
WEIGHT:390G/M2</t>
  </si>
  <si>
    <t>ART.EBT150074
COMP:65%WO/35%PL
WIDTH:150CM
WEIGHT:390G/M2</t>
  </si>
  <si>
    <t>ART.EBT150075
COMP:60%WO/40%PL
WIDTH:150CM
WEIGHT:350G/M2</t>
  </si>
  <si>
    <t>ART.EBT150076
COMP:T/R/SP 63/31/6 
WIDTH:155CM
WEIGHT:250G/M2</t>
  </si>
  <si>
    <t>ART.EBT150104
COMP:65%PL/32%CO/3%EA
WIDTH:136CM
WEIGHT:240G/M2</t>
  </si>
  <si>
    <t>ART.EBT150105
COMP:80%CO/18%PL/2%EA
WIDTH:133CM
WEIGHT:235G/M2</t>
  </si>
  <si>
    <t>ART.EBT150106
COMP:65%PL/32%CO/3%EA
WIDTH:138CM
WEIGHT:215G/M2</t>
  </si>
  <si>
    <t>ART.EBT150107
COMP:65%PL/32%CO/3%EA
WIDTH:139CM
WEIGHT:250G/M2</t>
  </si>
  <si>
    <t>ART.EBT150108
COMP:65%PL/32%CO/3%EA
WIDTH:138CM
WEIGHT:220G/M2</t>
  </si>
  <si>
    <t>ART.EBT150109
COMP:56%AR/32%PL/12%VI
WIDTH:53/54"
WEIGHT:532G/M2</t>
  </si>
  <si>
    <t>ART.EBT150110
COMP:100%PL
WIDTH:55/56"
WEIGHT:640G/M2</t>
  </si>
  <si>
    <t>ART.EBT150139
COMP:20%WO/60%A/20%PL
WIDTH:150CM
WEIGHT:270G/M2</t>
  </si>
  <si>
    <t>ART.EBT150158
COMP:T/R/SP 
WIDTH:
WEIGHT:300G/M2</t>
  </si>
  <si>
    <t>ART.EBT150168
COMP:50%PL/47%CO/3%EA
WIDTH:58/60"
WEIGHT:260G/M2</t>
  </si>
  <si>
    <t>ART.EBT150189
COMP:100%PL
WIDTH:57/58"
WEIGHT:85G/M2</t>
  </si>
  <si>
    <t>ART.EBT150192
COMP:83%PL/17%MET
WIDTH:57/58"
WEIGHT:131G/M2</t>
  </si>
  <si>
    <t>ART.EBT150193
COMP:60%AC/39%PL/1%EA
WIDTH:42/43"
WEIGHT:366G/M2</t>
  </si>
  <si>
    <t>ART.EBT150194
COMP:59%CO/34%PL/7%MET
WIDTH:145CM
WEIGHT:185G/M2</t>
  </si>
  <si>
    <t>ART.EBT150195
COMP:PL/CO
WIDTH:55/56"
WEIGHT:177G/M2</t>
  </si>
  <si>
    <t>ART.EBT150196
COMP:100%PL
WIDTH:56/57"
WEIGHT:216G/M2</t>
  </si>
  <si>
    <t>ART.EBT150197
COMP:70%PL/30%CO
WIDTH:143CM
WEIGHT:412G/M2</t>
  </si>
  <si>
    <t>ART.EBT150198
COMP:70%PL/30%CO
WIDTH:142CM
WEIGHT:395G/M2</t>
  </si>
  <si>
    <t>ART.EBT150199
COMP:70%PL/30%CO
WIDTH:142CM
WEIGHT:425G/M2</t>
  </si>
  <si>
    <t>ART.EBT150201
COMP:63%PL/37%CO
WIDTH:147CM
WEIGHT:190G/M2</t>
  </si>
  <si>
    <t>ART.EBT150202
COMP:100%PL
WIDTH:54/55"
WEIGHT:157G/M2</t>
  </si>
  <si>
    <t>ART.EBT150203
COMP:100%PL
WIDTH:54/55"
WEIGHT:170G/M2</t>
  </si>
  <si>
    <t>ART.EBT150204
COMP:100%PL
WIDTH:58/59"
WEIGHT:173G/M2</t>
  </si>
  <si>
    <t>ART.EBT150205
COMP:95%PL/5%LUREX
WIDTH:53/54"
WEIGHT:240G/M2</t>
  </si>
  <si>
    <t>ART.EBT150207
COMP:T/R/SP 76/17/7%
WIDTH:160CM
WEIGHT:320G/M2</t>
  </si>
  <si>
    <t>ART.EBT150276
COMP:100% mixed fibers
WIDTH:57/58"
WEIGHT:250G/M2</t>
  </si>
  <si>
    <t>ART.EBT150328
COMP:80%PL/15%VI/5%EA
WIDTH:57/58"
WEIGHT:310-320G/M2</t>
  </si>
  <si>
    <t>ART.EBT150329
COMP:83%PL/13%VI/4%EA
WIDTH:57/58"
WEIGHT:296G/M2</t>
  </si>
  <si>
    <t>ART.EBT150330
COMP:75%PL/20%VI/5%EA
WIDTH:57/58"
WEIGHT:375G/M2</t>
  </si>
  <si>
    <t>ART.EBT150331
COMP:100%PL
WIDTH:57/58"
WEIGHT:140G/M2</t>
  </si>
  <si>
    <t>ART.EBT150403
COMP:48%PO 46%CO 6%OTHERS
WIDTH:142CM
WEIGHT:203G/M2</t>
  </si>
  <si>
    <t>ART.EBT150406
COMP:100%C
WIDTH:150CM
WEIGHT:430G/M2</t>
  </si>
  <si>
    <t>ART.EBT150409
COMP:49%CO 51%PL
WIDTH:57"
WEIGHT:285G/M2</t>
  </si>
  <si>
    <t>ART.EBT150445
COMP:16%PL 47%CO 7%PA
WIDTH:57"/58"
WEIGHT:240G/M2</t>
  </si>
  <si>
    <t>ART.EBT150446
COMP:F:35%NY65%CO G:60%PL40%CO
WIDTH:140CM
WEIGHT:330G/M2</t>
  </si>
  <si>
    <t>ART.EBT150453
COMP:100%PL
WIDTH:57/58"
WEIGHT:80-85G/M2</t>
  </si>
  <si>
    <t>ART.EBT150464
COMP:F:100%PUL G:100%PL
WIDTH:138CM
WEIGHT:350G/M2</t>
  </si>
  <si>
    <t>ART.EBT150465
COMP:F:100%PUL G:100%PL
WIDTH:133+-2CM
WEIGHT:430G/M2</t>
  </si>
  <si>
    <t>ART.EBT150468
COMP:100%PL
WIDTH:57/58" 
WEIGHT:210G/M2</t>
  </si>
  <si>
    <t>ART.EBT150517
COMP:F:70%PL 30%WO
G:95%PL 5%EA
WIDTH:58"
WEIGHT:830G/M2</t>
  </si>
  <si>
    <t>ART.EBT150518-DM
COMP:56%CO 40%VI 4%EA
WIDTH:56"57"
WEIGHT:245G/M2</t>
  </si>
  <si>
    <t>ART.EBT150518-QM
COMP:56%CO 40%VI 4%EA DOUBLE F
WIDTH:57"
WEIGHT:230G/M2</t>
  </si>
  <si>
    <t>ART.EBT150535
COMP:75%VI 20%PL 5%EA
WIDTH:150CM
WEIGHT:250G/M2</t>
  </si>
  <si>
    <t>ART.EBT150536
COMP:85%PL 15%VI 
WIDTH:150CM
WEIGHT:280G/M2</t>
  </si>
  <si>
    <t>ART.EBT150541
COMP:100%CO
WIDTH:195CM
WEIGHT:222G/M2</t>
  </si>
  <si>
    <t>ART.EBT150542
COMP:65%CO 35%PL
WIDTH:162CM
WEIGHT:270G/M2</t>
  </si>
  <si>
    <t>ART.EBT150543
COMP:65%CO 35%PL
WIDTH:180CM
WEIGHT:260G/M2</t>
  </si>
  <si>
    <t>ART.EBT150560
COMP:100%N 
WIDTH:120CM
WEIGHT:255G/M2</t>
  </si>
  <si>
    <t>ART.EBT150564
COMP:100%CO
WIDTH:57"58"
WEIGHT:235G/M2</t>
  </si>
  <si>
    <t>ART.EBT150565
COMP:100%CO
WIDTH:57"58"
WEIGHT:213G/M2</t>
  </si>
  <si>
    <t>ART.EBT150567
COMP:100%PL
WIDTH:57/58" 
WEIGHT:210G/M2</t>
  </si>
  <si>
    <t>ART.EBT150609
COMP:100%PL
WIDTH:57/58"
WEIGHT:160G/M2</t>
  </si>
  <si>
    <t>ART.EBT150610
COMP:80%PL 15%VI 5%EA
WIDTH:168"170"
WEIGHT:270G/M2</t>
  </si>
  <si>
    <t>ART.EBT150611
COMP:100%PO
WIDTH:141CM
WEIGHT:280G/M2</t>
  </si>
  <si>
    <t>ART.EBT150612-110
COMP:18%SE 82%VI
WIDTH:110CM
WEIGHT:170G/M2</t>
  </si>
  <si>
    <t>ART.EBT150612-136
COMP:18%SE 82%VI
WIDTH:136CM
WEIGHT:170G/M2</t>
  </si>
  <si>
    <t>ART.EBT150613
COMP:85%VI 15%PL
WIDTH:135CM
WEIGHT:400G/M2</t>
  </si>
  <si>
    <t>ART.EBT150616
COMP:90%CO 10%PL
WIDTH:160"
WEIGHT:225G/M2</t>
  </si>
  <si>
    <t>ART.EBT150620
COMP:P100%
WIDTH:130CM
WEIGHT:240G/M2</t>
  </si>
  <si>
    <t>ART.EBT150621
COMP:PA100%+PU
WIDTH:130CM
WEIGHT:270G/M2</t>
  </si>
  <si>
    <t>ART.EBT150622
COMP:P100%+PU
WIDTH:130CM
WEIGHT:160G/M2</t>
  </si>
  <si>
    <t>ART.EBT150623
COMP:P100%+PU
WIDTH:130CM
WEIGHT:120G/M2</t>
  </si>
  <si>
    <t>ART.EBT150623-B
COMP:P60%,N40%+PU
WIDTH:130CM
WEIGHT:100G/M2</t>
  </si>
  <si>
    <t>ART.EBT150624
COMP:P100%+PU
WIDTH:130CM
WEIGHT:120G/M2</t>
  </si>
  <si>
    <t>ART.EBT150624-B
COMP:P60%,N40%+PU
WIDTH:130CM
WEIGHT:100G/M2</t>
  </si>
  <si>
    <t>ART.EBT150625
COMP:P100%
WIDTH:126CM
WEIGHT:230G/M2</t>
  </si>
  <si>
    <t>ART.EBT150625-B
COMP:P60%,N40%
WIDTH:130CM
WEIGHT:195G/M2</t>
  </si>
  <si>
    <t>ART.EBT150626
COMP:P100%
WIDTH:130CM
WEIGHT:180G/M2</t>
  </si>
  <si>
    <t>ART.EBT150626-B
COMP:P60%,N40%
WIDTH:130CM
WEIGHT:160G/M2</t>
  </si>
  <si>
    <t>ART.EBT150627
COMP:P100%+PU
WIDTH:130CM
WEIGHT:250G/M2</t>
  </si>
  <si>
    <t>ART.EBT150638
COMP:P100%
WIDTH:130CM
WEIGHT:160G/M2</t>
  </si>
  <si>
    <t>ART.EBT150639
COMP:P100%
WIDTH:130CM
WEIGHT:355G/M2</t>
  </si>
  <si>
    <t>ART.EBT150640
COMP:P100%
WIDTH:130CM
WEIGHT:350G/M2</t>
  </si>
  <si>
    <t>ART.EBT150641
COMP:F:100%PL G:P95 R5 
WIDTH:57/58"
WEIGHT:430G/M2</t>
  </si>
  <si>
    <t>ART.EBT150658
COMP:50%VI 46%PL 4%EA
WIDTH:155CM
WEIGHT:345G/M2</t>
  </si>
  <si>
    <t>ART.EBT150659
COMP:97%PL 3%EA
WIDTH:57"58"
WEIGHT:405G/M2</t>
  </si>
  <si>
    <t>ART.EBT150660
COMP:97%PL 3%EA
WIDTH:57"58"
WEIGHT:375G/M2</t>
  </si>
  <si>
    <t>ART.EBT150661
COMP:97%PL 3%EA
WIDTH:57"58"
WEIGHT:415G/M2</t>
  </si>
  <si>
    <t>ART.EBT150663
COMP:100%PU
WIDTH:137CM
WEIGHT:180G/M2</t>
  </si>
  <si>
    <t>ART.EBT150664
COMP:Poly/Nylon 89/11%
WIDTH:56"
WEIGHT:245G/M2</t>
  </si>
  <si>
    <t>ART.EBT150712B
COMP:F:5%WL 95%SYNTHETIC
G:95%PL 5%EA
WIDTH:57"58"
WEIGHT:580G/M2</t>
  </si>
  <si>
    <t>ART.EBT150760
COMP:100%PL 
WIDTH:57/58"
WEIGHT:100G/M2</t>
  </si>
  <si>
    <t>ART.EBT150761
COMP:100%PL 
WIDTH:57/58"
WEIGHT:125G/M2</t>
  </si>
  <si>
    <t>ART.EBT150762
COMP:100%PL
WIDTH:57/58"
WEIGHT:96G/M2</t>
  </si>
  <si>
    <t>ART.EBT150763
COMP:100% PL +OTHERS
WIDTH:57/8"
WEIGHT:330G/M2</t>
  </si>
  <si>
    <t>ART.EBT150764
COMP:100% PL? 100% PU
WIDTH:136CM
WEIGHT:283G/M2</t>
  </si>
  <si>
    <t>ART.EBT150795
COMP:18%AC30%PO52%CO
WIDTH:54"
WEIGHT:280G/M2</t>
  </si>
  <si>
    <t>ART.EBT150796
COMP:46%PO21%CO33%RA
WIDTH:54"
WEIGHT:285G/M2</t>
  </si>
  <si>
    <t>ART.EBT150798
COMP:42%PO58%CO
WIDTH:59"
WEIGHT:260G/M2</t>
  </si>
  <si>
    <t>ART.EBT150799
COMP:61%PO26%CO13%RA
WIDTH:56"
WEIGHT:300G/M2</t>
  </si>
  <si>
    <t>ART.EBT150801
COMP:20%PO80%CO
WIDTH:53"
WEIGHT:290G/M2</t>
  </si>
  <si>
    <t>ART.EBT150802
COMP:88%PO12%CO
WIDTH:55"
WEIGHT:290G/M2</t>
  </si>
  <si>
    <t>ART.EBT150803
COMP:100%PL
WIDTH:57"58"
WEIGHT:90G/M2</t>
  </si>
  <si>
    <t>ART.EBT150804
COMP:100%PL
WIDTH:57"58"
WEIGHT:90G/M2</t>
  </si>
  <si>
    <t>ART.EBT150826
COMP:100%VI
WIDTH:130CM
WEIGHT:130G/M2</t>
  </si>
  <si>
    <t>ART.EBT250309
COMP:30%WO 70%PL MIXED
WIDTH:150CM
WEIGHT:450G/M2(+/-20G/M)</t>
  </si>
  <si>
    <t>ART.EBT250311
COMP:28%PL 72%AC
WIDTH:142CM
WEIGHT:335G/M2</t>
  </si>
  <si>
    <t>ART.EBT250312
COMP:90%PL 10%EA
WIDTH:148CM
WEIGHT:316G/M2</t>
  </si>
  <si>
    <t>ART.EBT250314
COMP:100%CO
WIDTH:57/58"
WEIGHT:140G/M2</t>
  </si>
  <si>
    <t>ART.EBT250315
COMP:100%CO
WIDTH:57/58"
WEIGHT:75G/M2</t>
  </si>
  <si>
    <t xml:space="preserve">ART.EBT250316
COMP:100%PL
WIDTH:150CM
WEIGHT:115G/M2 </t>
  </si>
  <si>
    <t>ART.EBT250317
COMP:F:97%PL 3%EA G:100%PL
WIDTH:145CM
WEIGHT:204G/M2</t>
  </si>
  <si>
    <t>ART.EBT250318
COMP:F:97%PL 3%EA G:97%PL 3%EA 
WIDTH:132CM
WEIGHT:228G/M2</t>
  </si>
  <si>
    <t>ART.EBT250319
COMP:100%CO
WIDTH:57/58"
WEIGHT:111G/M2</t>
  </si>
  <si>
    <t>ART.EBT250320
COMP:98%CO 2%PL
WIDTH:57/58"
WEIGHT:100G/M2</t>
  </si>
  <si>
    <t>ART.EBT250321
COMP:100%CO 
WIDTH:56/57"
WEIGHT:120G/M2</t>
  </si>
  <si>
    <t>ART.EBT250322
COMP:100%CO
WIDTH:56/57"
WEIGHT:112G/M2</t>
  </si>
  <si>
    <t>ART.EBT250323
COMP:100%CO
WIDTH:57/58"
WEIGHT:96G/M2</t>
  </si>
  <si>
    <t>ART.EBT250325
COMP:100%CO
WIDTH:57/58"
WEIGHT:126G/M2</t>
  </si>
  <si>
    <t>ART.EBT250326
COMP:100%CO
WIDTH:48/50"
WEIGHT:125G/M2</t>
  </si>
  <si>
    <t>ART.EBT250327
COMP:100%CO 
WIDTH:57/58"
WEIGHT:126G/M2</t>
  </si>
  <si>
    <t>ART.EBT250328
COMP:100%CO
WIDTH:57/58"
WEIGHT:77G/M2</t>
  </si>
  <si>
    <t>ART.EBT250329
COMP:100%CO
WIDTH:57/58’
WEIGHT:110G/M2</t>
  </si>
  <si>
    <t>ART.EBT250330
COMP:100%CO
WIDTH:57/58'
WEIGHT:105G/M2</t>
  </si>
  <si>
    <t>ART.EBT250334
COMP:30%WOOL 70%OTHER
WIDTH:150CM
WEIGHT:363G/M2</t>
  </si>
  <si>
    <t>ART.EBT250341
COMP:30%WO 70%PL
WIDTH:152CM
WEIGHT:427G/M2</t>
  </si>
  <si>
    <t>ART.EBT250342
COMP:10%WOOL 90%OTHER
WIDTH:147CM
WEIGHT:368G/M2</t>
  </si>
  <si>
    <t>ART.EBT250344
COMP:40%WO 60%PL
WIDTH:57/58"
WEIGHT:355G/M2</t>
  </si>
  <si>
    <t>ART.EBT250345
COMP:40%WO 60%PL
WIDTH:57/58"
WEIGHT:372G/M2</t>
  </si>
  <si>
    <t>ART.EBT250346
COMP:40%WO 60%PL
WIDTH:57/58"
WEIGHT:369G/M2</t>
  </si>
  <si>
    <t xml:space="preserve">ART.EBT250347
COMP:100% PL G:94%PL 6%EA
WIDTH:145CM
WEIGHT:504G/M2 </t>
  </si>
  <si>
    <t>ART.EBT250350
COMP:30%WO 70%PL
WIDTH:57/58"
WEIGHT:466G/M2</t>
  </si>
  <si>
    <t>ART.EBT250352
COMP:75%PL 20%VI 5%EA
WIDTH:56/57"
WEIGHT:346G/M2</t>
  </si>
  <si>
    <t xml:space="preserve">ART.EBT250353
COMP:100% PL
WIDTH:150CM
WEIGHT:120-130G/M2 </t>
  </si>
  <si>
    <t>ART.EBT250354
COMP:63%PL 33%VI 4%EA 
WIDTH:57/58"
WEIGHT:220G/M2</t>
  </si>
  <si>
    <t>ART.EBT250355
COMP:63%PL 33%VI 4%EA 
WIDTH:56/57"
WEIGHT:221G/M2</t>
  </si>
  <si>
    <t>ART.EBT250356
COMP:64%PL 33%VI 3%EA
WIDTH:56/57"
WEIGHT:287G/M2</t>
  </si>
  <si>
    <t>ART.EBT250357
COMP:64%PL 33%VI 3%EA
WIDTH:57/58"
WEIGHT:277G/M2</t>
  </si>
  <si>
    <t>ART.EBT250358
COMP:64%PL 33%VI 3%EA
WIDTH:57/58"
WEIGHT:281G/M2</t>
  </si>
  <si>
    <t>ART.EBT250360
COMP:63%PL 33% VI 4% EA 
WIDTH:56/57"
WEIGHT:245G/M2</t>
  </si>
  <si>
    <t>ART.EBT250361
COMP:64%PL 33% VI 3%EA
WIDTH:56/57"
WEIGHT:248G/M2</t>
  </si>
  <si>
    <t>ART.EBT250362
COMP:64%PL 33% VI 3%EA  
WIDTH:56/57"
WEIGHT:242G/M2</t>
  </si>
  <si>
    <t>ART.EBT250363
COMP:64%PL 33%VI 3%EA
WIDTH:57/58"
WEIGHT:242G/M2</t>
  </si>
  <si>
    <t>ART.EBT250367
COMP:100%PL PU COATED
WIDTH:140CM
WEIGHT:356G/M2</t>
  </si>
  <si>
    <t>ART.EBT250373
COMP:100%PL
WIDTH:145CM 
WEIGHT:230G/M2</t>
  </si>
  <si>
    <t>ART.EBT250378
COMP:97%CO 3%EA
WIDTH:56/57"
WEIGHT:118G/M2</t>
  </si>
  <si>
    <t>ART.EBT250379
COMP:52%PL 48%AC 
WIDTH:145CM
WEIGHT:190G/M2</t>
  </si>
  <si>
    <t>ART.EBT250383
COMP:
WIDTH:138CM
WEIGHT:289G/M2</t>
  </si>
  <si>
    <t>ART.EBT250384
COMP:100%POLY PU COATED 
WIDTH:138CM
WEIGHT:309G/M2</t>
  </si>
  <si>
    <t>ART.EBT250386
COMP:95%PL 5%EA
WIDTH:155CM
WEIGHT:250G/M2</t>
  </si>
  <si>
    <t>ART.EBT250387
COMP:100%CO
WIDTH:165CM
WEIGHT:240G/M2</t>
  </si>
  <si>
    <t>ART.EBT250389
COMP:64%PL 33% VI 3%EA 
WIDTH:57/58"
WEIGHT:270G/M2</t>
  </si>
  <si>
    <t>ART.EBT250390
COMP:64%PL 33% VI 3%EA
WIDTH:57/58"
WEIGHT:272G/M2</t>
  </si>
  <si>
    <t>ART.EBT250391
COMP:64%PL 33% VI 3%EA
WIDTH:55/56"
WEIGHT:284G/M2</t>
  </si>
  <si>
    <t>ART.EBT250393
COMP:77%POLY 23%CO
WIDTH:143CM
WEIGHT:281G/M2</t>
  </si>
  <si>
    <t>ART.EBT250395
COMP:F:100%PL G:40%WO 60%AC
WIDTH:130CM
WEIGHT:535G/M2   </t>
  </si>
  <si>
    <t>ART.EBT250396
COMP:100%poly PU
WIDTH:130CM
WEIGHT:505G/M2</t>
  </si>
  <si>
    <t>ART.EBT250397
COMP:F:100%PL G:40%WO 60%AC
WIDTH:130CM
WEIGHT:370G/M2</t>
  </si>
  <si>
    <t>ART.EBT250398
COMP:F:100%PL G:40%WO 60%AC
WIDTH:130CM
WEIGHT:435G/M2</t>
  </si>
  <si>
    <t>ART.EBT250399
COMP:60%%PL 40%WOOL PU
WIDTH:130CM
WEIGHT:475G/M2 </t>
  </si>
  <si>
    <t>ART.EBT250403
COMP:100%POLY
WIDTH:150CM
WEIGHT:120G/M2</t>
  </si>
  <si>
    <t>ART.EBT250404
COMP:100%POLY
WIDTH:155CM
WEIGHT:97G/M2</t>
  </si>
  <si>
    <t>ART.EBT250405
COMP:100%POLY
WIDTH:150CM
WEIGHT:158G/M2</t>
  </si>
  <si>
    <t>ART.EBT250406
COMP:100%PL
WIDTH:150CM
WEIGHT:135G/M2</t>
  </si>
  <si>
    <t>ART.EBT250407
COMP:100%PL
WIDTH:150CM
WEIGHT:89G/M2</t>
  </si>
  <si>
    <t>ART.EBT250408
COMP:100%PL
WIDTH:150CM
WEIGHT:127G/M2</t>
  </si>
  <si>
    <t>ART.EBT250409
COMP:100%PL
WIDTH:150CM
WEIGHT:140G/M2</t>
  </si>
  <si>
    <t>ART.EBT250410
COMP:100%PL
WIDTH:150CM
WEIGHT:133G/M2</t>
  </si>
  <si>
    <t>ART.EBT250411
COMP:40%PA 60%CO
WIDTH:150CM
WEIGHT:117G/M2</t>
  </si>
  <si>
    <t>ART.EBT250412
COMP:95%PA 5%EA
WIDTH:150CM
WEIGHT:208G/M2</t>
  </si>
  <si>
    <t>ART.EBT250413
COMP:93%PA 7%EA
WIDTH:150CM
WEIGHT:133G/M2</t>
  </si>
  <si>
    <t>ART.EBT250414
COMP:45%PA 55%CO
WIDTH:150CM
WEIGHT:145G/M2</t>
  </si>
  <si>
    <t>ART.EBT250416
COMP:100%POLY
WIDTH:150CM
WEIGHT:90G/M2</t>
  </si>
  <si>
    <t>ART.EBT150889
COMP:43%PL37%RA14%AC3%CO3%NL
WIDTH:57''
WEIGHT:185G/M2</t>
  </si>
  <si>
    <t xml:space="preserve">ART.EBT150890
COMP:33%CO67%PL
WIDTH:58''
WEIGHT:170G/M2 </t>
  </si>
  <si>
    <t>ART.EBT250417
COMP:90%PL 10%EA
WIDTH:147CM
WEIGHT:343G/M2</t>
  </si>
  <si>
    <t>ART.EBT250418
COMP:90%PL 10%EA
WIDTH:140CM
WEIGHT:321G/M2</t>
  </si>
  <si>
    <t>ART.EBT250419
COMP:90%PL 10%EA
WIDTH:138CM
WEIGHT:344G/M2</t>
  </si>
  <si>
    <t>ART.EBT250420
COMP:90%PL 10%EA
WIDTH:142CM
WEIGHT:318G/M2</t>
  </si>
  <si>
    <t>ART.EBT250422
COMP:100%POLY
WIDTH:150CM
WEIGHT:126G/M2</t>
  </si>
  <si>
    <t>ART.EBT250423
COMP:100%PL
WIDTH:145CM
WEIGHT:270G/M2</t>
  </si>
  <si>
    <t>ART.EBT250424
COMP:100%NY
WIDTH:140CM
WEIGHT:114G/M2</t>
  </si>
  <si>
    <t>ART.EBT250425
COMP:F:100% POLY G:100% NY
WIDTH:48/49"
WEIGHT:190G/M2</t>
  </si>
  <si>
    <t>ART.EBT250426
COMP:F:100% POLY G:100% NY
WIDTH:140CM
WEIGHT:186G/M2</t>
  </si>
  <si>
    <t>ART.EBT250427
COMP:25%NY 75%VI
WIDTH:140CM
WEIGHT:162G/M2</t>
  </si>
  <si>
    <t>ART.EBT250428
COMP:25%NY 75%VI
WIDTH:53/54"
WEIGHT:158G/M2</t>
  </si>
  <si>
    <t>ART.EBT250429
COMP:35%NY 65%VI
WIDTH:140CM
WEIGHT:160G/M2</t>
  </si>
  <si>
    <t>ART.EBT250430
COMP:NY+VI BURUN OUT
WIDTH:52/53"
WEIGHT:116G/M2</t>
  </si>
  <si>
    <t>ART.EBT250431
COMP:35%NY 65%VI
WIDTH:140CM
WEIGHT:116G/M2</t>
  </si>
  <si>
    <t>ART.EBT250433
COMP:83%PL 17%EA
WIDTH:134CM
WEIGHT:319G/M2</t>
  </si>
  <si>
    <t>ART.EBT250434
COMP:83%PL 17%EA
WIDTH:145CM
WEIGHT:318G/M2</t>
  </si>
  <si>
    <t>ART.EBT250435
COMP:83%PL 17%EA
WIDTH:144CM
WEIGHT:320G/M2</t>
  </si>
  <si>
    <t>ART.EBT250436
COMP:83%PL 17%EA
WIDTH:153CM
WEIGHT:311G/M2</t>
  </si>
  <si>
    <t>ART.EBT250437
COMP:83%PL 17%EA
WIDTH:146CM
WEIGHT:317G/M2</t>
  </si>
  <si>
    <t>ART.EBT250439
COMP:83%PL 17%EA
WIDTH:144CM
WEIGHT:315G/M2</t>
  </si>
  <si>
    <t>ART.EBT250440
COMP:40%CO 60%PL
WIDTH:143CM
WEIGHT:225G/M2</t>
  </si>
  <si>
    <t>ART.EBT250441
COMP:100%PL
WIDTH:59/60"
WEIGHT:297G/M2</t>
  </si>
  <si>
    <t>ART.EBT250442
COMP:63%PL 33%VI 4%EA
WIDTH:58"
WEIGHT:395G/M2</t>
  </si>
  <si>
    <t>ART.EBT250443
COMP:67%PL 33%VI 
WIDTH:57/58"
WEIGHT:325G/M2</t>
  </si>
  <si>
    <t>ART.EBT250444
COMP:96%PL   4%EA
WIDTH:57/58"
WEIGHT:327G/M2</t>
  </si>
  <si>
    <t>ART.EBT250445
COMP:63%PL 32%VI 5%EA 
WIDTH:56/57"
WEIGHT:340G/M2</t>
  </si>
  <si>
    <t>ART.EBT250446
COMP:100%PL
WIDTH:60/61"
WEIGHT:240G/M2</t>
  </si>
  <si>
    <t>ART.EBT250447
COMP:63%PL 33%VI 4%EA
WIDTH:57/58"
WEIGHT:380G/M2</t>
  </si>
  <si>
    <t>ART.EBT250448
COMP:65%PL 31%VI 4%EA
WIDTH:57/58"
WEIGHT:350G/M2</t>
  </si>
  <si>
    <t>ART.EBT250450
COMP:95%PL 5%EA PU COATED 
WIDTH:150CM
WEIGHT:180G/M2</t>
  </si>
  <si>
    <t>ART.EBT250459
COMP:95%PL 5%EA PU COATED 
WIDTH:145CM
WEIGHT:163G/M2</t>
  </si>
  <si>
    <t>ART.EBT140802B
COMP:F:5%WOOL 95%OTHERS G:100%POLY 280G/M2 SCUBA
WIDTH:57/58"
WEIGHT:</t>
  </si>
  <si>
    <t>ART.EBT150974
COMP:100%CUPRO
WIDTH:144CM
WEIGHT:90G/M2</t>
  </si>
  <si>
    <t>ART.EBT150975
COMP:100%CUPRO
WIDTH:142CM
WEIGHT:82G/M2</t>
  </si>
  <si>
    <t>ART.EBT150976
COMP:60%CUPRO40%TENCEL
WIDTH:144CM
WEIGHT:145G/M2</t>
  </si>
  <si>
    <t>ART.EBT150977
COMP:60%CUPRO40%TENCEL
WIDTH:144CM
WEIGHT:140G/M2</t>
  </si>
  <si>
    <t>ART.EBT150978
COMP:100%CUPRO
WIDTH:142CM
WEIGHT:85G/M2</t>
  </si>
  <si>
    <t>ART.EBT150980
COMP:100%TENCEL
WIDTH:144CM
WEIGHT:179G/M2</t>
  </si>
  <si>
    <t>ART.EBT150981
COMP:52%TENCEL30%MODAL18%PL
WIDTH:144CM
WEIGHT:158G/M2</t>
  </si>
  <si>
    <t>ART.EBT150982
COMP:100%TENCEL
WIDTH:144CM
WEIGHT:210G/M2</t>
  </si>
  <si>
    <t>ART.EBT150983
COMP:100%TENCEL
WIDTH:144CM
WEIGHT:168G/M2</t>
  </si>
  <si>
    <t>ART.EBT150984
COMP:59%TENCEL36%PL5%EA
WIDTH:144CM
WEIGHT:172G/M2</t>
  </si>
  <si>
    <t>ART.EBT150985
COMP:92%TENCEL8%LINEN
WIDTH:144CM
WEIGHT:182G/M2</t>
  </si>
  <si>
    <t>ART.EBT150986
COMP:57%TENCEL37%PL6%EA
WIDTH:144CM
WEIGHT:168G/M2</t>
  </si>
  <si>
    <t>ART.EBT150987
COMP:70%TENCEL30%PL
WIDTH:144CM
WEIGHT:201G/M2</t>
  </si>
  <si>
    <t>ART.EBT150988
COMP:95%TENCEL5%PL
WIDTH:144CM
WEIGHT:189G/M2</t>
  </si>
  <si>
    <t>ART.EBT150990
COMP:100%PL
WIDTH:145CM
WEIGHT:388G/M2</t>
  </si>
  <si>
    <t>ART.EBT150991
COMP:97%PL3%EA
WIDTH:145CM
WEIGHT:225G/M2</t>
  </si>
  <si>
    <t>ART.EBT150992
COMP:97%PL3%EA
WIDTH:145CM
WEIGHT:216G/M2</t>
  </si>
  <si>
    <t>ART.EBT150993
COMP:F:100%PL; G:97%PL3%EA
WIDTH:145CM
WEIGHT:302G/M2</t>
  </si>
  <si>
    <t>ART.EBT150994
COMP:F:77%PL18%VIS5%EA; G:95%PL5%EA
WIDTH:145CM
WEIGHT:629G/M2</t>
  </si>
  <si>
    <t>ART.EBT250463
COMP:30%WO 68%PL 2%LYCRA
WIDTH:144CM
WEIGHT:280G/M2</t>
  </si>
  <si>
    <t>ART.EBT250464
COMP:30%WO 68%PL 2%LYCRA
WIDTH:134CM
WEIGHT:300G/M2</t>
  </si>
  <si>
    <t>ART.EBT250465
COMP:94%POLY 6%EA
WIDTH:58"
WEIGHT:260G/M2</t>
  </si>
  <si>
    <t>ART.EBT250467
COMP:94%POLY 6%EA
WIDTH:58"
WEIGHT:235G/M2</t>
  </si>
  <si>
    <t>ART.EBT250470
COMP:97%CO 5% SP
WIDTH:55/56"
WEIGHT:270G/M2</t>
  </si>
  <si>
    <t>ART.EBT250471
COMP:97%CO 3% SP
WIDTH:54/55"
WEIGHT:280G/M2</t>
  </si>
  <si>
    <t>ART.EBT250476
COMP:97%CO 3%EL
WIDTH:56/57"
WEIGHT:270G/M2</t>
  </si>
  <si>
    <t>ART.EBT250480
COMP:21%NY 76% VI 3% EA 
WIDTH:135CM
WEIGHT:265G/M2</t>
  </si>
  <si>
    <t>ART.EBT250481
COMP:92%PL 8%EA
WIDTH:148CM
WEIGHT:370G/M2</t>
  </si>
  <si>
    <t>ART.EBT250483
COMP:88%NY 12%EA
WIDTH:150CM
WEIGHT:281G/M2</t>
  </si>
  <si>
    <t>ART.EBT250484
COMP:84%NY 16%EA
WIDTH:149CM
WEIGHT:190G/M2</t>
  </si>
  <si>
    <t>ART.EBT250485
COMP:84%NY 16%EA
WIDTH:147CM
WEIGHT:212G/M2</t>
  </si>
  <si>
    <t>ART.EBT250486
COMP:84%NY 16%EA
WIDTH:155CM
WEIGHT:162G/M2</t>
  </si>
  <si>
    <t>ART.EBT250487
COMP:84%NY 16%EA
WIDTH:161CM
WEIGHT:165G/M2</t>
  </si>
  <si>
    <t>ART.EBT250488
COMP:84%NY 16%EA
WIDTH:155CM
WEIGHT:179G/M2</t>
  </si>
  <si>
    <t>ART.EBT151019
COMP:95%PL5%EA
WIDTH:145CM
WEIGHT:235G/M2</t>
  </si>
  <si>
    <t>ART.EBT151020
COMP:95%PL5%EA
WIDTH:145CM
WEIGHT:160G/M2</t>
  </si>
  <si>
    <t>ART.EBT151022
COMP:F:100%PU
G:95%VI5%EA
WIDTH:137CM
WEIGHT:396G/M2</t>
  </si>
  <si>
    <t>ART.EBT141027-PRINT
COMP:F/G 95%PL 5%EA
WIDTH:148CM
WEIGHT:465G/M2</t>
  </si>
  <si>
    <t>ART.EBT150412
COMP:F:92%PA 8%EA
G:95%PL 5%EA
WIDTH:138CM
WEIGHT:300G/M2</t>
  </si>
  <si>
    <t>ART.EBT150429
COMP:F:100%PU 
G:95%PL 5%BRUSHED 
WIDTH:138cm
WEIGHT:300G/M2</t>
  </si>
  <si>
    <t>ART.EBT150617
COMP:100%PL
WIDTH:130CM
WEIGHT:200G/M2</t>
  </si>
  <si>
    <t>ART.EBT150618
COMP:100%PL
WIDTH:130CM
WEIGHT:170G/M2</t>
  </si>
  <si>
    <t>ART.EBT150619
COMP:100%PL
WIDTH:130CM
WEIGHT:180G/M2</t>
  </si>
  <si>
    <t>ART.EBT150628
COMP:100%PL+PU
WIDTH:130CM
WEIGHT:260G/M2</t>
  </si>
  <si>
    <t>ART.EBT150818
COMP:61%VI 32%PA 7%EA
WIDTH:58/60"
WEIGHT:300G/M2</t>
  </si>
  <si>
    <t>ART.EBT150821
COMP:65%VI 30%PA 5%EA
WIDTH:58/60"
WEIGHT:445G/M2</t>
  </si>
  <si>
    <t>ART.EBT250037
COMP:F:60%PL 40%VI G:95%PL 5%EA 
WIDTH:157CM
WEIGHT:593G/M2</t>
  </si>
  <si>
    <t>ART.EBT250038
COMP:F:90%PL 10%EA G:95%VI 5%EA
WIDTH:145CM
WEIGHT:320G/M2</t>
  </si>
  <si>
    <t>ART.EBT250060
COMP:86%PL 14%EA
WIDTH:150CM
WEIGHT:320G/M2</t>
  </si>
  <si>
    <t>ART.EBT250061
COMP:F:30%WO 70%PL G:65%PL 35%VI
WIDTH:147CM
WEIGHT:556G/M2</t>
  </si>
  <si>
    <t>ART.EBT250071
COMP:58%PL 39%VI 3%EA
WIDTH:160CM
WEIGHT:410G/M2</t>
  </si>
  <si>
    <t>ART.EBT250115
COMP:F:30%WO 70%AF G:65%PL 35%VI
WIDTH:150CM
WEIGHT:496G/M2</t>
  </si>
  <si>
    <t>ART.EBT250120
COMP:F:100%PL G:100%PL
WIDTH:137CM
WEIGHT:217G/M2</t>
  </si>
  <si>
    <t>ART.EBT250167
COMP:71%CO 28%VI 1%EA
WIDTH:145CM
WEIGHT:360G/M2</t>
  </si>
  <si>
    <t>ART.EBT250173
COMP:G:100%PL F:100%PU
WIDTH:138-140CM
WEIGHT:360G/M2</t>
  </si>
  <si>
    <t>ART.EBT250181
COMP:10%WO 90%PL
WIDTH:145CM
WEIGHT:390G/M2</t>
  </si>
  <si>
    <t>ART.EBT250227
COMP:63%TENCEL 37%VI
WIDTH:142CM
WEIGHT:223G/M2</t>
  </si>
  <si>
    <t>ART.EBT250229
COMP:F:30%PA 40%CO 30%VI G:100%PL
WIDTH:130CM
WEIGHT:288G/M2</t>
  </si>
  <si>
    <t>ART.EBT250230
COMP:F:95%PA 5%EA 30%VI G:100%PL
WIDTH:145CM
WEIGHT:295G/M2</t>
  </si>
  <si>
    <t>ART.EBT250245
COMP:73%PL 22%VI 5%EA
WIDTH:165CM
WEIGHT:350G/M2</t>
  </si>
  <si>
    <t>ART.EBT250301
COMP:G:95%PL 5%EA G:100%PU
WIDTH:140CM
WEIGHT:270G/M2</t>
  </si>
  <si>
    <t>ART.EBT250343
COMP:40%WO 60%PL
WIDTH:150CM
WEIGHT:400G/M2</t>
  </si>
  <si>
    <t>ART.EBT250364
COMP:45%WO 10%VI 45%PL 
WIDTH:57/58"
WEIGHT:387G/M2</t>
  </si>
  <si>
    <t>ART.EBT250376
COMP:56%VI 44%PL
WIDTH:58/59"
WEIGHT:309G/M2</t>
  </si>
  <si>
    <t>ART.EBT250388
COMP:95%PL 5%EA
WIDTH:58/59"
WEIGHT:308G/M2</t>
  </si>
  <si>
    <t>ART.EBT250392
COMP:53%PC 47%PL
WIDTH:144CM
WEIGHT:265G/M2</t>
  </si>
  <si>
    <t>ART.EBT250401
COMP:90%PL 10%EA
WIDTH:145CM
WEIGHT:287G/M2</t>
  </si>
  <si>
    <t>ART.EBT250421
COMP:90%PL 10%EA
WIDTH:145CM
WEIGHT:350G/M2</t>
  </si>
  <si>
    <t>ART.EBT250438
COMP:83%PL 17%EA
WIDTH:145CM
WEIGHT:313G/M2</t>
  </si>
  <si>
    <t>ART.EBT250451
COMP:95%PL 5%EA
WIDTH:162cm
WEIGHT:390G/M2</t>
  </si>
  <si>
    <t>ART.EBT250458
COMP:98%PL 2%EA
WIDTH:148CM
WEIGHT:260G/M2</t>
  </si>
  <si>
    <t>ART.EBT250460
COMP:10%WO 90%PL
WIDTH:150CM
WEIGHT:508G/M2</t>
  </si>
  <si>
    <t>ART.EBT250462
COMP:92%PL 8%EA 
WIDTH:55"
WEIGHT:248G/M2</t>
  </si>
  <si>
    <t>ART.EBT250478
COMP:F:90%PL 8%VI 2%EA 
G:95%PL 5%EA
WIDTH:152CM
WEIGHT:518G/M2</t>
  </si>
  <si>
    <t>ART.EBT250479
COMP:F:90%PL 8%VI 2%EA 
G:95%PL 5%EA
WIDTH:155CM
WEIGHT:490G/M2</t>
  </si>
  <si>
    <t>ART.EBT250498
COMP:F:40%VI 40%PA 20%PL 
G:40%WO 60%PL
WIDTH:137CM
WEIGHT:413G/M2</t>
  </si>
  <si>
    <t>ART.EBT250507
COMP:97%CO 3%EA
WIDTH:57/58"
WEIGHT:235G/M2</t>
  </si>
  <si>
    <t>ART.EBT250508
COMP:97% CO 3% EA
WIDTH:57/58"
WEIGHT:320G/M2</t>
  </si>
  <si>
    <t>ART.EBT250537
COMP:15%WO 85%OTHER
WIDTH:57/58"
WEIGHT:477G/M2</t>
  </si>
  <si>
    <t>ART.EBT250538
COMP:55%WO 36%CO 9%PA 
WIDTH:150CM
WEIGHT:347G/M2</t>
  </si>
  <si>
    <t>ART.EBT250539
COMP:55%WO 36%CO 9%PA 
WIDTH:150CM
WEIGHT:364G/M2</t>
  </si>
  <si>
    <t>ART.EBT250540
COMP:55%WO 36%CO 9%PA
WIDTH:150CM
WEIGHT:360G/M2</t>
  </si>
  <si>
    <t>ART.EBT150621-PS
COMP:PA100%+PU
WIDTH:130CM
WEIGHT:270G/M2</t>
  </si>
  <si>
    <t xml:space="preserve">ART.EBT151052
COMP:96%PL 4%EA
WIDTH:120CM
WEIGHT:390G/M2 </t>
  </si>
  <si>
    <t>ART.EBT151054
COMP:91%PL 9%EA
WIDTH:142CM
WEIGHT:170G/M2</t>
  </si>
  <si>
    <t>ART.EBT151055
COMP:91%PL 9%EA
WIDTH:142CM
WEIGHT:170G/M2</t>
  </si>
  <si>
    <t>ART.EBT151062
COMP:50%VI  42%PL 8%EA
WIDTH:148CM
WEIGHT:270G/M2</t>
  </si>
  <si>
    <t>ART.EBT151063
COMP:G:100PL G:95%PL 5%EA 
WIDTH:145CM
WEIGHT:260G/M2</t>
  </si>
  <si>
    <t>ART.EBT151074
COMP:64%PL34%VI2%EA
WIDTH:127CM
WEIGHT:240-250G/M2</t>
  </si>
  <si>
    <t>ART.EBT151075
COMP:64%PL34%VI2%EA
WIDTH:129CM
WEIGHT:180-190G/M2</t>
  </si>
  <si>
    <t>ART.EBT151076
COMP:64%PL34%VI2%EA
WIDTH:129CM
WEIGHT:240-250G/M2</t>
  </si>
  <si>
    <t>ART.EBT151077
COMP:64%PL34%VI2%EA
WIDTH:135CM
WEIGHT:230-240G/M2</t>
  </si>
  <si>
    <t>ART.EBT151078
COMP:64%PL34%VI2%EA
WIDTH:129CM
WEIGHT:185-195G/M2</t>
  </si>
  <si>
    <t>ART.EBT151136
COMP:F:80%PL20%WO;G:100%PL
WIDTH:150CM
WEIGHT:545G/M2</t>
  </si>
  <si>
    <t>ART.EBT151137
COMP:F:65%PL35%PC;G:100%PL
WIDTH:150CM
WEIGHT:465G/M2</t>
  </si>
  <si>
    <t>ART.EBT151138
COMP:F:100%PL;G:100%PL
WIDTH:150CM
WEIGHT:340G/M2</t>
  </si>
  <si>
    <t>ART.EBT151166
COMP:93%PL7%PA
WIDTH:160CM
WEIGHT:145G/M2</t>
  </si>
  <si>
    <t>ART.EBT151167
COMP:93%PL7%PA
WIDTH:160CM
WEIGHT:140G/M2</t>
  </si>
  <si>
    <t>ART.EBT151168
COMP:50%PL50%VI
WIDTH:145CM
WEIGHT:530G/M2</t>
  </si>
  <si>
    <t>ART.EBT151169
COMP:98%PL2%EA
WIDTH:145CM
WEIGHT:670G/M2</t>
  </si>
  <si>
    <t>ART.EBT151170
COMP:100%PL
WIDTH:145CM
WEIGHT:580G/M2</t>
  </si>
  <si>
    <t>ART.EBT151171
COMP:30%WO70%PL
WIDTH:145CM
WEIGHT:800G/M2</t>
  </si>
  <si>
    <t>ART.EBT151172
COMP:90%PL8%CO2%EA
WIDTH:145CM
WEIGHT:800G/M2</t>
  </si>
  <si>
    <t>ART.EBT151173
COMP:48%CO18%PA 34%PL
WIDTH:145CM
WEIGHT:390G/M2</t>
  </si>
  <si>
    <t>ART.EBT151174
COMP:100%PL
WIDTH:145CM
WEIGHT:310G/M2</t>
  </si>
  <si>
    <t>ART.EBT151175
COMP:98%PL2%EA
WIDTH:145CM
WEIGHT:580G/M2</t>
  </si>
  <si>
    <t>ART.EBT151176
COMP:100%PL
WIDTH:145CM
WEIGHT:580G/M2</t>
  </si>
  <si>
    <t>ART.EBT151177
COMP:96%PL4%EA
WIDTH:142CM
WEIGHT:480G/M2</t>
  </si>
  <si>
    <t>ART.EBT151178
COMP:71%PL6%EA 23%PA
WIDTH:142CM
WEIGHT:480G/M2</t>
  </si>
  <si>
    <t>ART.EBT151179
COMP:100%PL
WIDTH:145CM
WEIGHT:150G/M2</t>
  </si>
  <si>
    <t>ART.EBT151180
COMP:100%PL
WIDTH:142CM
WEIGHT:340G/M2</t>
  </si>
  <si>
    <t>ART.EBT151182
COMP:100%PL
WIDTH:145CM
WEIGHT:50G/M2</t>
  </si>
  <si>
    <t>ART.EBT151183
COMP:100%PL
WIDTH:145CM
WEIGHT:110G/M2</t>
  </si>
  <si>
    <t>ART.EBT151184
COMP:35%CO15%PA25%PL25%PU
WIDTH:137CM
WEIGHT:320G/M2</t>
  </si>
  <si>
    <t>ART.EBT151185
COMP:100%PL
WIDTH:145CM
WEIGHT:100G/M2</t>
  </si>
  <si>
    <t>ART.EBT151187
COMP:35%PA65%VI
WIDTH:112CM
WEIGHT:100G/M2</t>
  </si>
  <si>
    <t>ART.EBT151188
COMP:27%PL70%CO3%EA
WIDTH:127CM
WEIGHT:410G/M2</t>
  </si>
  <si>
    <t>ART.EBT151201
COMP:83%PL17%EA
WIDTH:150CM
WEIGHT:170G/M2</t>
  </si>
  <si>
    <t>ART.EBT151202
COMP:50%PL50%VI
WIDTH:160CM
WEIGHT:275G/M2</t>
  </si>
  <si>
    <t>ART.EBT151203
COMP:69%PL23%VI8%ME　
WIDTH:160CM
WEIGHT:340G/M2</t>
  </si>
  <si>
    <t>ART.EBT151204
COMP:33%PC67%PL　
WIDTH:155CM
WEIGHT:315G/M2</t>
  </si>
  <si>
    <t>ART.EBT151205
COMP:100%PL
WIDTH:122CM
WEIGHT:295G/M2</t>
  </si>
  <si>
    <t>ART.EBT151181
COMP:65%PL35%VI
WIDTH:145CM
WEIGHT:60-70G/M2</t>
  </si>
  <si>
    <t>ART.EBT151186
COMP:100%PL
WIDTH:145CM
WEIGHT:290G/M2</t>
  </si>
  <si>
    <t>ART.EBT151230
COMP:61%PL36%CO3%EA
WIDTH:134CM
WEIGHT:180G/M2</t>
  </si>
  <si>
    <t xml:space="preserve">ART.EBT151231
COMP:61%PL36%CO3%EA
WIDTH:137CM
WEIGHT:180G/M2 </t>
  </si>
  <si>
    <t>ART.EBT151232
COMP:38%PL61%CO1%EA
WIDTH:152CM
WEIGHT:225G/M2</t>
  </si>
  <si>
    <t>ART.EBT151233
COMP:75%PL24%CO1%EA
WIDTH:134CM
WEIGHT:260G/M2</t>
  </si>
  <si>
    <t>ART.EBT151234
COMP:25%PL75%CO
WIDTH:137CM
WEIGHT:310G/M2</t>
  </si>
  <si>
    <t>ART.EBT151239
COMP:66%CO33%PL1%EA
WIDTH:134CM
WEIGHT:265G/M2</t>
  </si>
  <si>
    <t>ART.EBT151240
COMP:43%PL54%CO3%EA
WIDTH:134CM
WEIGHT:250G/M2</t>
  </si>
  <si>
    <t>ART.EBT130913-JR
COMP:100%PL
WIDTH:57/58"
WEIGHT:205G/M2
info@ebtex.com.cn</t>
  </si>
  <si>
    <t>ART.EBT150412
COMP:F:92%PA 8%EA
G:95%PL 5%EA
WIDTH:138CM
WEIGHT:300G/M2
info@ebtex.com.cn</t>
  </si>
  <si>
    <t>ART.EBT150429
COMP:F:100%PU 
G:95%PL 5%BRUSHED 
WIDTH:138cm
WEIGHT:300G/M2
info@ebtex.com.cn</t>
  </si>
  <si>
    <t>ART.EBT150617
COMP:100%PL
WIDTH:130CM
WEIGHT:200G/M2
info@ebtex.com.cn</t>
  </si>
  <si>
    <t>ART.EBT150618
COMP:100%PL
WIDTH:130CM
WEIGHT:170G/M2
info@ebtex.com.cn</t>
  </si>
  <si>
    <t>ART.EBT150619
COMP:100%PL
WIDTH:130CM
WEIGHT:180G/M2
info@ebtex.com.cn</t>
  </si>
  <si>
    <t>ART.EBT150628
COMP:100%PL+PU
WIDTH:130CM
WEIGHT:260G/M2
info@ebtex.com.cn</t>
  </si>
  <si>
    <t>ART.EBT150818
COMP:61%VI 32%PA 7%EA
WIDTH:58/60"
WEIGHT:300G/M2
info@ebtex.com.cn</t>
  </si>
  <si>
    <t>ART.EBT150821
COMP:65%VI 30%PA 5%EA
WIDTH:58/60"
WEIGHT:445G/M2
info@ebtex.com.cn</t>
  </si>
  <si>
    <t>ART.EBT250037
COMP:F:60%PL 40%VI G:95%PL 5%EA 
WIDTH:157CM
WEIGHT:593G/M2
info@ebtex.com.cn</t>
  </si>
  <si>
    <t>ART.EBT250038
COMP:F:90%PL 10%EA G:95%VI 5%EA
WIDTH:145CM
WEIGHT:320G/M2
info@ebtex.com.cn</t>
  </si>
  <si>
    <t>ART.EBT250060
COMP:86%PL 14%EA
WIDTH:150CM
WEIGHT:320G/M2
info@ebtex.com.cn</t>
  </si>
  <si>
    <t>ART.EBT250061
COMP:F:30%WO 70%PL G:65%PL 35%VI
WIDTH:147CM
WEIGHT:556G/M2
info@ebtex.com.cn</t>
  </si>
  <si>
    <t>ART.EBT250062
COMP:F:30%WO 70%PL G:65%PL 35%VI
WIDTH:150CM
WEIGHT:554G/M2
info@ebtex.com.cn</t>
  </si>
  <si>
    <t>ART.EBT250071
COMP:58%PL 39%VI 3%EA
WIDTH:160CM
WEIGHT:410G/M2
info@ebtex.com.cn</t>
  </si>
  <si>
    <t>ART.EBT250115
COMP:F:30%WO 70%AF G:65%PL 35%VI
WIDTH:150CM
WEIGHT:496G/M2
info@ebtex.com.cn</t>
  </si>
  <si>
    <t>ART.EBT250120
COMP:F:100%PL G:100%PL
WIDTH:137CM
WEIGHT:217G/M2
info@ebtex.com.cn</t>
  </si>
  <si>
    <t>ART.EBT250167
COMP:71%CO 28%VI 1%EA
WIDTH:145CM
WEIGHT:360G/M2
info@ebtex.com.cn</t>
  </si>
  <si>
    <t>ART.EBT250173
COMP:G:100%PL F:100%PU
WIDTH:138-140CM
WEIGHT:360G/M2
info@ebtex.com.cn</t>
  </si>
  <si>
    <t>ART.EBT250181
COMP:10%WO 90%PL
WIDTH:145CM
WEIGHT:390G/M2
info@ebtex.com.cn</t>
  </si>
  <si>
    <t>ART.EBT250227
COMP:63%TENCEL 37%VI
WIDTH:142CM
WEIGHT:223G/M2
info@ebtex.com.cn</t>
  </si>
  <si>
    <t>ART.EBT250229
COMP:F:30%PA 40%CO 30%VI G:100%PL
WIDTH:130CM
WEIGHT:288G/M2
info@ebtex.com.cn</t>
  </si>
  <si>
    <t>ART.EBT250230
COMP:F:95%PA 5%EA 30%VI G:100%PL
WIDTH:145CM
WEIGHT:295G/M2
info@ebtex.com.cn</t>
  </si>
  <si>
    <t>ART.EBT250245
COMP:73%PL 22%VI 5%EA
WIDTH:165CM
WEIGHT:350G/M2
info@ebtex.com.cn</t>
  </si>
  <si>
    <t>ART.EBT250301
COMP:G:95%PL 5%EA G:100%PU
WIDTH:140CM
WEIGHT:270G/M2
info@ebtex.com.cn</t>
  </si>
  <si>
    <t>ART.EBT250343
COMP:40%WO 60%PL
WIDTH:150CM
WEIGHT:400G/M2
info@ebtex.com.cn</t>
  </si>
  <si>
    <t>ART.EBT250364
COMP:45%WO 10%VI 45%PL 
WIDTH:57/58"
WEIGHT:387G/M2
info@ebtex.com.cn</t>
  </si>
  <si>
    <t>ART.EBT250376
COMP:56%VI 44%PL
WIDTH:58/59"
WEIGHT:309G/M2
info@ebtex.com.cn</t>
  </si>
  <si>
    <t>ART.EBT250388
COMP:95%PL 5%EA
WIDTH:58/59"
WEIGHT:308G/M2
info@ebtex.com.cn</t>
  </si>
  <si>
    <t>ART.EBT250392
COMP:53%PC 47%PL
WIDTH:144CM
WEIGHT:265G/M2
info@ebtex.com.cn</t>
  </si>
  <si>
    <t>ART.EBT250401
COMP:90%PL 10%EA
WIDTH:145CM
WEIGHT:287G/M2
info@ebtex.com.cn</t>
  </si>
  <si>
    <t>ART.EBT250421
COMP:90%PL 10%EA
WIDTH:145CM
WEIGHT:350G/M2
info@ebtex.com.cn</t>
  </si>
  <si>
    <t>ART.EBT250438
COMP:83%PL 17%EA
WIDTH:145CM
WEIGHT:313G/M2
info@ebtex.com.cn</t>
  </si>
  <si>
    <t>ART.EBT250451
COMP:95%PL 5%EA
WIDTH:162cm
WEIGHT:390G/M2
info@ebtex.com.cn</t>
  </si>
  <si>
    <t>ART.EBT250458
COMP:98%PL 2%EA
WIDTH:148CM
WEIGHT:260G/M2
info@ebtex.com.cn</t>
  </si>
  <si>
    <t>ART.EBT250460
COMP:10%WO 90%PL
WIDTH:150CM
WEIGHT:508G/M2
info@ebtex.com.cn</t>
  </si>
  <si>
    <t>ART.EBT250462
COMP:92%PL 8%EA 
WIDTH:55"
WEIGHT:248G/M2
info@ebtex.com.cn</t>
  </si>
  <si>
    <t>ART.EBT250478
COMP:F:90%PL 8%VI 2%EA 
G:95%PL 5%EA
WIDTH:152CM
WEIGHT:518G/M2
info@ebtex.com.cn</t>
  </si>
  <si>
    <t>ART.EBT250479
COMP:F:90%PL 8%VI 2%EA 
G:95%PL 5%EA
WIDTH:155CM
WEIGHT:490G/M2
info@ebtex.com.cn</t>
  </si>
  <si>
    <t xml:space="preserve">ART.EBT250601
COMP:79%PL 18%CO 3%EA
WIDTH:140CM
WEIGHT:320G/M </t>
  </si>
  <si>
    <t>EBT151269</t>
  </si>
  <si>
    <t>ART.EBT151270
COMP:100%PL 
WIDTH:144CM
WEIGHT:125G/M2</t>
  </si>
  <si>
    <t>ART.EBT151273
COMP:73%PL 25%VI 2%EA
WIDTH:145CM
WEIGHT:195G/M2</t>
  </si>
  <si>
    <t>ART.EBT151269
COMP:100%CO
WIDTH:135CM
WEIGHT:210G/M2</t>
  </si>
  <si>
    <t>EBT151238</t>
  </si>
  <si>
    <t>EBT120055</t>
  </si>
  <si>
    <t>EBT130902</t>
  </si>
  <si>
    <t>ART.EBT151238
COMP:60%CO 40%PA
WIDTH:141CM
WEIGHT:</t>
  </si>
  <si>
    <t>ART.EBT130902
COMP:100%POLY
WIDTH:52"
WEIGHT:</t>
  </si>
  <si>
    <t>EBT120794</t>
  </si>
  <si>
    <t>EBT130293</t>
  </si>
  <si>
    <t>EBT130710 FOIL</t>
  </si>
  <si>
    <t>EBT250719</t>
  </si>
  <si>
    <t>EBT250720</t>
  </si>
  <si>
    <t>EBT250716</t>
  </si>
  <si>
    <t>EBT250717</t>
  </si>
  <si>
    <t>EBT250718</t>
  </si>
  <si>
    <t>ART.EBT250717
COMP:100%PL
WIDTH:58/59"
WEIGHT:76G/M2</t>
  </si>
  <si>
    <t>ART.EBT250718
COMP:100%PL
WIDTH:54/55"
WEIGHT:68G/M2</t>
  </si>
  <si>
    <t>ART.EBT130293
COMP:91%PL 9%EA
WIDTH:56/58"
WEIGHT:209G/M2</t>
  </si>
  <si>
    <t>EBT151290</t>
  </si>
  <si>
    <t>ART.EBT151290
COMP:96%PL 4%EA
WIDTH:126CM
WEIGHT:230G/M2</t>
  </si>
  <si>
    <t>EBT151268</t>
  </si>
  <si>
    <t>ART.EBT130710 FOIL
COMP:86%CO 13%PL 1%EA
WIDTH:142CM
WEIGHT:267G/M2</t>
  </si>
  <si>
    <t>ART.EBT120055
COMP:G:100%PA
WIDTH:132CM
WEIGHT:280G/M2</t>
  </si>
  <si>
    <t>ART.EBT250716
COMP:100% PL 
WIDTH:138CM
WEIGHT:285G/M2</t>
  </si>
  <si>
    <t>ART.EBT250720
COMP:F:100%PL G:95%PL 5%EA 
WIDTH:145CM
WEIGHT:252G/M2</t>
  </si>
  <si>
    <t>EBT151291</t>
  </si>
  <si>
    <t>ART.EBT130865-GA
COMP:F:92%PA 8%EA
G:95%PL 5%EA
WIDTH:138CM
WEIGHT:420G/M2</t>
  </si>
  <si>
    <t>ART.EBT130865-GA
COMP:F:92%PA 8%EA
G:95%PL 5%EA
WIDTH:138CM
WEIGHT:420G/M2
info@ebtex.com.cn</t>
  </si>
  <si>
    <t>ART.EBT151100
COMP:Lace:65%CO35%PA G:2%EA98%PL
WIDTH:50"
WEIGHT:333G/M</t>
  </si>
  <si>
    <t>ART.EBT151101
COMP:Lace:51.2%VI28.6%CO21.2%PA G:2%EA98%PA
WIDTH:50"
WEIGHT:370G/M</t>
  </si>
  <si>
    <t>ART.EBT151120
COMP:Lace:30%PA70%CO G:80%VI 20%W
WIDTH:48"
WEIGHT:360G/M</t>
  </si>
  <si>
    <t>ART.EBT151206
COMP:F:92%PL8%EA;G:100%PL
WIDTH:140CM
WEIGHT:320G/M2</t>
  </si>
  <si>
    <t>ART.EBT151229
COMP:F:100%PL;G:(F:80%PL20%WO;G:100%PL)
WIDTH:137CM
WEIGHT:</t>
  </si>
  <si>
    <t>ART.EBT111379
COMP:45%VI 25%PL 25%PA 5%EA 
WIDTH:58"
WEIGHT:300G/M2
info@ebtex.com.cn</t>
  </si>
  <si>
    <t>ART.EBT120693
COMP:25%PL 75%VI
WIDTH:124CM
info@ebtex.com.cn</t>
  </si>
  <si>
    <t>ART.EBT120697
COMP:25%PL 75%VI
WIDTH:123CM
info@ebtex.com.cn</t>
  </si>
  <si>
    <t>ART.EBT120819
COMP:G:100%PA
EMB:100%CO
WIDTH:50/52"
WEIGHT:112G/M2
info@ebtex.com.cn</t>
  </si>
  <si>
    <t>ART.EBT130304
COMP:18%PC 82%PL
WIDTH:136CM
WEIGHT:285G/M2
info@ebtex.com.cn</t>
  </si>
  <si>
    <t>ART.EBT130544B
COMP:F:96%PL 4%EA
G:95%PL 5%EA
WIDTH:57/58''
WEIGHT:473G/M2
info@ebtex.com.cn</t>
  </si>
  <si>
    <t>ART.EBT140046
COMP:61%CO 38%PL 1%EA
WIDTH:55"
WEIGHT:270G/M2
info@ebtex.com.cn</t>
  </si>
  <si>
    <t>ART.EBT140120
COMP:88%PA 12%EA
WIDTH:150CM
WEIGHT:197G/M2
info@ebtex.com.cn</t>
  </si>
  <si>
    <t>ART.EBT140178-POLY
COMP:F:100%PL
G:100%PL
WIDTH:55"
WEIGHT:380G/M2
info@ebtex.com.cn</t>
  </si>
  <si>
    <t>ART.EBT140428
COMP:100%PA
WIDTH:150CM
WEIGHT:21G/M2
info@ebtex.com.cn</t>
  </si>
  <si>
    <t>ART.EBT140489
COMP:62%VI 34%PA 4%EA
WIDTH:150CM
WEIGHT:320-330G/M2
info@ebtex.com.cn</t>
  </si>
  <si>
    <t>ART.EBT140557
COMP:90%PL 10%CO
WIDTH:55/56"
WEIGHT:289G/M2
info@ebtex.com.cn</t>
  </si>
  <si>
    <t>ART.EBT140609-H
COMP:95%PL 5%EA
WIDTH:142CM
WEIGHT:140G/M2
info@ebtex.com.cn</t>
  </si>
  <si>
    <t>ART.EBT140858
COMP:60%CO  40%PL
WIDTH:56/57"
WEIGHT:235G/M2
info@ebtex.com.cn</t>
  </si>
  <si>
    <t>ART.EBT140907
COMP:29%PL 24%VI 34%PC 6%WO 7%ME
WIDTH:145CM
WEIGHT:360G/M
info@ebtex.com.cn</t>
  </si>
  <si>
    <t>ART.EBT140908
COMP:29%PL 24%VI 34%PC 6%WO 7%ME
WIDTH:145CM
WEIGHT:360G/M
info@ebtex.com.cn</t>
  </si>
  <si>
    <t>ART.EBT141017
COMP:38%PL 55%CO 7%ME
WIDTH:57/58"
WEIGHT:340G/M
info@ebtex.com.cn</t>
  </si>
  <si>
    <t>ART.EBT141034
COMP:F:100%PU G:100%PL
WIDTH:137+/-2CM
WEIGHT:0.53MM
info@ebtex.com.cn</t>
  </si>
  <si>
    <t>ART.EBT150014-JR
COMP:100%PL
WIDTH:57/58"
WEIGHT:98G/M2
info@ebtex.com.cn</t>
  </si>
  <si>
    <t>ART.EBT150033
COMP:44%PL 43%VI 13%EA
WIDTH:54/55"
WEIGHT:292G/M2
info@ebtex.com.cn</t>
  </si>
  <si>
    <t>ART.EBT150051
COMP:47%PL 50%CO 3%EA
WIDTH:145CM
WEIGHT:220G/M2
info@ebtex.com.cn</t>
  </si>
  <si>
    <t>ART.EBT150147
COMP:F:70%PA 20%CO 10%VI
G:95%P 5%EA
WIDTH:144CM
WEIGHT:396G/M2
info@ebtex.com.cn</t>
  </si>
  <si>
    <t>ART.EBT150239
COMP:F:100%PL 
G:95%PL 5%EA 
WIDTH:144CM
WEIGHT:373G/M2
info@ebtex.com.cn</t>
  </si>
  <si>
    <t>ART.EBT150244
COMP:F:100%PL
G:95%PL 5%EA
WIDTH:143CM
WEIGHT:525G/M2
info@ebtex.com.cn</t>
  </si>
  <si>
    <t>ART.EBT150332
COMP:82%PL 13%VI 5%EA
WIDTH:148CM
WEIGHT:380G/M2
info@ebtex.com.cn</t>
  </si>
  <si>
    <t>ART.EBT150361
COMP:100%PL
WIDTH:52/56"
WEIGHT:125G/M2
info@ebtex.com.cn</t>
  </si>
  <si>
    <t>ART.EBT150414
COMP:100%PL
WIDTH:135CM
WEIGHT:
info@ebtex.com.cn</t>
  </si>
  <si>
    <t>ART.EBT150417
COMP:100%PL
WIDTH:58/59"
WEIGHT:210G/M2
info@ebtex.com.cn</t>
  </si>
  <si>
    <t>ART.EBT150449
COMP:F:100%PL
G:92%PL 8%EA
WIDTH:56/57"
WEIGHT:380G/M2
info@ebtex.com.cn</t>
  </si>
  <si>
    <t>ART.EBT150473
COMP:38%PL 61%CO 1%EA
WIDTH:55"
WEIGHT:238G/M2
info@ebtex.com.cn</t>
  </si>
  <si>
    <t>ART.EBT150477
COMP:44%PL 56%PC
WIDTH:55"
WEIGHT:288G/M2
info@ebtex.com.cn</t>
  </si>
  <si>
    <t>ART.EBT150478
COMP:44%PL 56%PC
WIDTH:55"
WEIGHT:285G/M2
info@ebtex.com.cn</t>
  </si>
  <si>
    <t>ART.EBT150479
COMP:44%PL 56%PC
WIDTH:55"
WEIGHT:288G/M2
info@ebtex.com.cn</t>
  </si>
  <si>
    <t>ART.EBT150483
COMP:83%PL 15%VI 2%EA
WIDTH:155CM
WEIGHT:360G/M2
info@ebtex.com.cn</t>
  </si>
  <si>
    <t>ART.EBT150486
COMP:98%PL 2%EA
WIDTH:150CM
WEIGHT:330G/M2
info@ebtex.com.cn</t>
  </si>
  <si>
    <t>ART.EBT150502-B
COMP:100%PL 100%PU
WIDTH:115CM
WEIGHT:
info@ebtex.com.cn</t>
  </si>
  <si>
    <t>ART.EBT150511
COMP:100%PL
WIDTH:150CM
WEIGHT:175G/M2
info@ebtex.com.cn</t>
  </si>
  <si>
    <t>ART.EBT150513
COMP:100%PL
WIDTH:150CM
WEIGHT:300G/M2
info@ebtex.com.cn</t>
  </si>
  <si>
    <t>ART.EBT150599
COMP:100%PL
WIDTH:125CM
WEIGHT:268G/M2
info@ebtex.com.cn</t>
  </si>
  <si>
    <t>ART.EBT150622-JR
COMP:EMB:100%PU 
G:100%PL
WIDTH:130CM
WEIGHT:
info@ebtex.com.cn</t>
  </si>
  <si>
    <t>ART.EBT150622-JR
COMP:EMB:100%PL
G:100%PL
WIDTH:130CM
WEIGHT:
info@ebtex.com.cn</t>
  </si>
  <si>
    <t>ART.EBT150626B-JR
COMP:EMB:100%PU 
G:100%PL
WIDTH:130CM
WEIGHT:
info@ebtex.com.cn</t>
  </si>
  <si>
    <t>ART.EBT150631
COMP:F:100%PL
G:95%PL 5%EA
WIDTH:57/58"
WEIGHT:660G/M2
info@ebtex.com.cn</t>
  </si>
  <si>
    <t>ART.EBT150634
COMP:F:100%PL
G:95%PL 5%EA
WIDTH:57/58"
WEIGHT:694G/M2
info@ebtex.com.cn</t>
  </si>
  <si>
    <t>ART.EBT150642-PS
COMP:20%PL 80%CO
WIDTH:144CM
WEIGHT:135G/M2
info@ebtex.com.cn</t>
  </si>
  <si>
    <t>ART.EBT150655
COMP:100%PL
WIDTH:135CM
WEIGHT:300G/M2
info@ebtex.com.cn</t>
  </si>
  <si>
    <t>ART.EBT150662
COMP:100%PL
WIDTH:130CM
WEIGHT:165G/M2
info@ebtex.com.cn</t>
  </si>
  <si>
    <t>ART.EBT150667
COMP:100%PL
WIDTH:130CM
WEIGHT:
info@ebtex.com.cn</t>
  </si>
  <si>
    <t>ART.EBT150674
COMP:60%CO 37%PL 3%EA
WIDTH:155CM
WEIGHT:320G/M2
info@ebtex.com.cn</t>
  </si>
  <si>
    <t>ART.EBT150686
COMP:100%PL
WIDTH:150CM
WEIGHT:140G/M2
info@ebtex.com.cn</t>
  </si>
  <si>
    <t>ART.EBT150694
COMP:100%PL
WIDTH:130CM
WEIGHT:225G/M2
info@ebtex.com.cn</t>
  </si>
  <si>
    <t>ART.EBT150730
COMP:100%PL
WIDTH:125CM
WEIGHT:230G/M2
info@ebtex.com.cn</t>
  </si>
  <si>
    <t>ART.EBT150731
COMP:100%PL
WIDTH:125CM
WEIGHT:280G/M2
info@ebtex.com.cn</t>
  </si>
  <si>
    <t>ART.EBT150732
COMP:100%PL
WIDTH:125CM
WEIGHT:360G/M2
info@ebtex.com.cn</t>
  </si>
  <si>
    <t>ART.EBT150778
COMP:95%PL 5%EA +100%PL
WIDTH:140cm
WEIGHT:
info@ebtex.com.cn</t>
  </si>
  <si>
    <t>ART.EBT150860
COMP:95%PL 5%EA
WIDTH:135CM
WEIGHT:353G/M2
info@ebtex.com.cn</t>
  </si>
  <si>
    <t>ART.EBT150924
COMP:90%PL 6%VI 4%EA
WIDTH:62"
WEIGHT:390G/M2
info@ebtex.com.cn</t>
  </si>
  <si>
    <t>ART.EBT150925
COMP:87%PL 10%VI 3%EA
WIDTH:62"
WEIGHT:360G/M2
info@ebtex.com.cn</t>
  </si>
  <si>
    <t>ART.EBT250029
COMP:25%PA 75%VI
WIDTH:140CM
WEIGHT:167G/M2
info@ebtex.com.cn</t>
  </si>
  <si>
    <t>ART.EBT250032
COMP:F:95%PA 5%EA
 G:95%PL 5%EA
WIDTH:141CM
WEIGHT:373G/M2
info@ebtex.com.cn</t>
  </si>
  <si>
    <t>ART.EBT250033
COMP:F:100%PA 
G:95%PL 5%EA
WIDTH:134CM
WEIGHT:382G/M2
info@ebtex.com.cn</t>
  </si>
  <si>
    <t>ART.EBT250034
COMP:F:95%PA 5%EA
G:95%PL 5%EA
WIDTH:146CM
WEIGHT:355G/M2
info@ebtex.com.cn</t>
  </si>
  <si>
    <t>ART.EBT250310
COMP:40% WO 60%AF
WIDTH:57/58"
WEIGHT:600G/ML
info@ebtex.com.cn</t>
  </si>
  <si>
    <t>ART.EBT250332
COMP:100%CO
WIDTH:132CM
WEIGHT:
info@ebtex.com.cn</t>
  </si>
  <si>
    <t>ART.EBT250333
COMP:100%CO
WIDTH:132CM
WEIGHT:
info@ebtex.com.cn</t>
  </si>
  <si>
    <t>ART.EBT250335
COMP:100%CO
WIDTH:125CM
WEIGHT:
info@ebtex.com.cn</t>
  </si>
  <si>
    <t>ART.EBT250336
COMP:100%CO
WIDTH:125CM
WEIGHT:
info@ebtex.com.cn</t>
  </si>
  <si>
    <t>ART.EBT250337
COMP:100%CO
WIDTH:125CM
WEIGHT:
info@ebtex.com.cn</t>
  </si>
  <si>
    <t>ART.EBT250338
COMP:100%CO
WIDTH:125CM
WEIGHT:
info@ebtex.com.cn</t>
  </si>
  <si>
    <t>ART.EBT250063
COMP:
WIDTH:
WEIGHT:</t>
  </si>
  <si>
    <t>ART.EBT250069
COMP:100%PL 
WIDTH:130CM
WEIGHT:</t>
  </si>
  <si>
    <t>ART.EBT250184
COMP:68%PL 30%CO 2%EA
WIDTH:165CM
WEIGHT:270G/M2</t>
  </si>
  <si>
    <t>ART.EBT250225
COMP:51%VI 47%PA 2%EA
WIDTH:176CM
WEIGHT:202G/M2</t>
  </si>
  <si>
    <t>ART.EBT250264
COMP:CANCELLED THIS ITEM
WIDTH:
WEIGHT:</t>
  </si>
  <si>
    <t>ART.EBT250292
COMP:100%PL
WIDTH:150CM
WEIGHT:400G/M2</t>
  </si>
  <si>
    <t>ART.EBT150116
COMP:G:100%PL
EMB:100%CO
WIDTH:130CM
WEIGHT:</t>
  </si>
  <si>
    <t>ART.EBT150365
COMP:G:100%PA EMB:100%C
WIDTH:130-135CM
WEIGHT:</t>
  </si>
  <si>
    <t>ART.EBT150389
COMP:G:100%N
EMB:100%C
WIDTH:125-130CM
WEIGHT:</t>
  </si>
  <si>
    <t>ART.EBT150447
COMP:G:100%PL
WIDTH:52"
WEIGHT:280G/M2</t>
  </si>
  <si>
    <t>ART.EBT150490
COMP:G:100%N EMB:100%C
WIDTH:125CM
WEIGHT:130G/M2</t>
  </si>
  <si>
    <t>ART.EBT150718
COMP:G:100%PA EMB:100%PL
WIDTH:130CM
WEIGHT:</t>
  </si>
  <si>
    <t>ART.EBT150789
COMP:G:100%NYLON EMB:100%CTN
WIDTH:120CM
WEIGHT:</t>
  </si>
  <si>
    <t>ART.EBT150790
COMP:G:100%NYLON EMB:100%POLY
WIDTH:120CM
WEIGHT:</t>
  </si>
  <si>
    <t>ART.EBT150792
COMP:G:100%N EBM:100%CTN
WIDTH:125CM
WEIGHT:</t>
  </si>
  <si>
    <t>ART.EBT150806
COMP:G:100%POLY, EMB:100%N
WIDTH:135CM
WEIGHT:</t>
  </si>
  <si>
    <t>ART.EBT150807
COMP:G:100%POLY, EMB:100%N
WIDTH:130CM
WEIGHT:</t>
  </si>
  <si>
    <t>ART.EBT250371
COMP:97%PL 3%EA
WIDTH:130CM
WEIGHT:240G/M2 </t>
  </si>
  <si>
    <t>ART.EBT250372
COMP:91%PL 9%EA
WIDTH:145-150CM 
WEIGHT:430G/M2</t>
  </si>
  <si>
    <t>ART.EBT250374
COMP:91%PL 9%EA
WIDTH:145-150CM
WEIGHT:480G/M2</t>
  </si>
  <si>
    <t>ART.EBT150871
COMP:95%PL 5%EA
WIDTH:142CM
WEIGHT:300G/M2</t>
  </si>
  <si>
    <t>ART.EBT150874
COMP:F:95%PL 5%EA
G:95%PL 5%EA
WIDTH:142CM
WEIGHT:440G/M2</t>
  </si>
  <si>
    <t>ART.EBT150877
COMP:F:95%PL;5%EA
G:96%R,4%EA
WIDTH:142CM
WEIGHT:340G/M2</t>
  </si>
  <si>
    <t>ART.EBT150879
COMP:100%POLY
WIDTH:125CM
WEIGHT:</t>
  </si>
  <si>
    <t>ART.EBT150884
COMP:G:100%N EMB:100%C
WIDTH:125CM
WEIGHT:</t>
  </si>
  <si>
    <t>ART.EBT150933
COMP:100%CTN
WIDTH:135CM
WEIGHT:</t>
  </si>
  <si>
    <t>ART.EBT150934
COMP:100%POLY
WIDTH:120CM
WEIGHT:</t>
  </si>
  <si>
    <t>ART.EBT150935
COMP:100%POLY
WIDTH:155CM
WEIGHT:</t>
  </si>
  <si>
    <t>ART.EBT150936
COMP:100%POLY
WIDTH:125CM
WEIGHT:</t>
  </si>
  <si>
    <t>ART.EBT150938
COMP:100%CTN
WIDTH:115CM
WEIGHT:</t>
  </si>
  <si>
    <t>ART.EBT150939
COMP:100%POLY
WIDTH:135CM
WEIGHT:</t>
  </si>
  <si>
    <t>ART.EBT140618
COMP:G:100%PL
EMB:100%CO
WIDTH:128CM
WEIGHT:</t>
  </si>
  <si>
    <t>ART.EBT140920
COMP:F:92%PL 8%EA
G:95%PL 5%EA
WIDTH:147CM
WEIGHT:511G/M2</t>
  </si>
  <si>
    <t>ART.EBT140921
COMP:F:92%PL 8%EA
G:95%PL 5%EA
WIDTH:147CM
WEIGHT:569G/M2</t>
  </si>
  <si>
    <t>ART.EBT141024
COMP:G:100%PL
EMB:100%CO
WIDTH:53"
WEIGHT:150G/M2</t>
  </si>
  <si>
    <t>ART.EBT141051
COMP:F:100%PU
G:100%POLY
WIDTH:137CM
WEIGHT:190G/M2/+-10</t>
  </si>
  <si>
    <t>ART.EBT150965
COMP:100%POLY
WIDTH:142CM
WEIGHT:217G/M2</t>
  </si>
  <si>
    <t>ART.EBT150966
COMP:100%POLY
WIDTH:142CM
WEIGHT:213G/M2</t>
  </si>
  <si>
    <t>ART.EBT150967
COMP:100%POLY
WIDTH:142CM
WEIGHT:230G/M2</t>
  </si>
  <si>
    <t>ART.EBT150968
COMP:97%POLY 3%EA 
WIDTH:142CM
WEIGHT:269G/M2</t>
  </si>
  <si>
    <t>ART.EBT150969
COMP:96%POLY 4%EA
WIDTH:142CM
WEIGHT:268G/M2</t>
  </si>
  <si>
    <t>ART.EBT150970
COMP:97%POLY 3%EA 
WIDTH:142CM
WEIGHT:290G/M2</t>
  </si>
  <si>
    <t>ART.EBT150971
COMP:100%POLY 
WIDTH:142CM
WEIGHT:205G/M2</t>
  </si>
  <si>
    <t>ART.EBT150972
COMP:100%POLY
WIDTH:142CM
WEIGHT:252G/M2</t>
  </si>
  <si>
    <t>ART.EBT150973
COMP:100%POLY
WIDTH:142CM
WEIGHT:238G/M2</t>
  </si>
  <si>
    <t>ART.EBT151000
COMP:100%POLY
WIDTH:134CM
WEIGHT:145G/M2</t>
  </si>
  <si>
    <t>ART.EBT151001
COMP:84%POLY 15%VIS 1%EA
WIDTH:134CM
WEIGHT:240G/M2</t>
  </si>
  <si>
    <t>ART.EBT151006
COMP:20%N 80%POLY
WIDTH:145CM
WEIGHT:</t>
  </si>
  <si>
    <t>ART.EBT151007
COMP:35%N 65%C
WIDTH:145CM
WEIGHT:</t>
  </si>
  <si>
    <t>ART.EBT151008
COMP:25%N，60%C，15%POLY
WIDTH:144CM
WEIGHT:</t>
  </si>
  <si>
    <t>ART.EBT151009
COMP:25%N，60%C，15%POLY
WIDTH:140CM
WEIGHT:</t>
  </si>
  <si>
    <t>ART.EBT151010
COMP:25%N，60%C，15%POLY
WIDTH:144CM
WEIGHT:</t>
  </si>
  <si>
    <t>ART.EBT151011
COMP:100%POLY
WIDTH:139CM
WEIGHT:265G/M2</t>
  </si>
  <si>
    <t>ART.EBT250490
COMP:53% CO 44% PL 3% EA 
WIDTH:146CM
WEIGHT:200G/M2</t>
  </si>
  <si>
    <t>ART.EBT150685
COMP:G:100%PA EMB:100%PL
WIDTH:116CM
WEIGHT:</t>
  </si>
  <si>
    <t>ART.EBT150873
COMP:F:95%PL 5%EA
G:95%PL 5%EA
WIDTH:142CM
WEIGHT:440G/M2</t>
  </si>
  <si>
    <t>ART.EBT150876
COMP:F:95%PL 5%EA
G:96%VI 4%EA
WIDTH:142CM
WEIGHT:340G/M2</t>
  </si>
  <si>
    <t>ART.EBT150881
COMP:100%CO
WIDTH:135CM
WEIGHT:</t>
  </si>
  <si>
    <t>ART.EBT150882
COMP:100%CO
WIDTH:135CM
WEIGHT:</t>
  </si>
  <si>
    <t>ART.EBT150883
COMP:100%CO
WIDTH:140CM
WEIGHT:</t>
  </si>
  <si>
    <t>ART.EBT250298
COMP:70%PL 28%VI 2%EA
WIDTH:57/58"
WEIGHT:370G/M2</t>
  </si>
  <si>
    <t>ART.EBT250359
COMP:98%PL  2%EA
WIDTH:155CM
WEIGHT:370-380G/M2</t>
  </si>
  <si>
    <t>ART.EBT150782-2
COMP:F:95%PL 5% EA Gound:35%CO 65%PL
WIDTH:140CM
WEIGHT:320G/M2</t>
  </si>
  <si>
    <t>ART.EBT250509
COMP:92%PL 8%EA
WIDTH:154CM 
WEIGHT:334G/M2</t>
  </si>
  <si>
    <t>ART.EBT250542
COMP:25%PA 75%VI EMB:100%CO 
WIDTH:125CM
WEIGHT:</t>
  </si>
  <si>
    <t>ART.EBT151084
COMP:10%W 90%OTHER
WIDTH:142CM
WEIGHT:340G/M2</t>
  </si>
  <si>
    <t>ART.EBT151085
COMP:80%POLY 20%W
WIDTH:144CM
WEIGHT:415G/M2</t>
  </si>
  <si>
    <t>ART.EBT151086
COMP:10%W 16%POLY 65%AC 9%R
WIDTH:142CM
WEIGHT:305G/M2</t>
  </si>
  <si>
    <t>ART.EBT151087
COMP:40%W 60%POLY
WIDTH:142CM
WEIGHT:275G/M2</t>
  </si>
  <si>
    <t>ART.EBT151088
COMP:10%W 20%AC 70%POLY
WIDTH:142CM
WEIGHT:340G/M2</t>
  </si>
  <si>
    <t>ART.EBT250568
COMP:40%WO 60%VI BOLL WOOL
WIDTH:142CM
WEIGHT:482G/M2</t>
  </si>
  <si>
    <t>ART.EBT250627
COMP:100% POLY DOUBLE GGT 
WIDTH:145CM
WEIGHT:205G/M2</t>
  </si>
  <si>
    <t>ART.EBT151096
COMP:F:SEQUINS
WIDTH:128CM
WEIGHT:540G/M2</t>
  </si>
  <si>
    <t>ART.EBT150882-PS
COMP:100%CO
WIDTH:135CM
WEIGHT:90G/M2</t>
  </si>
  <si>
    <t>ART.EBT151154
COMP:50%WOOL 50%PL
WIDTH:138CM
WEIGHT:450G/M2</t>
  </si>
  <si>
    <t>ART.EBT151247
COMP:100%PL
WIDTH:125CM
WEIGHT:</t>
  </si>
  <si>
    <t>ART.EBT151248
COMP:100%PA
WIDTH:125CM
WEIGHT:</t>
  </si>
  <si>
    <t>ART.EBT151249
COMP:100%PL
WIDTH:125CM
WEIGHT:</t>
  </si>
  <si>
    <t>ART.EBT151250
COMP:70%PA 30%VI
WIDTH:125CM
WEIGHT:</t>
  </si>
  <si>
    <t>ART.EBT151251
COMP:100%PL
WIDTH:125CM
WEIGHT:</t>
  </si>
  <si>
    <t>ART.EBT151252
COMP:100%PL
WIDTH:125CM
WEIGHT:</t>
  </si>
  <si>
    <t>ART.EBT151253
COMP:100%PL
WIDTH:125CM
WEIGHT:</t>
  </si>
  <si>
    <t>ART.EBT151254
COMP:100%PL
WIDTH:125CM
WEIGHT:</t>
  </si>
  <si>
    <t>ART.EBT151255
COMP:100%PL
WIDTH:125CM
WEIGHT:</t>
  </si>
  <si>
    <t>ART.EBT151256
COMP:100%PL
WIDTH:125CM
WEIGHT:</t>
  </si>
  <si>
    <t>ART.EBT151257
COMP:100%PA
WIDTH:125CM
WEIGHT:</t>
  </si>
  <si>
    <t>ART.EBT151258
COMP:100%PL
WIDTH:125CM
WEIGHT:</t>
  </si>
  <si>
    <t>ART.EBT151259
COMP:100%PA
WIDTH:120CM
WEIGHT:</t>
  </si>
  <si>
    <t>ART.EBT151260
COMP:100%PL
WIDTH:125CM
WEIGHT:</t>
  </si>
  <si>
    <t>ART.EBT151261
COMP:100%PL
WIDTH:128CM
WEIGHT:190G/M2</t>
  </si>
  <si>
    <t>ART.EBT151263
COMP:F:100%PL G:100%PL
WIDTH:140CM
WEIGHT:360G/M2</t>
  </si>
  <si>
    <t>ART.EBT151264
COMP:F:100%PL G:95% PL 5%EA 
WIDTH:140CM
WEIGHT:430G/M2</t>
  </si>
  <si>
    <t>ART.EBT151279
COMP:100%PL
WIDTH:128CM
WEIGHT:</t>
  </si>
  <si>
    <t>ART.EBT151280
COMP:100%PL
WIDTH:128CM
WEIGHT:</t>
  </si>
  <si>
    <t>ART.EBT151281
COMP:100%PL
WIDTH:128CM
WEIGHT:230G/M2</t>
  </si>
  <si>
    <t>ART.EBT151282
COMP:100%PL
WIDTH:128CM
WEIGHT:230G/M2</t>
  </si>
  <si>
    <t>ART.EBT151271
COMP:88%PL 12%VI
WIDTH:144CM
WEIGHT:160G/M2</t>
  </si>
  <si>
    <t>ART.EBT120794
COMP:96%CO 4%EA
WIDTH:135CM
WEIGHT:335G/M2</t>
  </si>
  <si>
    <t>ART.EBT150685
COMP:G:100%PA EMB:100%PL
WIDTH:116CM
WEIGHT:
info@ebtex.com.cn</t>
  </si>
  <si>
    <t>ART.EBT150870
COMP:95%PL 5%EA
WIDTH:142CM
WEIGHT:300G/M2
info@ebtex.com.cn</t>
  </si>
  <si>
    <t>ART.EBT150873
COMP:F:95%PL 5%EA
G:95%PL 5%EA
WIDTH:142CM
WEIGHT:440G/M2
info@ebtex.com.cn</t>
  </si>
  <si>
    <t>ART.EBT150876
COMP:F:95%PL 5%EA
G:96%VI 4%EA
WIDTH:142CM
WEIGHT:340G/M2
info@ebtex.com.cn</t>
  </si>
  <si>
    <t>ART.EBT150881
COMP:100%CO
WIDTH:135CM
WEIGHT:
info@ebtex.com.cn</t>
  </si>
  <si>
    <t>ART.EBT150882
COMP:100%CO
WIDTH:135CM
WEIGHT:
info@ebtex.com.cn</t>
  </si>
  <si>
    <t>ART.EBT150883
COMP:100%CO
WIDTH:140CM
WEIGHT:
info@ebtex.com.cn</t>
  </si>
  <si>
    <t>ART.EBT250298
COMP:70%PL 28%VI 2%EA
WIDTH:57/58"
WEIGHT:370G/M2
info@ebtex.com.cn</t>
  </si>
  <si>
    <t>ART.EBT250359
COMP:98%PL  2%EA
WIDTH:155CM
WEIGHT:370-380G/M2
info@ebtex.com.cn</t>
  </si>
  <si>
    <t>EBT120852</t>
  </si>
  <si>
    <t>EBT130471</t>
  </si>
  <si>
    <t>EBT130665-P69-26</t>
  </si>
  <si>
    <t>EBT130665-P53-15</t>
  </si>
  <si>
    <t>EBT130665-P52-36</t>
  </si>
  <si>
    <t>EBT130186</t>
  </si>
  <si>
    <t>EBT120796</t>
  </si>
  <si>
    <t>EBT120346</t>
  </si>
  <si>
    <t>ART.EBT120852
COMP:45%PL 55%VI
WIDTH:140CM
WEIGHT:130G/M2</t>
  </si>
  <si>
    <t>ART.EBT130471
COMP:100%VI
WIDTH:140CM
WEIGHT:120G/M2</t>
  </si>
  <si>
    <t>ART.EBT130665-P69-26
COMP:64%PL 34%VI 2%EA
WIDTH:144CM
WEIGHT:235-245G/M2</t>
  </si>
  <si>
    <t>ART.EBT130665-P53-15
COMP:64%PL 34%VI 2%EA
WIDTH:57/58"
WEIGHT:245-255G/M2</t>
  </si>
  <si>
    <t>ART.EBT130665-P52-36
COMP:64%PL 34%VI 2%EA
WIDTH:57/58"
WEIGHT:245-255G/M2</t>
  </si>
  <si>
    <t>ART.EBT130186
COMP:47%PL50%CO3%EA
WIDTH:142CM
WEIGHT:220G/M2</t>
  </si>
  <si>
    <t>ART.EBT120796
COMP:63%LI 32%PA 3%EA
WIDTH:112CM
WEIGHT:183G/M2</t>
  </si>
  <si>
    <t>ART.EBT120346
COMP:100%CO
WIDTH:54/55"
WEIGHT:289G/M2</t>
  </si>
  <si>
    <t>EBT160011</t>
  </si>
  <si>
    <t>EBT160012</t>
  </si>
  <si>
    <t>EBT160013</t>
  </si>
  <si>
    <t>EBT160014</t>
  </si>
  <si>
    <t>EBT160015</t>
  </si>
  <si>
    <t>EBT160016</t>
  </si>
  <si>
    <t>EBT160004</t>
  </si>
  <si>
    <t>EBT160005</t>
  </si>
  <si>
    <t>EBT160006</t>
  </si>
  <si>
    <t>EBT160007</t>
  </si>
  <si>
    <t>EBT160008</t>
  </si>
  <si>
    <t>EBT160009</t>
  </si>
  <si>
    <t>EBT160010</t>
  </si>
  <si>
    <t>ART.EBT160004
COMP:26%LI 72%CO 2%EA
WIDTH:135CM
WEIGHT:240G/M2</t>
  </si>
  <si>
    <t>ART.EBT160005
COMP:26%LI 72%CO 2%EA
WIDTH:135CM
WEIGHT:240G/M2</t>
  </si>
  <si>
    <t>ART.EBT160006
COMP:26%LI 72%CO 2%EA
WIDTH:135CM
WEIGHT:245G/M2</t>
  </si>
  <si>
    <t>EBT160017</t>
  </si>
  <si>
    <t>EBT160018</t>
  </si>
  <si>
    <t>EBT160001</t>
  </si>
  <si>
    <t>EBT160002</t>
  </si>
  <si>
    <t>EBT160003</t>
  </si>
  <si>
    <t>EBT160019</t>
  </si>
  <si>
    <t>ART.EBT160001
COMP:100%PA Repeat=1.5M
WIDTH:300CM
WEIGHT:</t>
  </si>
  <si>
    <t>ART.EBT160002
COMP:100%PA Repeat=0.75M
WIDTH:300CM
WEIGHT:</t>
  </si>
  <si>
    <t>ART.EBT160019
COMP:100%PL
WIDTH:125CM
WEIGHT:</t>
  </si>
  <si>
    <t>EBT160020</t>
  </si>
  <si>
    <t>EBT160021</t>
  </si>
  <si>
    <t>EBT160022</t>
  </si>
  <si>
    <t>ART.EBT160021
COMP:100%PL
WIDTH:145CM
WEIGHT:</t>
  </si>
  <si>
    <t>ART.EBT160022
COMP:F:95%PL 5%EA G:95%PA 5%EA
WIDTH:150CM
WEIGHT:190G/M2</t>
  </si>
  <si>
    <t>EBT160027</t>
  </si>
  <si>
    <t>EBT160028</t>
  </si>
  <si>
    <t>EBT160029</t>
  </si>
  <si>
    <t>EBT160030</t>
  </si>
  <si>
    <t>EBT160031</t>
  </si>
  <si>
    <t>EBT160032</t>
  </si>
  <si>
    <t>ART.EBT160027
COMP:100%PL 
WIDTH:144CM
WEIGHT:340G/M2</t>
  </si>
  <si>
    <t>ART.EBT160028
COMP:100%PL
WIDTH:145CM
WEIGHT:700G/M</t>
  </si>
  <si>
    <t>ART.EBT160029
COMP:100%PL
WIDTH:145CM
WEIGHT:700G/M</t>
  </si>
  <si>
    <t>ART.EBT160030
COMP:100%PL
WIDTH:145CM
WEIGHT:500G/M</t>
  </si>
  <si>
    <t>ART.EBT160031
COMP:100%PL
WIDTH:145CM
WEIGHT:400G/M</t>
  </si>
  <si>
    <t>ART.EBT160032
COMP:100%PL
WIDTH:145CM
WEIGHT:470G/M</t>
  </si>
  <si>
    <t>EBT250721</t>
  </si>
  <si>
    <t>EBT250722</t>
  </si>
  <si>
    <t>EBT250723</t>
  </si>
  <si>
    <t>EBT250724</t>
  </si>
  <si>
    <t>EBT250725</t>
  </si>
  <si>
    <t>EBT250726</t>
  </si>
  <si>
    <t>EBT250727</t>
  </si>
  <si>
    <t>EBT250728</t>
  </si>
  <si>
    <t>EBT250729</t>
  </si>
  <si>
    <t>EBT250730</t>
  </si>
  <si>
    <t>EBT250731</t>
  </si>
  <si>
    <t>EBT250732</t>
  </si>
  <si>
    <t>EBT250733</t>
  </si>
  <si>
    <t>EBT250734</t>
  </si>
  <si>
    <t>EBT250735</t>
  </si>
  <si>
    <t>EBT250736</t>
  </si>
  <si>
    <t>EBT250737</t>
  </si>
  <si>
    <t>EBT250738</t>
  </si>
  <si>
    <t>EBT250739</t>
  </si>
  <si>
    <t>EBT250740</t>
  </si>
  <si>
    <t>EBT250741</t>
  </si>
  <si>
    <t>EBT250742</t>
  </si>
  <si>
    <t>EBT260001</t>
  </si>
  <si>
    <t>EBT260002</t>
  </si>
  <si>
    <t>EBT260003</t>
  </si>
  <si>
    <t>EBT260004</t>
  </si>
  <si>
    <t>EBT260005</t>
  </si>
  <si>
    <t>EBT260006</t>
  </si>
  <si>
    <t>EBT260007</t>
  </si>
  <si>
    <t>EBT260008</t>
  </si>
  <si>
    <t>EBT260009</t>
  </si>
  <si>
    <t>EBT260010</t>
  </si>
  <si>
    <t>EBT260011</t>
  </si>
  <si>
    <t>EBT260012</t>
  </si>
  <si>
    <t>EBT260013</t>
  </si>
  <si>
    <t>EBT260014</t>
  </si>
  <si>
    <t>EBT260015</t>
  </si>
  <si>
    <t>EBT260016</t>
  </si>
  <si>
    <t>EBT260017</t>
  </si>
  <si>
    <t>EBT260018</t>
  </si>
  <si>
    <t>EBT260019</t>
  </si>
  <si>
    <t>EBT260020</t>
  </si>
  <si>
    <t>EBT260021</t>
  </si>
  <si>
    <t>EBT260022</t>
  </si>
  <si>
    <t>EBT260023</t>
  </si>
  <si>
    <t>EBT260024</t>
  </si>
  <si>
    <t>EBT260025</t>
  </si>
  <si>
    <t>EBT260026</t>
  </si>
  <si>
    <t>EBT260027</t>
  </si>
  <si>
    <t>EBT260028</t>
  </si>
  <si>
    <t>EBT260029</t>
  </si>
  <si>
    <t>EBT260030</t>
  </si>
  <si>
    <t>EBT260031</t>
  </si>
  <si>
    <t>ART.EBT150427
COMP:100%PA
WIDTH:125CM
WEIGHT:</t>
  </si>
  <si>
    <t>ART.EBT150428
COMP:100%PL
WIDTH:130CM
WEIGHT:440G/M2</t>
  </si>
  <si>
    <t>ART.EBT150430
COMP:100%PA
WIDTH:48"
WEIGHT:165G/M2</t>
  </si>
  <si>
    <t>ART.EBT150431
COMP:100%PL
WIDTH:52/56"
WEIGHT:</t>
  </si>
  <si>
    <t>ART.EBT250630
COMP:25%PA 75%VI
WIDTH:137CM
WEIGHT:117G/M2</t>
  </si>
  <si>
    <t>ART.EBT160007
COMP:26%LI 72%CO 2%EA
WIDTH:135CM
WEIGHT:240G/M2</t>
  </si>
  <si>
    <t>ART.EBT160008
COMP:98%CO 2%EA
WIDTH:125CM
WEIGHT:283G/M2</t>
  </si>
  <si>
    <t>ART.EBT160009
COMP:98%CO 2%EA
WIDTH:125CM
WEIGHT:278G/M2</t>
  </si>
  <si>
    <t>ART.EBT160010
COMP:98%CO 2%EA
WIDTH:125CM
WEIGHT:278G/M2</t>
  </si>
  <si>
    <t>ART.EBT160017
COMP:100%PL
WIDTH:135CM
WEIGHT:243G/M2</t>
  </si>
  <si>
    <t>ART.EBT160018
COMP:100%PL
WIDTH:135CM
WEIGHT:243G/M2</t>
  </si>
  <si>
    <t>ART.EBT160003
COMP:100%PA Repeat=0.75M
WIDTH:300CM
WEIGHT:</t>
  </si>
  <si>
    <t>ART.EBT160020
COMP:F:20%PA 35%VI 45%CO G:100%PL
WIDTH:130CM
WEIGHT:310G/M2</t>
  </si>
  <si>
    <t>ART.EBT151291
COMP:F:35%PA  35%CO 30%VI G:100%PL
WIDTH:126CM
WEIGHT:305G/M2</t>
  </si>
  <si>
    <t>ART.EBT250723
COMP:25%PA 75% VI 
WIDTH:136-137CM
WEIGHT:</t>
  </si>
  <si>
    <t>ART.EBT250724
COMP:3%VI 38%PC 59%PL
WIDTH:140cm
WEIGHT:365G/M2</t>
  </si>
  <si>
    <t>ART.EBT250725
COMP:100%OTHER
WIDTH:143CM
WEIGHT:233G/M2</t>
  </si>
  <si>
    <t>ART.EBT250726
COMP:100%PL
WIDTH:142CM
WEIGHT:365G/M2</t>
  </si>
  <si>
    <t>ART.EBT250727
COMP:24%VI 23%%PC 53%PL
WIDTH:147CM
WEIGHT:300G/M2</t>
  </si>
  <si>
    <t>ART.EBT250728
COMP:10%WO 42%PL 35%PC 12%VI 1%SG
WIDTH:145CM
WEIGHT:315G/M2</t>
  </si>
  <si>
    <t>ART.EBT250729
COMP:100%OTHER
WIDTH:145CM
WEIGHT:540G/ML</t>
  </si>
  <si>
    <t>ART.EBT250730
COMP:95%CO 5%EA
WIDTH:128cm
WEIGHT:270G/M2</t>
  </si>
  <si>
    <t>ART.EBT250731
COMP:15%WO 61%PL 20%PC 4%SG
WIDTH:145CM
WEIGHT:300G/M2</t>
  </si>
  <si>
    <t>ART.EBT250732
COMP:28%WO 35%PC 35%PL 1%PA 1%SG
WIDTH:145CM
WEIGHT:320G/M2</t>
  </si>
  <si>
    <t>ART.EBT250733
COMP:50%PL 20%PC 30%WO
WIDTH:145CM
WEIGHT:320G/M2</t>
  </si>
  <si>
    <t>ART.EBT250734
COMP:20%WO 5%PA 50%PL 25%VI
WIDTH:145CM
WEIGHT:350G/M2</t>
  </si>
  <si>
    <t>ART.EBT250735
COMP:68%PL 28%CO 4%EA
WIDTH:145cm
WEIGHT:227G/M2</t>
  </si>
  <si>
    <t>ART.EBT250736
COMP:68%PL 28%CO 4%EA
WIDTH:143cm
WEIGHT:215G/M2</t>
  </si>
  <si>
    <t>ART.EBT250737
COMP:68%PL 28%CO 4%EA
WIDTH:145cm
WEIGHT:208G/M2</t>
  </si>
  <si>
    <t>ART.EBT250738
COMP:68%PL 28%CO 4%EA
WIDTH:143CM
WEIGHT:200G/M2</t>
  </si>
  <si>
    <t>ART.EBT250739
COMP:68%PL 28%CO 4%EA
WIDTH:143CM
WEIGHT:200G/M2</t>
  </si>
  <si>
    <t>ART.EBT250741
COMP:100%PL
WIDTH:143CM
WEIGHT:620G/M(+/-20G/M)</t>
  </si>
  <si>
    <t>ART.EBT250742
COMP:94%PL 6%EA 
WIDTH:145CM
WEIGHT:280G/M2</t>
  </si>
  <si>
    <t>ART.EBT260001
COMP:F:64%PL 34%VI 2%EA G:95%PL 5%EA 
WIDTH:143CM
WEIGHT:493G/M2</t>
  </si>
  <si>
    <t>ART.EBT260002
COMP:100% PL 
WIDTH:145CM
WEIGHT:245G/M2</t>
  </si>
  <si>
    <t>ART.EBT260003
COMP:92%PL 8%EA
WIDTH:140CM
WEIGHT:280G/M2</t>
  </si>
  <si>
    <t>ART.EBT260004
COMP:95%PL  5%EA
WIDTH:140CM
WEIGHT:　395G/M2</t>
  </si>
  <si>
    <t>ART.EBT260005
COMP:90%PL 10% EA 
WIDTH:140CM
WEIGHT:400G/M2</t>
  </si>
  <si>
    <t>ART.EBT260006
COMP:95%PL 5%EA
WIDTH:150CM
WEIGHT:260G/M2</t>
  </si>
  <si>
    <t>ART.EBT260007
COMP:67%CO 33% PL 
WIDTH:145CM
WEIGHT:324G/M2</t>
  </si>
  <si>
    <t>ART.EBT260008
COMP:92%PL 8%EA
WIDTH:147CM
WEIGHT:342G/M2</t>
  </si>
  <si>
    <t>ART.EBT260009
COMP:92%PL 8%EA
WIDTH:148CM
WEIGHT:285G/M2</t>
  </si>
  <si>
    <t>ART.EBT260010
COMP:87.7%PL 12.3%EA 
WIDTH:148CM
WEIGHT:400G/M2</t>
  </si>
  <si>
    <t>ART.EBT260011
COMP:92%PL 8%EA
WIDTH:145CM
WEIGHT:300G/M2</t>
  </si>
  <si>
    <t>ART.EBT260012
COMP:90%PL 10% SP 
WIDTH:140CM
WEIGHT:322G/M2</t>
  </si>
  <si>
    <t>ART.EBT260013
COMP:48%PL 30%MET 20%VI 2%EA
WIDTH:158CM
WEIGHT:278G/M2</t>
  </si>
  <si>
    <t>ART.EBT260014
COMP:48%PL 30%MET 20%VI 2%EA
WIDTH:158CM
WEIGHT:278G/M2</t>
  </si>
  <si>
    <t>ART.EBT260015
COMP:48%PL 30%MET 20%VI 2%EA
WIDTH:158CM
WEIGHT:278G/M2</t>
  </si>
  <si>
    <t>ART.EBT260016
COMP:65%PL 35%CO FRECH TERRY
WIDTH:168CM
WEIGHT:240G/M2</t>
  </si>
  <si>
    <t>ART.EBT260017
COMP:57%PC 32%PL 7%CO 4%LUREX
WIDTH:153CM
WEIGHT:200G/M2</t>
  </si>
  <si>
    <t>ART.EBT260018
COMP:61%PL 27%VI 12%MET
WIDTH:168CM
WEIGHT:290G/M2</t>
  </si>
  <si>
    <t>ART.EBT260019
COMP:48%PL 30%MET 20%VI 2%EA
WIDTH:158CM
WEIGHT:278G/M2</t>
  </si>
  <si>
    <t>ART.EBT260020
COMP:57%CO 42%PL 1%EA
WIDTH:120CM
WEIGHT:220G/M2</t>
  </si>
  <si>
    <t>ART.EBT260021
COMP:98%CO 2%EA
WIDTH:143CM
WEIGHT:279G/M2</t>
  </si>
  <si>
    <t>ART.EBT260022
COMP:67%CO 33% PL 
WIDTH:140CM
WEIGHT:307G/M2</t>
  </si>
  <si>
    <t>ART.EBT260023
COMP:67%CO 33% PL 
WIDTH:147CM
WEIGHT:250G/M2</t>
  </si>
  <si>
    <t>ART.EBT260024
COMP:67%CO 33% PL 
WIDTH:144CM
WEIGHT:293G/M2</t>
  </si>
  <si>
    <t>ART.EBT260025
COMP:67%CO 33% PL 
WIDTH:143CM
WEIGHT:296G/M2</t>
  </si>
  <si>
    <t>ART.EBT260026
COMP:67%CO 33% PL 
WIDTH:145CM
WEIGHT:270G/M2</t>
  </si>
  <si>
    <t>ART.EBT260027
COMP:76%PL 20%CO 4%EA
WIDTH:148CM
WEIGHT:220G/M2</t>
  </si>
  <si>
    <t>ART.EBT260028
COMP:72%PL 28%VI
WIDTH:142CM
WEIGHT:508G/M2</t>
  </si>
  <si>
    <t>ART.EBT260029
COMP:46%CO 35%PL 19%VI
WIDTH:142CM
WEIGHT:236G/M2</t>
  </si>
  <si>
    <t>ART.EBT260030
COMP:70%PL 30%VI
WIDTH:138cm有效
WEIGHT:530G/M2</t>
  </si>
  <si>
    <t>ART.EBT260031
COMP:100% CO 
WIDTH:142CM
WEIGHT:310G/M2</t>
  </si>
  <si>
    <t>EBT160038</t>
  </si>
  <si>
    <t>ART.EBT160038
COMP:100%PL
WIDTH:138CM
WEIGHT:185G/M2</t>
  </si>
  <si>
    <t>EBT160039</t>
  </si>
  <si>
    <t>EBT160040</t>
  </si>
  <si>
    <t>EBT160041</t>
  </si>
  <si>
    <t>EBT160042</t>
  </si>
  <si>
    <t>ART.EBT160040
COMP:100%PU
WIDTH:125CM
WEIGHT:</t>
  </si>
  <si>
    <t>ART.EBT160039
COMP:F:100PU G:100%PA
WIDTH:125CM
WEIGHT:</t>
  </si>
  <si>
    <t>ART.EBT160041
COMP:F:100PU G:100%PA
WIDTH:125CM
WEIGHT:</t>
  </si>
  <si>
    <t>ART.EBT160042
COMP:F:100PU G:100%PA
WIDTH:125CM
WEIGHT:</t>
  </si>
  <si>
    <t>EBT160043</t>
  </si>
  <si>
    <t>ART.EBT250722
COMP:25%PA 75% VI 
WIDTH:110CM
WEIGHT:</t>
  </si>
  <si>
    <t>ART.EBT250721
COMP:20% SE 80% VI 
WIDTH:110CM
WEIGHT:</t>
  </si>
  <si>
    <t>EBT151265</t>
  </si>
  <si>
    <t>EBT110609</t>
  </si>
  <si>
    <t>EBT130710</t>
  </si>
  <si>
    <t>ART.EBT110609
COMP:99%CO 1%EA
WIDTH:53"
WEIGHT:90G/M2</t>
  </si>
  <si>
    <t>ART.EBT130710
COMP:86%CO 13%PL 1%EA
WIDTH:57/58"
WEIGHT:270G/M2</t>
  </si>
  <si>
    <t>EBT151274</t>
  </si>
  <si>
    <t>EBT120026</t>
  </si>
  <si>
    <t>EBT160044</t>
  </si>
  <si>
    <t>ART.EBT160044
COMP:G:100%PL
WIDTH:124CM
WEIGHT:260G/M2</t>
  </si>
  <si>
    <t>EBT101068-SL</t>
  </si>
  <si>
    <t>EBT120716</t>
  </si>
  <si>
    <t>ART.EBT120716
COMP:97%PL 3%EA
WIDTH:57/58" 
WEIGHT:155G/M2</t>
  </si>
  <si>
    <t>EBT160046</t>
  </si>
  <si>
    <t>EBT160047</t>
  </si>
  <si>
    <t>EBT160048F</t>
  </si>
  <si>
    <t>EBT160049</t>
  </si>
  <si>
    <t>EBT260032</t>
  </si>
  <si>
    <t>EBT260033</t>
  </si>
  <si>
    <t>EBT260034</t>
  </si>
  <si>
    <t>EBT260035</t>
  </si>
  <si>
    <t>EBT260036</t>
  </si>
  <si>
    <t>EBT260037</t>
  </si>
  <si>
    <t>EBT260038</t>
  </si>
  <si>
    <t>EBT260039</t>
  </si>
  <si>
    <t>EBT260040</t>
  </si>
  <si>
    <t>EBT260041</t>
  </si>
  <si>
    <t>EBT160045</t>
  </si>
  <si>
    <t>EBT151275</t>
  </si>
  <si>
    <t>EBT151266</t>
  </si>
  <si>
    <t>EBT10620-GY-coating</t>
  </si>
  <si>
    <t>EBTBRT995</t>
  </si>
  <si>
    <t>EBT160050</t>
  </si>
  <si>
    <t>EBT160051</t>
  </si>
  <si>
    <t>EBT160052</t>
  </si>
  <si>
    <t>ART.EBT160052
COMP:40%WO50%CO10%OTHERS
WIDTH:144CM
WEIGHT:375G/M2</t>
  </si>
  <si>
    <t>ART.EBT151275
COMP:91%PL 9%EA
WIDTH:145CM
WEIGHT:245G/M2</t>
  </si>
  <si>
    <t>EBT151097</t>
  </si>
  <si>
    <t>EBT151098</t>
  </si>
  <si>
    <t>ART.EBT151097
COMP:100%POLY
WIDTH:145CM
WEIGHT:180G/M2</t>
  </si>
  <si>
    <t>ART.EBT151098
COMP:100%POLY
WIDTH:145CM
WEIGHT: 230G/M2</t>
  </si>
  <si>
    <t>EBT160053</t>
  </si>
  <si>
    <t>EBT160054</t>
  </si>
  <si>
    <t>EBT160055</t>
  </si>
  <si>
    <t>EBT160056</t>
  </si>
  <si>
    <t>EBT160057</t>
  </si>
  <si>
    <t>EBT160058</t>
  </si>
  <si>
    <t>ART.EBT160053
COMP:65%CO 35%PA
WIDTH:134CM
WEIGHT:70G/M2</t>
  </si>
  <si>
    <t>ART.EBT160054
COMP:28%PL 54%CO 18%PA
WIDTH:134CM
WEIGHT:135G/M2</t>
  </si>
  <si>
    <t>ART.EBT160055
COMP:56%CO 44%PA
WIDTH:134CM
WEIGHT:70G/M2</t>
  </si>
  <si>
    <t>ART.EBT160056
COMP:72%PL 28%PA
WIDTH:137CM
WEIGHT:125G/M2</t>
  </si>
  <si>
    <t>ART.EBT160057
COMP:72%PL 28%PA
WIDTH:137CM
WEIGHT:125G/M2</t>
  </si>
  <si>
    <t>ART.EBT160058
COMP:72%PL 28%PA
WIDTH:137CM
WEIGHT:125G/M2</t>
  </si>
  <si>
    <t>EBT160059</t>
  </si>
  <si>
    <t>EBT160061</t>
  </si>
  <si>
    <t>EBT260042</t>
  </si>
  <si>
    <t>EBT260043</t>
  </si>
  <si>
    <t>EBT260044</t>
  </si>
  <si>
    <t>ART.EBT160061
COMP:100%PL
WIDTH:124CM
WEIGHT:</t>
  </si>
  <si>
    <t>EBT101318</t>
  </si>
  <si>
    <t>ART.EBT140243-E
COMP:F:95%PL 5%EA
G:100%PL
WIDTH:145CM
WEIGHT:322G/M2</t>
  </si>
  <si>
    <t>ART.EBT140243-F
COMP:F:95%PL 5%EA
G:100%PL
WIDTH:145CM
WEIGHT:322G/M2</t>
  </si>
  <si>
    <t>ART.EBT250211
COMP:68%PL 32%R
WIDTH:180CM
WEIGHT:177G/M2</t>
  </si>
  <si>
    <t>ART.EBT141029
COMP:38%PL 62%C
WIDTH:147CM
WEIGHT:290G/M2</t>
  </si>
  <si>
    <t>ART.EBT150351
COMP:55%VI 45%N
WIDTH:56/57"
WEIGHT:45G/M2</t>
  </si>
  <si>
    <t>ART.EBT150401
COMP:45%VI 55%N
WIDTH:54-56
WEIGHT:240G/M</t>
  </si>
  <si>
    <t>ART.EBT150707
COMP:12%VI 58%N 30%C
WIDTH:54"
WEIGHT:250G/M</t>
  </si>
  <si>
    <t>ART.EBT150709
COMP:12%VI 47%N 41%C
WIDTH:54"
WEIGHT:270G/M</t>
  </si>
  <si>
    <t>ART.EBT150710
COMP:53%POLY 45%VI 2%EA
WIDTH:150CM
WEIGHT:350G/M2</t>
  </si>
  <si>
    <t>ART.EBT150711
COMP:53%POLY 45%VI 2%EA
WIDTH:150CM
WEIGHT:350G/M2</t>
  </si>
  <si>
    <t>ART.EBT150713
COMP:53%POLY 45%VI 2%EA
WIDTH:150CM
WEIGHT:350G/M2</t>
  </si>
  <si>
    <t>ART.EBT150720
COMP:F:100%PU 
G:100%VI 
WIDTH:52"
WEIGHT:295G/M2</t>
  </si>
  <si>
    <t>ART.EBT150785
COMP:G:100%VI EMB:100%C
WIDTH:120CM
WEIGHT:</t>
  </si>
  <si>
    <t>ART.EBT150813
COMP:60%VI 32%N 1%POLY 7%EA
WIDTH:58/60"
WEIGHT:282G/M2</t>
  </si>
  <si>
    <t>ART.EBT150814
COMP:52%VI 44%POLY 4%EA
WIDTH:58/60"
WEIGHT:265G/M2</t>
  </si>
  <si>
    <t>ART.EBT150816
COMP:54%VI 40%N 6%EA
WIDTH:58/60"
WEIGHT:280G/M2</t>
  </si>
  <si>
    <t>ART.EBT150819
COMP:65%VI 30%N 5%EA
WIDTH:58/60"
WEIGHT:240G/M2</t>
  </si>
  <si>
    <t>ART.EBT150820
COMP:72%VI 24%N 4%EA
WIDTH:58/60"
WEIGHT:510G/M2</t>
  </si>
  <si>
    <t>ART.EBT150822
COMP:65%VI 30%N 5%EA
WIDTH:58/60"
WEIGHT:325G/M2</t>
  </si>
  <si>
    <t>ART.EBT150823
COMP:59%VI 30%N 11%EA
WIDTH:58/60"
WEIGHT:465G/M2</t>
  </si>
  <si>
    <t>ART.EBT150824
COMP:72%VI 24%N 4%EA
WIDTH:58/60"
WEIGHT:420G/M2</t>
  </si>
  <si>
    <t>ART.EBT150825
COMP:54%VI 40%N 6%EA
WIDTH:58/60"
WEIGHT:320G/M2</t>
  </si>
  <si>
    <t>ART.EBT150828
COMP:50%VI 45%N 5%EA
WIDTH:61/63"
WEIGHT:242G/M2</t>
  </si>
  <si>
    <t>ART.EBT150829
COMP:20%VI 77%POLY 3%EA
WIDTH:58/60"
WEIGHT:380G/M2</t>
  </si>
  <si>
    <t>ART.EBT150831
COMP:70%POLY 29%VI 1%EA
WIDTH:57/58"
WEIGHT:275G/M2</t>
  </si>
  <si>
    <t>ART.EBT250381
COMP:58%VI 42%T
WIDTH:149CM
WEIGHT:147G/M2</t>
  </si>
  <si>
    <t>ART.EBT250382
COMP:62%VI 38%T
WIDTH:148CM
WEIGHT:165G/M2</t>
  </si>
  <si>
    <t>ART.EBT150930
COMP:G:100%VI EMB:100%CTN
WIDTH:115CM
WEIGHT:</t>
  </si>
  <si>
    <t>ART.EBT150931
COMP:G:100%VI EMB:100%CTN
WIDTH:115CM
WEIGHT:</t>
  </si>
  <si>
    <t>ART.EBT150932
COMP:G:100%VI EMB:100%CTN
WIDTH:115CM
WEIGHT:</t>
  </si>
  <si>
    <t>ART.EBT140014
COMP:84%PL 15%VI 1%ME
WIDTH:57/58"
WEIGHT:281G/M2</t>
  </si>
  <si>
    <t>ART.EBT140091
COMP:63%PL 33%VI 4%EA
WIDTH:55/56"
WEIGHT:290G/M2</t>
  </si>
  <si>
    <t>ART.EBT140124
COMP:80%VI 20%PL
WIDTH:134CM
WEIGHT:</t>
  </si>
  <si>
    <t>ART.EBT140180
COMP:24%N 71%VI 5%EA
WIDTH:146CM
WEIGHT:350G/M2</t>
  </si>
  <si>
    <t>ART.EBT140181
COMP:26%nl 69%VI 5%EA
WIDTH:146CM
WEIGHT:410G/M2</t>
  </si>
  <si>
    <t>ART.EBT140293
COMP:80%PL 20%VI 
WIDTH:165CM
WEIGHT:240G/M2</t>
  </si>
  <si>
    <t>ART.EBT140357
COMP:79%PL 18%VI 3%EA
WIDTH:57/58"
WEIGHT:350G/M</t>
  </si>
  <si>
    <t>ART.EBT140456
COMP:R/T 70%VI 30%T
WIDTH:142CM
WEIGHT:184G/M2</t>
  </si>
  <si>
    <t>ART.EBT140496
COMP:79%PL 18%VI 3%EA
WIDTH:57/58"
WEIGHT:340G/M</t>
  </si>
  <si>
    <t>ART.EBT140519
COMP:55%PL 24%VI 16%N 5SP
WIDTH:155CM
WEIGHT:350G/M2</t>
  </si>
  <si>
    <t>ART.EBT140545
COMP:90%VI 10%ME
WIDTH:58/60"
WEIGHT:130G/M2</t>
  </si>
  <si>
    <t>ART.EBT140546
COMP:32%PA 63%VI 5%EA
WIDTH:153CM
WEIGHT:315G/M2</t>
  </si>
  <si>
    <t>ART.EBT140547
COMP:28%PA 67%VI 5%EA
WIDTH:145CM
WEIGHT:310G/M2</t>
  </si>
  <si>
    <t>ART.EBT140549
COMP:25%VI 70%PA 5%EA
WIDTH:149CM
WEIGHT:335G/M2</t>
  </si>
  <si>
    <t>ART.EBT140550
COMP:66%VI 29%PA 5%EA
WIDTH:150CM
WEIGHT:325G/M2</t>
  </si>
  <si>
    <t>ART.EBT140584
COMP:84% PL 10%VI 6%EA +PU
WIDTH:150CM
WEIGHT:359G/M2</t>
  </si>
  <si>
    <t>ART.EBT140670
COMP:100%VI 
WIDTH:144CM
WEIGHT:164G/M</t>
  </si>
  <si>
    <t>ART.EBT140733
COMP:69%PL 30%VI 1%EA
WIDTH:57/58"
WEIGHT:340G/M2</t>
  </si>
  <si>
    <t>ART.EBT140765
COMP:F:100PL
G:32%PL 60%VI 8%ME
WIDTH:145CM
WEIGHT:320G/M2</t>
  </si>
  <si>
    <t>ART.EBT140847
COMP:76%PL 18%VI 6%EA
WIDTH:57"/58"
WEIGHT:330G/M2</t>
  </si>
  <si>
    <t>ART.EBT140993
COMP:60%VI 28%PA 12%EA
WIDTH:57"/58"
WEIGHT:420G/M2</t>
  </si>
  <si>
    <t>ART.EBT140993-1
COMP:60%VI 28%PA 12%EA
WIDTH:57"/58"
WEIGHT:395G/M2</t>
  </si>
  <si>
    <t>ART.EBT140994
COMP:65%VI 25%PA 10%EA 
WIDTH:57"/58"
WEIGHT:370G/M2</t>
  </si>
  <si>
    <t>ART.EBT141020
COMP:63%PL 33%VI 4%EA
WIDTH:57/58"
WEIGHT:273G/M2</t>
  </si>
  <si>
    <t>ART.EBT141021
COMP:82%PL 13%VI 5%EA
WIDTH:57/58"
WEIGHT:250G/M2</t>
  </si>
  <si>
    <t>ART.EBT141023
COMP:63%PL 31%VI 6%EA
WIDTH:57/58"
WEIGHT:245G/M2</t>
  </si>
  <si>
    <t>ART.EBT141032
COMP:95%VI 5%EA
WIDTH:66/67"
WEIGHT:290G/M2</t>
  </si>
  <si>
    <t>ART.EBTBRT775
COMP:63%PL 33%VI 4%EA
WIDTH:55/56"
WEIGHT:290G/M2</t>
  </si>
  <si>
    <t>ART.EBTBRT744
COMP:80%VI 20%PL
WIDTH:134CM
WEIGHT:</t>
  </si>
  <si>
    <t>ART.EBT151041
COMP:73%POLY 25%VI 2%EA
WIDTH:146CM
WEIGHT:340G/M2</t>
  </si>
  <si>
    <t>ART.EBT151043
COMP:87%POLY 11%VI 2%EA
WIDTH:146CM
WEIGHT:225G/M2</t>
  </si>
  <si>
    <t>ART.EBT151046
COMP:85%POLY 11%VI 4%EA
WIDTH:146CM
WEIGHT:380G/M2</t>
  </si>
  <si>
    <t>ART.EBT151047
COMP:72%POLY 25%VI 3%EA
WIDTH:146CM
WEIGHT:300G/M2</t>
  </si>
  <si>
    <t>ART.EBT151048
COMP:72%POLY 26%VI 2%EA
WIDTH:146CM
WEIGHT:360G/M2</t>
  </si>
  <si>
    <t>ART.EBT151067
COMP:44%VI 24%POLY 27%N 5%EA
WIDTH:150CM
WEIGHT:300G/M2</t>
  </si>
  <si>
    <t>ART.EBT151089
COMP:50%VI 45%POLY 5%EA
WIDTH:145CM
WEIGHT:298G/M2</t>
  </si>
  <si>
    <t>ART.EBT151090
COMP:50%VI 45%POLY 5%EA
WIDTH:145CM
WEIGHT:269G/M2</t>
  </si>
  <si>
    <t>ART.EBT150768
COMP:95%NYLON 5%EA
WIDTH:50"
WEIGHT:</t>
  </si>
  <si>
    <t>ART.EBT140500
COMP:98.5%nylon1.5%EA
WIDTH:56/58"
WEIGHT:255G/M</t>
  </si>
  <si>
    <t>ART.EBT150768-PS
COMP:95%NYLON 5%EA
WIDTH:50"
WEIGHT:</t>
  </si>
  <si>
    <t>ART.EBT150470
COMP:F:100%PU 0.65+/- 0.05 
G:100%VI 
WIDTH:54"
WEIGHT:(300±20)G/㎡</t>
  </si>
  <si>
    <t>ART.EBT150765
COMP:75%NYLON 25%VI
WIDTH:50"
WEIGHT:</t>
  </si>
  <si>
    <t>ART.EBT150767
COMP:95%VI 5%EA
WIDTH:50"
WEIGHT:</t>
  </si>
  <si>
    <t>ART.EBT150769
COMP:95%VI 5%EA
WIDTH:50"
WEIGHT:</t>
  </si>
  <si>
    <t>ART.EBT150770
COMP:95%VI 5%EA
WIDTH:50"
WEIGHT:</t>
  </si>
  <si>
    <t>ART.EBT150771
COMP:100%VI
WIDTH:50"
WEIGHT:</t>
  </si>
  <si>
    <t>ART.EBT150773
COMP:95%VI 5%EA
WIDTH:50"
WEIGHT:</t>
  </si>
  <si>
    <t>ART.EBT250377
COMP:8%PA 79%VI 13%POLY
WIDTH:165CM
WEIGHT:343G/M2</t>
  </si>
  <si>
    <t>ART.EBT250394
COMP:60%VI 40%POLY
WIDTH:145CM
WEIGHT:300G/M2</t>
  </si>
  <si>
    <t>ART.EBT140151
COMP:F:PU+VI
G:100%POLY
WIDTH:137CM
WEIGHT:897G/M2</t>
  </si>
  <si>
    <t>ART.EBT140204
COMP:F:100%PU G:100%VI
WIDTH:54/55"
WEIGHT:</t>
  </si>
  <si>
    <t>ART.EBT140246
COMP:100%VI+100%PLASTIC SEQUINE
WIDTH:57/58"
WEIGHT:</t>
  </si>
  <si>
    <t>ART.EBT140320
COMP:100%VI
WIDTH:56/57"
WEIGHT:85G/M2</t>
  </si>
  <si>
    <t>ART.EBT140321
COMP:100%VI
WIDTH:56/57"
WEIGHT:75G/M2</t>
  </si>
  <si>
    <t>ART.EBT140707
COMP:100%VI
WIDTH:57"
WEIGHT:152G/M2</t>
  </si>
  <si>
    <t>ART.EBT140828
COMP:F:100%PU M:100%VI B:100%POLY
WIDTH:137CM
WEIGHT:410+-20G/M2</t>
  </si>
  <si>
    <t>ART.EBT140829
COMP:F:100%PU M:100%VI B:100%POLY
WIDTH:135CM
WEIGHT:380+-20G/M2</t>
  </si>
  <si>
    <t>ART.EBT140830
COMP:F:100%PU B:50%VI+50%POLY
WIDTH:137CM
WEIGHT:280+-20G/M2</t>
  </si>
  <si>
    <t>ART.EBT140831
COMP:F:100%PU B:100%VI
WIDTH:137CM
WEIGHT:350+-20G/M2</t>
  </si>
  <si>
    <t>ART.EBT140833
COMP:F:100%PU M:50%VI+50%POLY B:100%POLY
WIDTH:137CM
WEIGHT:400+-20G/M2</t>
  </si>
  <si>
    <t>ART.EBT140865
COMP:10%NY 74%VI 7%CO 9%MET
WIDTH:56/57"
WEIGHT:315G/M2</t>
  </si>
  <si>
    <t>ART.EBT140867
COMP:28%CO 26%VI 43%POLY 3%MET
WIDTH:55/56'
WEIGHT:253G/M2</t>
  </si>
  <si>
    <t>ART.EBT151121
COMP:25%POLY 75%VI
WIDTH:138-140CM
WEIGHT:150G/M2</t>
  </si>
  <si>
    <t>ART.EBT250002
COMP:63%PL 33%VI 4%EA 
WIDTH:145CM
WEIGHT:225G/M2</t>
  </si>
  <si>
    <t>ART.EBT250003
COMP:60%PL  35%VI 5%EA
WIDTH:145CM
WEIGHT:297G/M2</t>
  </si>
  <si>
    <t>ART.EBT250006
COMP:94%PL 6%EA
WIDTH:142CM
WEIGHT:152G/M2</t>
  </si>
  <si>
    <t>ART.EBT250055
COMP:F:50%WO 33%PL 17%AC G:63%PL 32%VI 5%EA
WIDTH:147CM
WEIGHT:419G/M2</t>
  </si>
  <si>
    <t>ART.EBT250086
COMP:92%PA 8%EA
WIDTH:145CM
WEIGHT:122G/M2</t>
  </si>
  <si>
    <t>ART.EBT250089
COMP:93%PA 7%EA
WIDTH:150CM
WEIGHT:120G/M2</t>
  </si>
  <si>
    <t>ART.EBT250092
COMP:93%PA 7%EA
WIDTH:130CM
WEIGHT:85G/M2</t>
  </si>
  <si>
    <t>ART.EBT250094
COMP:96%PL 4%EA
WIDTH:155CM
WEIGHT:250G/M2</t>
  </si>
  <si>
    <t>ART.EBT250104
COMP:97%PL 3%EA
WIDTH:56/57"
WEIGHT:345G/M</t>
  </si>
  <si>
    <t>ART.EBT250105
COMP:94%PL 6%EA
WIDTH:57/58"
WEIGHT:255G/M2</t>
  </si>
  <si>
    <t>ART.EBT250106
COMP:96%PL 4%EA
WIDTH:57/58"
WEIGHT:227G/M2</t>
  </si>
  <si>
    <t>ART.EBT250208
COMP:30%NY 65%VI 5%EA 
WIDTH:147CM
WEIGHT:330G/M2</t>
  </si>
  <si>
    <t>ART.EBT250214
COMP:94%PL 6%EA
WIDTH:145CM
WEIGHT:270G/M2</t>
  </si>
  <si>
    <t>ART.EBT250296
COMP:60%PL 33%CO 7%EA
WIDTH:140CM
WEIGHT:355G/M2</t>
  </si>
  <si>
    <t>ART.EBT150029
COMP:91%N 9%EA
WIDTH:146CM
WEIGHT:50G/M2</t>
  </si>
  <si>
    <t>ART.EBT150030
COMP:89%N 11%EA
WIDTH:146CM
WEIGHT:80G/M2</t>
  </si>
  <si>
    <t>ART.EBT150078
COMP:96%V 4%EA
WIDTH:140CM
WEIGHT:203G/M2</t>
  </si>
  <si>
    <t>ART.EBT150155
COMP:97%V 3%EA
WIDTH:140CM
WEIGHT:135G/M2</t>
  </si>
  <si>
    <t>ART.EBT150157
COMP:97%PL 3%EA
WIDTH:57"
WEIGHT:370G/M2</t>
  </si>
  <si>
    <t>ART.EBT150159
COMP:98%C2%EA
WIDTH:56/58"
WEIGHT:310G/M2</t>
  </si>
  <si>
    <t>ART.EBT150160
COMP:98%C2%EA
WIDTH:57/59"
WEIGHT:290G/M2</t>
  </si>
  <si>
    <t>ART.EBT150170
COMP:97%PL 3%EA
WIDTH:57/58"
WEIGHT:210G/M2</t>
  </si>
  <si>
    <t>ART.EBT150171
COMP:97%PL 3%EA
WIDTH:57/58"
WEIGHT:173G/M2</t>
  </si>
  <si>
    <t>ART.EBT150190
COMP:G:84%NYLON 16%EA
F:94%PL 6%EA
WIDTH:57/58"
WEIGHT:</t>
  </si>
  <si>
    <t>ART.EBT150200
COMP:51%CO/47%PL/2%EA
WIDTH:49/50"
WEIGHT:204G/M2</t>
  </si>
  <si>
    <t>ART.EBT150206
COMP:75%AC/12%PL/12%PA/1%EA
WIDTH:56/57"
WEIGHT:260G/M2</t>
  </si>
  <si>
    <t>ART.EBT150217
COMP:98%CTN2%EA
WIDTH:57/58"
WEIGHT:255G/M2</t>
  </si>
  <si>
    <t>ART.EBT150229
COMP:G:96%PL/4%EA+100%PLASTIC SEQUINS
WIDTH:53" 
WEIGHT:350G/M2</t>
  </si>
  <si>
    <t>ART.EBT150238
COMP:95%PL/5%EA
WIDTH:160CM
WEIGHT:320G/M2</t>
  </si>
  <si>
    <t>ART.EBT150261
COMP:76%P18%R6%EA
WIDTH:57/58"
WEIGHT:315G/M2</t>
  </si>
  <si>
    <t>ART.EBT150262
COMP:63%P33%R4%EA
WIDTH:57/58"
WEIGHT:337G/M2</t>
  </si>
  <si>
    <t>ART.EBT150263
COMP:80%P15%R5%EA
WIDTH:57/58"
WEIGHT:210G/M2</t>
  </si>
  <si>
    <t>ART.EBT150264
COMP:66%P29%R5%EA
WIDTH:57/58"
WEIGHT:240G/M2</t>
  </si>
  <si>
    <t>ART.EBT150265
COMP:60%P35%R5%EA
WIDTH:57/58"
WEIGHT:262G/M2</t>
  </si>
  <si>
    <t>ART.EBT150266
COMP:63%P32%R5%EA
WIDTH:57/58"
WEIGHT:295G/M2</t>
  </si>
  <si>
    <t>ART.EBT150267
COMP:63%P33%R4%EA
WIDTH:57/58"
WEIGHT:360G/M2</t>
  </si>
  <si>
    <t>ART.EBT150268
COMP:55%R40%P5%EA
WIDTH:57/58"
WEIGHT:258G/M2</t>
  </si>
  <si>
    <t>ART.EBT150269
COMP:63%P33%R4%EA
WIDTH:57/58"
WEIGHT:325G/M2</t>
  </si>
  <si>
    <t>ART.EBT150270
COMP:28%P68%R4%EA
WIDTH:57/58"
WEIGHT:213G/M2</t>
  </si>
  <si>
    <t>ART.EBT150271
COMP:63%P33%R4%EA
WIDTH:57/58"
WEIGHT:400G/M2</t>
  </si>
  <si>
    <t>ART.EBT150272
COMP:66%P31%R3%EA
WIDTH:57/58"
WEIGHT:300G/M2</t>
  </si>
  <si>
    <t>ART.EBT150273
COMP:64%P34%R2%EA
WIDTH:57/58"
WEIGHT:380G/M2</t>
  </si>
  <si>
    <t>ART.EBT150274
COMP:77%P21%R2%EA
WIDTH:57/58"
WEIGHT:305G/M2</t>
  </si>
  <si>
    <t>ART.EBT150327
COMP:97%P3%EA
WIDTH:57/58"
WEIGHT:210G/M2</t>
  </si>
  <si>
    <t>ART.EBT150349
COMP:97%CO 3%EA
WIDTH:48/50"
WEIGHT:215G/M2</t>
  </si>
  <si>
    <t>ART.EBT150350
COMP:97%CO 3%EA
WIDTH:56/57"
WEIGHT:225G/M2</t>
  </si>
  <si>
    <t>ART.EBT150390
COMP:95%PL 5%EA
WIDTH:57/58"
WEIGHT:420G/M</t>
  </si>
  <si>
    <t>ART.EBT150391
COMP:95%PL 5%EA
WIDTH:57/58"
WEIGHT:420G/M</t>
  </si>
  <si>
    <t>ART.EBT150392
COMP:95%PL 5%EA
WIDTH:57/58"
WEIGHT:420G/M</t>
  </si>
  <si>
    <t>ART.EBT150393
COMP:95%PL 5%EA
WIDTH:57/58"
WEIGHT:420G/M</t>
  </si>
  <si>
    <t>ART.EBT150394
COMP:95%PL 5%EA
WIDTH:57/58"
WEIGHT:420G/M</t>
  </si>
  <si>
    <t>ART.EBT150395
COMP:95%PL 5%EA
WIDTH:57/58"
WEIGHT:420G/M</t>
  </si>
  <si>
    <t>ART.EBT150396
COMP:95%PL 5%EA
WIDTH:57/58"
WEIGHT:420G/M</t>
  </si>
  <si>
    <t>ART.EBT150397
COMP:95%PL 5%EA
WIDTH:57/58"
WEIGHT:420G/M</t>
  </si>
  <si>
    <t>ART.EBT150405
COMP:57%CO/40%PL/3%EA
WIDTH:141CM
WEIGHT:260G/M2</t>
  </si>
  <si>
    <t>ART.EBT150443
COMP:94%PL 6%EA
WIDTH:57/58"
WEIGHT:241G/M2</t>
  </si>
  <si>
    <t>ART.EBT150448
COMP:G:90%PA/10%EA
WIDTH:52"
WEIGHT:300G/M2</t>
  </si>
  <si>
    <t>ART.EBT150503
COMP:93%NYLON/7%EA
WIDTH:
WEIGHT:</t>
  </si>
  <si>
    <t>ART.EBT150504
COMP:92%NYLO/8%EA
WIDTH:148-150CM
WEIGHT:125G/M2</t>
  </si>
  <si>
    <t>ART.EBT150505
COMP:93%NYLON/7%EA
WIDTH:
WEIGHT:</t>
  </si>
  <si>
    <t>ART.EBT150509
COMP:84%PL 15%VI 1%EA
WIDTH:54/55"
WEIGHT:275G/M2</t>
  </si>
  <si>
    <t>ART.EBT150544
COMP:73%PO25%CO2%EA
WIDTH:52"
WEIGHT:260G/M2</t>
  </si>
  <si>
    <t>ART.EBT150545
COMP:65%PO33%CO2%EA
WIDTH:50"
WEIGHT:230G/M2</t>
  </si>
  <si>
    <t>ART.EBT150546
COMP:49%PO46%RA5%EA
WIDTH:53"
WEIGHT:295G/M2</t>
  </si>
  <si>
    <t>ART.EBT150547
COMP:97%PO3%EA
WIDTH:54"
WEIGHT:270G/M2</t>
  </si>
  <si>
    <t>ART.EBT150549
COMP:43%PO53%CO4%EA
WIDTH:54"
WEIGHT:220G/M2</t>
  </si>
  <si>
    <t>ART.EBT150550
COMP:64%PO32%CO4%EA
WIDTH:54"
WEIGHT:240G/M2</t>
  </si>
  <si>
    <t>ART.EBT150551
COMP:55%PO43%CO2%EA
WIDTH:52"
WEIGHT:230G/M2</t>
  </si>
  <si>
    <t>ART.EBT150552
COMP:31%PO65%CO4%EA
WIDTH:52"
WEIGHT:280G/M2</t>
  </si>
  <si>
    <t>ART.EBT150553
COMP:61%PO36%CO3%EA
WIDTH:54"
WEIGHT:180G/M2</t>
  </si>
  <si>
    <t>ART.EBT150554
COMP:62%PO34%CO4%EA
WIDTH:55"
WEIGHT:204G/M2</t>
  </si>
  <si>
    <t>ART.EBT150555
COMP:73%PO23%CO4%EA
WIDTH:54"
WEIGHT:225G/M2</t>
  </si>
  <si>
    <t>ART.EBT150556
COMP:35%PO62%CO3%EA
WIDTH:52"
WEIGHT:260G/M2</t>
  </si>
  <si>
    <t>ART.EBT150557
COMP:97%PO3%EA
WIDTH:52"
WEIGHT:295G/M2</t>
  </si>
  <si>
    <t>ART.EBT150561
COMP:47%CO50%PL3%EA
WIDTH:53"
WEIGHT:360G/M2</t>
  </si>
  <si>
    <t>ART.EBT150562
COMP:87%PO10%VI3%EA
WIDTH:57"
WEIGHT:215G/M2</t>
  </si>
  <si>
    <t>ART.EBT150563
COMP:64%CO34%PL2%EA
WIDTH:56"
WEIGHT:240G/M2</t>
  </si>
  <si>
    <t>ART.EBT150681
COMP:90%N 10%EA
WIDTH:150CM
WEIGHT:</t>
  </si>
  <si>
    <t>ART.EBT150682
COMP:90%N 10%EA
WIDTH:150CM
WEIGHT:</t>
  </si>
  <si>
    <t>ART.EBT150700
COMP:95%VI 5%EA
WIDTH:50"
WEIGHT:</t>
  </si>
  <si>
    <t>ART.EBT150702
COMP:95%VI 5%EA
WIDTH:50"
WEIGHT:</t>
  </si>
  <si>
    <t>ART.EBT150748
COMP:65%VI 25%N 10%EA
WIDTH:57/58"
WEIGHT:310G/M2</t>
  </si>
  <si>
    <t>ART.EBT150794
COMP:74%PO25%CO1%EA
WIDTH:48"
WEIGHT:280G/M2</t>
  </si>
  <si>
    <t>ART.EBT150797
COMP:73%PO25%CO2%EA
WIDTH:53"
WEIGHT:255G/M2</t>
  </si>
  <si>
    <t>ART.EBT150800
COMP:40%PO18%CO1%EA41%AC
WIDTH:50"
WEIGHT:240G/M2</t>
  </si>
  <si>
    <t>ART.EBT150815
COMP:63%PL 25%N 8%VI 4%EA
WIDTH:58/60"
WEIGHT:245G/M2</t>
  </si>
  <si>
    <t>ART.EBT150817
COMP:77%VI 17%N 6%EA
WIDTH:58/60"
WEIGHT:430G/M2</t>
  </si>
  <si>
    <t>ART.EBT150827
COMP:95%POLY 5%EA
WIDTH:57/58"
WEIGHT:500G/M2</t>
  </si>
  <si>
    <t>ART.EBT150836
COMP:F:95%POLY 5%EA
G:100%POLY
WIDTH:144CM
WEIGHT:350G/M2</t>
  </si>
  <si>
    <t>ART.EBT250369
COMP:98%CO 2%EA
WIDTH:57/58“
WEIGHT:140G/M2</t>
  </si>
  <si>
    <t>ART.EBT250400
COMP:64%POLY 34%VI 2%EA
WIDTH:142CM
WEIGHT:220G/M2</t>
  </si>
  <si>
    <t>ART.EBT150885
COMP:80%POLY 15%VI 5%EA
WIDTH:58/60"
WEIGHT:340G/M2</t>
  </si>
  <si>
    <t>ART.EBT150886
COMP:82%VI 16%N 2%EA
WIDTH:58/60"
WEIGHT:390G/M2</t>
  </si>
  <si>
    <t>ART.EBT150887
COMP:68%VI 28%N 4%EA
WIDTH:58/60"
WEIGHT:350G/M2</t>
  </si>
  <si>
    <t>ART.EBT150888
COMP:68%VI 28%N 4%EA
WIDTH:58/60"
WEIGHT:380G/M2</t>
  </si>
  <si>
    <t>ART.EBT150893
COMP:95%PL 5%EA
WIDTH:145CM
WEIGHT:185G/M2</t>
  </si>
  <si>
    <t>ART.EBT250461
COMP:95%PL 5%EA
WIDTH:57/58"
WEIGHT:260G/M2</t>
  </si>
  <si>
    <t>ART.EBT140006
COMP:87%POLY 12%VI 1%EA
WIDTH:56/57"
WEIGHT:315G/M2</t>
  </si>
  <si>
    <t>ART.EBT140033
COMP:G:92%PL 8%EA F:100%POLY SQUINS
WIDTH:126CM
WEIGHT:290G/M2</t>
  </si>
  <si>
    <t>ART.EBT140035
COMP:38%CO 57%PO 5%EA
WIDTH:53"
WEIGHT:245G/M2</t>
  </si>
  <si>
    <t>ART.EBT140036
COMP:87%PO 10%VI 3%EA
WIDTH:57"
WEIGHT:215G/M2</t>
  </si>
  <si>
    <t>ART.EBT140037
COMP:49%VI 49%PO 2%EA
WIDTH:54"
WEIGHT:220G/M2</t>
  </si>
  <si>
    <t>ART.EBT140038
COMP:50%PO 47%CO 3%EA
WIDTH:54"
WEIGHT:220G/M2</t>
  </si>
  <si>
    <t>ART.EBT140041
COMP:62%CO 34%PO 4%EA
WIDTH:50"
WEIGHT:230G/M2</t>
  </si>
  <si>
    <t>ART.EBT140044
COMP:73%PO 26%CO 1%EA
WIDTH:53"
WEIGHT:325G/M2</t>
  </si>
  <si>
    <t>ART.EBT140045
COMP:17%VI 81%PO 2%EA 
WIDTH:52"
WEIGHT:350G/M2</t>
  </si>
  <si>
    <t>ART.EBT140049
COMP:71%PO 26%CO 3%EA
WIDTH:140CM
WEIGHT:205G/M2</t>
  </si>
  <si>
    <t>ART.EBT140052
COMP:46%PL 51%VI 3%EA
WIDTH:57/58"
WEIGHT:360G/M</t>
  </si>
  <si>
    <t>ART.EBT140053
COMP:95%PL 5%EA
WIDTH:143CM
WEIGHT:341G/M2</t>
  </si>
  <si>
    <t>ART.EBT140060
COMP:39%TE 26%VI 30%N 5%EA
WIDTH:148CM
WEIGHT:162G/M2</t>
  </si>
  <si>
    <t>ART.EBT140061
COMP:68%VI 27%N 5%EA
WIDTH:150CM
WEIGHT:177G/M2</t>
  </si>
  <si>
    <t>ART.EBT140061-PFD
COMP:68%VI 27%N 5%EA
WIDTH:150CM
WEIGHT:170G/M2</t>
  </si>
  <si>
    <t>ART.EBT140063
COMP:88%PL 12%EA
WIDTH:150CM
WEIGHT:205G/M2</t>
  </si>
  <si>
    <t>ART.EBT140064
COMP:95%PL 5%EA
WIDTH:152CM
WEIGHT:246G/M2</t>
  </si>
  <si>
    <t>ART.EBT140072
COMP:97%POLY 3%EAAN
WIDTH:142CM
WEIGHT:345G/M2</t>
  </si>
  <si>
    <t>ART.EBT140072-DN
COMP:97%POLY 3%EAAN
WIDTH:142CM
WEIGHT:330G/M2</t>
  </si>
  <si>
    <t>ART.EBT140072 COATING
COMP:97%POLY 3%EAAN
WIDTH:140CM
WEIGHT:350G/M2</t>
  </si>
  <si>
    <t>ART.EBT140073
COMP:97%POLY 3%EAAN
WIDTH:57/58"
WEIGHT:375G/M2</t>
  </si>
  <si>
    <t>ART.EBT140074
COMP:97%POLY 3%EAAN
WIDTH:155CM
WEIGHT:400G/M2</t>
  </si>
  <si>
    <t>ART.EBT140075
COMP:97%POLY 3%EAAN
WIDTH:155CM
WEIGHT:360G/M2</t>
  </si>
  <si>
    <t>ART.EBT140076
COMP:97%POLY 3%EAAN
WIDTH:155CM
WEIGHT:375G/M2</t>
  </si>
  <si>
    <t>ART.EBT140077
COMP:95%POLY 5%EAAN
WIDTH:58/60"
WEIGHT:260G/M2</t>
  </si>
  <si>
    <t>ART.EBT140078
COMP:97%POLY 3%EAAN
WIDTH:155CM
WEIGHT:355G/M2</t>
  </si>
  <si>
    <t>ART.EBT140079
COMP:94%POLY 6%EA
WIDTH:148CM
WEIGHT:155G/M2</t>
  </si>
  <si>
    <t>ART.EBT140080
COMP:84%POLY 14%VI 2%EA
WIDTH:60/61"
WEIGHT:425G/M2</t>
  </si>
  <si>
    <t>ART.EBT140081
COMP:23%CO 2%EA 75%PO
WIDTH:55"
WEIGHT:245G/M2</t>
  </si>
  <si>
    <t>ART.EBT140082
COMP:54%PO 44%CO 2%EA
WIDTH:57/58"
WEIGHT:331G/M2</t>
  </si>
  <si>
    <t>ART.EBT140087
COMP:98%PO 2%EA
WIDTH:48"
WEIGHT:165G/M2</t>
  </si>
  <si>
    <t>ART.EBT140090
COMP:96%PL 4%EA
WIDTH:57"
WEIGHT:220G/M2</t>
  </si>
  <si>
    <t>ART.EBT140092
COMP:53%POLY 19%VI 23%A 4%W 1%EA
WIDTH:58/59"
WEIGHT:335G/M2</t>
  </si>
  <si>
    <t>ART.EBT140095
COMP:75%PL 23%CO 2%EA
WIDTH:57/58"
WEIGHT:320G/M2</t>
  </si>
  <si>
    <t>ART.EBT140097
COMP:44%CO 55%PO 1%EA
WIDTH:53"
WEIGHT:210G/M2</t>
  </si>
  <si>
    <t>ART.EBT140131
COMP:92%N 8%EA
WIDTH:150CM
WEIGHT:330-340G/M</t>
  </si>
  <si>
    <t>ART.EBT140138
COMP:78%PL 17%VI 5%EA
WIDTH:148CM
WEIGHT:270G/M2</t>
  </si>
  <si>
    <t>ART.EBT140139
COMP:92%N 8%EA
WIDTH:150CM
WEIGHT:</t>
  </si>
  <si>
    <t>ART.EBT140147
COMP:92%N 8%EA
WIDTH:145CM
WEIGHT:280G/M2</t>
  </si>
  <si>
    <t>ART.EBT140184
COMP:98%PO 2%EA
WIDTH:54"
WEIGHT:160G/M2</t>
  </si>
  <si>
    <t>ART.EBT140185
COMP:98%PO 2%EA
WIDTH:52"
WEIGHT:170G/M2</t>
  </si>
  <si>
    <t>ART.EBT140186
COMP:98%PO 2%EA
WIDTH:55"
WEIGHT:160G/M2</t>
  </si>
  <si>
    <t>ART.EBT140187
COMP:98%PO 2%EA
WIDTH:54"
WEIGHT:160G/M2</t>
  </si>
  <si>
    <t>ART.EBT140188
COMP:98%PO 2%EA
WIDTH:54"
WEIGHT:165G/M2</t>
  </si>
  <si>
    <t>ART.EBT140194
COMP:82%NYLON 18%EA
WIDTH:150CM
WEIGHT:200G/M2</t>
  </si>
  <si>
    <t>ART.EBT140209
COMP:78%PL 18%VI 4%EA
WIDTH:145CM
WEIGHT:279G/M2</t>
  </si>
  <si>
    <t>ART.EBT140210
COMP:26%PL 69%VI 5%EA
WIDTH:136CM
WEIGHT:200G/M2</t>
  </si>
  <si>
    <t>ART.EBT140211
COMP:G:100%POLY
F:94%PL 6%EA
WIDTH:57/58"
WEIGHT:245G/M2</t>
  </si>
  <si>
    <t>ART.EBT140213
COMP:95%PO 5%EA
WIDTH:57"
WEIGHT:170G/M2</t>
  </si>
  <si>
    <t>ART.EBT140214
COMP:95%PO 5%EA
WIDTH:57"
WEIGHT:170G/M2</t>
  </si>
  <si>
    <t>ART.EBT140215
COMP:97%PL 3%EA
WIDTH:57/58"
WEIGHT:240G/M</t>
  </si>
  <si>
    <t>ART.EBT140216
COMP:96%PL 4%EA
WIDTH:57/58"
WEIGHT:330G/M</t>
  </si>
  <si>
    <t>ART.EBT140218
COMP:F:100POLY
G:86%CO 13%PL 1%EA
WIDTH:142CM
WEIGHT:385G/M2</t>
  </si>
  <si>
    <t>ART.EBT140229
COMP:98%PL 2%EA
WIDTH:150CM
WEIGHT:360G/M2</t>
  </si>
  <si>
    <t>ART.EBT140231
COMP:55%VI 30%N 5%EA 10%PU
WIDTH:140CM
WEIGHT:265G/M2</t>
  </si>
  <si>
    <t>ART.EBT140232
COMP:95%PL 5%EA
WIDTH:64/66"
WEIGHT:255G/M2</t>
  </si>
  <si>
    <t>ART.EBT140243
COMP:G:84%NYLON 16%EA
F:94%PL 6%EA
WIDTH:145CM
WEIGHT:331G/M2</t>
  </si>
  <si>
    <t>ART.EBT140243 POLY
COMP:
F:96%PL 6%EA G:84%PL 16%EA
WIDTH:145CM
WEIGHT:331G/M2</t>
  </si>
  <si>
    <t>ART.EBT140243-220LC
COMP:F:95%PL 5%EA
G:100%PL
WIDTH:145CM
WEIGHT:322G/M2</t>
  </si>
  <si>
    <t>ART.EBT140243-280LC
COMP:F:95%PL 5%EA
G:100%PL
WIDTH:145CM
WEIGHT:322G/M2</t>
  </si>
  <si>
    <t>ART.EBT140245
COMP:98%CTN 2%EA
WIDTH:57/58"
WEIGHT:</t>
  </si>
  <si>
    <t>ART.EBT140252
COMP:90%PL 10%EA
WIDTH:165CM
WEIGHT:275G/M2</t>
  </si>
  <si>
    <t>ART.EBT140263
COMP:97%PL 3%EA
WIDTH:57/58"
WEIGHT:150G/M2</t>
  </si>
  <si>
    <t>ART.EBT140270
COMP:56%PO 42%CO 2%EA
WIDTH:51"
WEIGHT:270G/M2</t>
  </si>
  <si>
    <t>ART.EBT140271
COMP:98%PO 2%EA
WIDTH:55"
WEIGHT:145G/M2</t>
  </si>
  <si>
    <t>ART.EBT140272
COMP:22%NL 3%EA 75%PO
WIDTH:54"
WEIGHT:205G/M2</t>
  </si>
  <si>
    <t>ART.EBT140277
COMP:94%CUPRO 6%EA
WIDTH:57/58"
WEIGHT:220G/M2</t>
  </si>
  <si>
    <t>ART.EBT140286
COMP:76%VI 21%N 3%EA
WIDTH:57/58"
WEIGHT:245G/M2</t>
  </si>
  <si>
    <t>ART.EBT140287
COMP:75%POLY 22%VI 3%EA
WIDTH:57/58"
WEIGHT:250G/M2</t>
  </si>
  <si>
    <t>ART.EBT140288
COMP:72.5%PL 26%VI 1.5%EA
WIDTH:57/58"
WEIGHT:345G/M2</t>
  </si>
  <si>
    <t>ART.EBT140289
COMP:95%PL 5%EA
WIDTH:61/62"
WEIGHT:195G/M2</t>
  </si>
  <si>
    <t>ART.EBT140295
COMP:50%VI 46%PL 4%EA
WIDTH:57/58"
WEIGHT:351G/M2</t>
  </si>
  <si>
    <t>ART.EBT140296
COMP:50%VI 46%PL 4%EA
WIDTH:57/58"
WEIGHT:351G/M2</t>
  </si>
  <si>
    <t>ART.EBT140297
COMP:50%VI 46%PL 4%EA
WIDTH:57/58"
WEIGHT:351G/M2</t>
  </si>
  <si>
    <t>ART.EBT140298
COMP:50%VI 46%PL 4%EA
WIDTH:57/58"
WEIGHT:288G/M2</t>
  </si>
  <si>
    <t>ART.EBT140300
COMP:67%PL 29%VI 4%EA
WIDTH:57/58"
WEIGHT:400G/M2</t>
  </si>
  <si>
    <t>ART.EBT140306
COMP:95%POLY 5%EAAN
WIDTH:150CM
WEIGHT:250G/M2</t>
  </si>
  <si>
    <t>ART.EBT140359
COMP:97%POLY 3%EAAN
WIDTH:155CM
WEIGHT:305G/M2</t>
  </si>
  <si>
    <t>ART.EBT140360
COMP:97%POLY 3%EAAN
WIDTH:57/58"
WEIGHT:305G/M2</t>
  </si>
  <si>
    <t>ART.EBT140361
COMP:97%POLY 3%EAAN
WIDTH:145CM
WEIGHT:305G/M2</t>
  </si>
  <si>
    <t>ART.EBT140391
COMP:94%V 6%EA
WIDTH:57/58"
WEIGHT:245G/M2</t>
  </si>
  <si>
    <t>ART.EBT140409
COMP:G:65%R30%N5%EA
WIDTH:55/56"
WEIGHT:374G/M2</t>
  </si>
  <si>
    <t>ART.EBT140435
COMP:97%POLY 3%EAAN
WIDTH:150CM
WEIGHT:203G/M2</t>
  </si>
  <si>
    <t>ART.EBT140442
COMP:98%PL 2%EA
WIDTH:147CM
WEIGHT:292G/M2</t>
  </si>
  <si>
    <t>ART.EBT140451
COMP:78%POLY21%R1%EA
WIDTH:57/58"
WEIGHT:230G/M2</t>
  </si>
  <si>
    <t>ART.EBT140452
COMP:79%POLY19%R2%EA
WIDTH:57/58"
WEIGHT:325G/M2</t>
  </si>
  <si>
    <t>ART.EBT140455
COMP:F:100%PL
G:60%PL 34%VI 6%EA
WIDTH:145CM
WEIGHT:370G/M2</t>
  </si>
  <si>
    <t>ART.EBT140455-1
COMP:F:100%PL
G:60%PL 34%VI 6%EA
WIDTH:145CM
WEIGHT:370G/M2</t>
  </si>
  <si>
    <t>ART.EBT140473
COMP:24%N22%C49%R5%EA
WIDTH:147CM
WEIGHT:201G/M2</t>
  </si>
  <si>
    <t>ART.EBT140478
COMP:87%PL11%CO2%EA
WIDTH:53"
WEIGHT:240G/M2</t>
  </si>
  <si>
    <t>ART.EBT140480
COMP:38%PL 61%CO 1%EA
WIDTH:55"
WEIGHT:240G/M2</t>
  </si>
  <si>
    <t>ART.EBT140487
COMP:92%PL 8%EA
WIDTH:145CM
WEIGHT:297G/M2</t>
  </si>
  <si>
    <t>ART.EBT140488
COMP:68.4%VI 27.4%N 4.2%EA
WIDTH:160CM
WEIGHT:430G/M2</t>
  </si>
  <si>
    <t>ART.EBT140490
COMP:96%PL 4%EA
WIDTH:156CM
WEIGHT:270-280G/M2</t>
  </si>
  <si>
    <t>ART.EBT140491
COMP:92%PL 8%EA
WIDTH:57/58"
WEIGHT:260G/M2</t>
  </si>
  <si>
    <t>ART.EBT140493
COMP:97%PL 3%EA
WIDTH:57/58"
WEIGHT:230G/M</t>
  </si>
  <si>
    <t>ART.EBT140494
COMP:97%PL 3%EA
WIDTH:57/58"
WEIGHT:220G/M</t>
  </si>
  <si>
    <t>ART.EBT140495
COMP:97%PL 3%EA
WIDTH:57/58"
WEIGHT:230G/M</t>
  </si>
  <si>
    <t>ART.EBT140511
COMP:39%PO58%CO3%EA
WIDTH:55"
WEIGHT:290G/SM</t>
  </si>
  <si>
    <t>ART.EBT140517
COMP:98%PO2%EA
WIDTH:55"
WEIGHT:150G/SM</t>
  </si>
  <si>
    <t>ART.EBT140521
COMP:99%CO 1%EAAN
WIDTH:46"
WEIGHT:103G/SM</t>
  </si>
  <si>
    <t>ART.EBT140535
COMP:95%PL 5%EA
WIDTH:55"
WEIGHT:195G/SM</t>
  </si>
  <si>
    <t>ART.EBT140544
COMP: 92%T 8%EA 
WIDTH:155CM
WEIGHT:160G/M2</t>
  </si>
  <si>
    <t>ART.EBT140551
COMP:17%N 70%VI 13%EA
WIDTH:150CM
WEIGHT:450G/M2</t>
  </si>
  <si>
    <t>ART.EBT140552
COMP:87%PL 13%EA
WIDTH:125CM
WEIGHT:330-380G/M2</t>
  </si>
  <si>
    <t>ART.EBT140609
COMP:96%PL 4%EA
WIDTH:142CM
WEIGHT:141G/M2</t>
  </si>
  <si>
    <t>ART.EBT140609-JR
COMP:96%PL 4%EA
WIDTH:142CM
WEIGHT:140G/M2</t>
  </si>
  <si>
    <t>ART.EBT140609-H 
COMP:95%PL 5%EA
WIDTH:142CM
WEIGHT:140G/M2</t>
  </si>
  <si>
    <t>ART.EBT140609-JRB
COMP:96%PL 4%EA
WIDTH:142CM
WEIGHT:315G/M2</t>
  </si>
  <si>
    <t>ART.EBT140609B
COMP:96%PL 4%EA
WIDTH:142CM
WEIGHT:315G/M2</t>
  </si>
  <si>
    <t>ART.EBT140612
COMP:62%PL35%R3%EA
WIDTH:150CM
WEIGHT:390G/M2</t>
  </si>
  <si>
    <t>ART.EBT140629
COMP:40%PO59%CO1%EA
WIDTH:52"
WEIGHT:195G/M2</t>
  </si>
  <si>
    <t>ART.EBT140630
COMP:38%PO61%CO1%EA
WIDTH:59"
WEIGHT:230G/M2</t>
  </si>
  <si>
    <t>ART.EBT140659
COMP:38%PL 61%CO 1%EA
WIDTH:58"
WEIGHT:210G/M2</t>
  </si>
  <si>
    <t>ART.EBT140661
COMP:38%PL 61%CO 1%EA
WIDTH:55"
WEIGHT:220G/M2</t>
  </si>
  <si>
    <t>ART.EBT140665
COMP:38%PL 61%CO 1%EA
WIDTH:57"
WEIGHT:230G/M2</t>
  </si>
  <si>
    <t>ART.EBT140669
COMP:38%PL 61%CO 1%EA
WIDTH:55"
WEIGHT:235G/M2</t>
  </si>
  <si>
    <t>ART.EBT140682
COMP:60%PL 35%VI 5%EA
WIDTH:150CM
WEIGHT:350-360G/M2</t>
  </si>
  <si>
    <t>ART.EBT140738
COMP:67%V30%C3%EA
WIDTH:57"
WEIGHT:240G/M2</t>
  </si>
  <si>
    <t>ART.EBT140743
COMP:97%PL 3%EA
WIDTH:57/58"
WEIGHT:260G/M2</t>
  </si>
  <si>
    <t>ART.EBT140745
COMP:55%C41%PL4%EA
WIDTH:150CM
WEIGHT:260G/M2</t>
  </si>
  <si>
    <t>ART.EBT140746
COMP:55%C41%PL4%EA
WIDTH:150CM
WEIGHT:260G/M2</t>
  </si>
  <si>
    <t>ART.EBT140747
COMP:55%C41%PL4%EA
WIDTH:150CM
WEIGHT:260G/M2</t>
  </si>
  <si>
    <t>ART.EBT140801
COMP:93%N 7%EA
WIDTH:57/58"
WEIGHT:215G/M2</t>
  </si>
  <si>
    <t>ART.EBT140803
COMP:F:92%PL8%EA, G:92%PL8%EA
WIDTH:57/58"
WEIGHT:337G/M2</t>
  </si>
  <si>
    <t>ART.EBT140804
COMP:F:100%PL, G:92%PL8%EA
WIDTH:57/58"
WEIGHT:356G/M2</t>
  </si>
  <si>
    <t>ART.EBT140804-JR
COMP:F:100%PL, G:92%PL8%EA
WIDTH:144CM
WEIGHT:356G/M2</t>
  </si>
  <si>
    <t>ART.EBT140805
COMP:F:92%PL8%EA, G:100%PL
WIDTH:57/58"
WEIGHT:336G/M2</t>
  </si>
  <si>
    <t>ART.EBT140806
COMP:F:85.9%PL14.1%EA, G:100%PL
WIDTH:57/58"
WEIGHT:384G/M2</t>
  </si>
  <si>
    <t>ART.EBT140809
COMP:F:100%PL G:95%PL5%EA
WIDTH:57/58"
WEIGHT:520G/M2</t>
  </si>
  <si>
    <t>ART.EBT140810
COMP:F:100%PL G:95%PL5%EA
WIDTH:57/58"
WEIGHT:445G/M2</t>
  </si>
  <si>
    <t>ART.EBT140812
COMP:84%C15%T1%EA
WIDTH:57"
WEIGHT:260G/M2</t>
  </si>
  <si>
    <t>ART.EBT140813
COMP:38%PO61%CO1%EA
WIDTH:58"
WEIGHT:255G/M2</t>
  </si>
  <si>
    <t>ART.EBT140814
COMP:38%PO61%CO1%EA
WIDTH:61"
WEIGHT:237G/M2</t>
  </si>
  <si>
    <t>ART.EBT140815
COMP:38%PO61%CO1%EA
WIDTH:58/59"
WEIGHT:253G/M2</t>
  </si>
  <si>
    <t>ART.EBT140818
COMP:80%C17%T3%EA
WIDTH:49/50"
WEIGHT:255G/M2</t>
  </si>
  <si>
    <t>ART.EBT140819
COMP:97%C3%EA
WIDTH:55/56"
WEIGHT:280G/M2</t>
  </si>
  <si>
    <t>ART.EBT140821
COMP:97%C3%EA
WIDTH:55/56"
WEIGHT:240G/M2</t>
  </si>
  <si>
    <t>ART.EBT140822
COMP:97%C3%EA
WIDTH:57/58"
WEIGHT:195G/M2</t>
  </si>
  <si>
    <t>ART.EBT140823
COMP:97%C3%EA
WIDTH:56/57"
WEIGHT:240G/M2</t>
  </si>
  <si>
    <t>ART.EBT140824
COMP:64%C33%N3%EA
WIDTH:51/52"
WEIGHT:200G/M2</t>
  </si>
  <si>
    <t>ART.EBT140825
COMP:97%C3%EA
WIDTH:57/58"
WEIGHT:300G/M2</t>
  </si>
  <si>
    <t>ART.EBT140826
COMP:97%C3%EA
WIDTH:57/58"
WEIGHT:280G/M2</t>
  </si>
  <si>
    <t>ART.EBT140827
COMP:67%C31%T2%EA
WIDTH:57/58"
WEIGHT:220G/M2</t>
  </si>
  <si>
    <t>ART.EBT140854
COMP:F:100%PL
G:96%PL 4%EA
WIDTH:150CM
WEIGHT:620±20G/M2</t>
  </si>
  <si>
    <t>ART.EBT140857
COMP:65%POLY 32%CO  3%EA
WIDTH:56/57"
WEIGHT:240G/M2</t>
  </si>
  <si>
    <t>ART.EBT140859
COMP:65%POLY 32%CO 3%EA
WIDTH:56/57"
WEIGHT:244G/M2</t>
  </si>
  <si>
    <t>ART.EBT140861
COMP:48%POLY 50%CO 2%EA
WIDTH:56/57"
WEIGHT:270G/M2</t>
  </si>
  <si>
    <t>ART.EBT140862
COMP:65%POLY 32%CO 3%EA
WIDTH:56/57"
WEIGHT:215/M2</t>
  </si>
  <si>
    <t>ART.EBT140909
COMP:97%C,3%EA
WIDTH:56/57"
WEIGHT:220G/M2</t>
  </si>
  <si>
    <t>ART.EBT140914
COMP:F:97%CO,3%EA G:100%PL
WIDTH:142CM
WEIGHT:560G/M2</t>
  </si>
  <si>
    <t>ART.EBT140928
COMP:94%P6%EA
WIDTH:56/57"
WEIGHT:740G/M</t>
  </si>
  <si>
    <t>ART.EBT140929
COMP:94%P6%EA
WIDTH:56/57"
WEIGHT:760G/M</t>
  </si>
  <si>
    <t>ART.EBT140930
COMP:95%P5%EA
WIDTH:57/58"
WEIGHT:300G/M</t>
  </si>
  <si>
    <t>ART.EBT140931
COMP:95%P5%EA
WIDTH:57/58"
WEIGHT:310-320G/M</t>
  </si>
  <si>
    <t>ART.EBT140932
COMP:95%P5%EA
WIDTH:57/58"
WEIGHT:350G/M</t>
  </si>
  <si>
    <t>ART.EBT140933
COMP:99%CO 1%EAAN
WIDTH:145CM
WEIGHT:212G/M2</t>
  </si>
  <si>
    <t>ART.EBT140990
COMP:63%T33%R4%EA
WIDTH:57/58"
WEIGHT:240G/M2</t>
  </si>
  <si>
    <t>ART.EBT140990 NO BRUSH
COMP:63%T33%R4%EA
WIDTH:57/58"
WEIGHT:280G/M2</t>
  </si>
  <si>
    <t>ART.EBT140995
COMP:F:96%PL 4%EA G:95-84%NYLON 16%EA
WIDTH:140CM
WEIGHT:</t>
  </si>
  <si>
    <t>ART.EBT141031
COMP:74%PL25%VI1%EA
WIDTH:56"
WEIGHT:330G/M2</t>
  </si>
  <si>
    <t>ART.EBTBRT748
COMP:98%PO 2%EA
WIDTH:48"
WEIGHT:165G/M2</t>
  </si>
  <si>
    <t>ART.EBTBRT746
COMP:96%PL 4%EA
WIDTH:57"
WEIGHT:220G/M2</t>
  </si>
  <si>
    <t>ART.EBTBRT749
COMP:75%PL 23%CO 2%EA
WIDTH:57/58"
WEIGHT:320G/M2</t>
  </si>
  <si>
    <t>ART.EBTBRT736
COMP:88%N 12%EA
WIDTH:150CM
WEIGHT:197G/M2</t>
  </si>
  <si>
    <t>ART.EBT150951
COMP:95%PL 5%EA
WIDTH:128CM
WEIGHT:320G/M2</t>
  </si>
  <si>
    <t>ART.EBT150959
COMP:95%PL 5%EA
WIDTH:126CM
WEIGHT:274G/M2</t>
  </si>
  <si>
    <t>ART.EBT250466
COMP:97%POLY 3%EA
WIDTH:54/55"
WEIGHT:348G/M2</t>
  </si>
  <si>
    <t>ART.EBT250468
COMP:94%NY 6%EA 
WIDTH:148-149CM
WEIGHT:280G/M2</t>
  </si>
  <si>
    <t>ART.EBT250469
COMP:98%CO 2%EA 
WIDTH:56/57"
WEIGHT:280G/M2</t>
  </si>
  <si>
    <t>ART.EBT250472
COMP:50%CO 44%VI 6%EA
WIDTH:52/54"
WEIGHT:298G/M2</t>
  </si>
  <si>
    <t>ART.EBT250474
COMP:47.7%CO 48.7%NY 3.6%EA
WIDTH:142-144CM
WEIGHT:250-260G/M2</t>
  </si>
  <si>
    <t>ART.EBT250475
COMP:97%CO 3%EA
WIDTH:48/50"
WEIGHT:280G/M2</t>
  </si>
  <si>
    <t>ART.EBT250477
COMP:97%CO 3%EA DOBBY
WIDTH:56/57"
WEIGHT:267G/M2</t>
  </si>
  <si>
    <t>ART.EBT250482
COMP:97%CO 3%EA
WIDTH:47/48"
WEIGHT:244G/M2</t>
  </si>
  <si>
    <t>ART.EBT9343-JR
COMP:60%PL 34%VI 6%EA
WIDTH:141CM
WEIGHT:280-290G/M2</t>
  </si>
  <si>
    <t>ART.EBT10275-JR
COMP:65%R30%N5%EA
WIDTH:146CM
WEIGHT:350G/M2</t>
  </si>
  <si>
    <t>ART.EBT151069
COMP:48%CO 48%PL 4%EA
WIDTH:142CM
WEIGHT:190G/M2</t>
  </si>
  <si>
    <t>ART.EBT151070
COMP:39%CO 55%PL 6%EA
WIDTH:145CM
WEIGHT:240G/M2</t>
  </si>
  <si>
    <t>ART.EBT250654
COMP:F:90%PA 10%EA G:60%PC 40%PL
WIDTH:145CM
WEIGHT:205G/M2</t>
  </si>
  <si>
    <t>ART.EBT250689
COMP:65%VI 28.7%N 6.5%EA
WIDTH:148CM
WEIGHT:287G/M2</t>
  </si>
  <si>
    <t>ART.EBT250699
COMP:F:95%POLY 5%EA G:95%POLY 5%EA 
WIDTH:145CM
WEIGHT:460G/M2</t>
  </si>
  <si>
    <t>ART.EBT250704
COMP:59%VI 36%N 5%EA
WIDTH:150cm
WEIGHT:310G/M2</t>
  </si>
  <si>
    <t>ART.EBT150001
COMP:89.5%PL 7.5%VI 3%EA
WIDTH:170CM
WEIGHT:316G/M2</t>
  </si>
  <si>
    <t>ART.EBT150002
COMP:97%PL 3%EA
WIDTH:153CM
WEIGHT:293G/M2</t>
  </si>
  <si>
    <t>ART.EBT150020
COMP:95%PL 5%EA
WIDTH:145CM
WEIGHT:286G/M2</t>
  </si>
  <si>
    <t>ART.EBT150022
COMP:95%PL 5%EA
WIDTH:155CM
WEIGHT:225G/M2</t>
  </si>
  <si>
    <t>ART.EBT150027
COMP:97%PL 3%EA
WIDTH:160CM
WEIGHT:310G/M2</t>
  </si>
  <si>
    <t>ART.EBT150028
COMP:96%PL 4%EA
WIDTH:58/59"
WEIGHT:280G/M2</t>
  </si>
  <si>
    <t>ART.EBT150037
COMP:95%PL 5%N
WIDTH:57/58"
WEIGHT:262G/M2</t>
  </si>
  <si>
    <t>ART.EBT150038
COMP:60%PL 40%C
WIDTH:57/58"
WEIGHT:273G/M2</t>
  </si>
  <si>
    <t>ART.EBT150039
COMP:95%PL 5%N
WIDTH:57/58"
WEIGHT:330G/M2</t>
  </si>
  <si>
    <t>ART.EBT150040
COMP:95%PL 5%EA
WIDTH:57/58"
WEIGHT:253G/M2</t>
  </si>
  <si>
    <t>ART.EBT150041
COMP:95%PL 5%EA
WIDTH:57/58"
WEIGHT:155G/M2</t>
  </si>
  <si>
    <t>ART.EBT150043
COMP:95%PL 5%EA
WIDTH:57/58"
WEIGHT:299G/M2</t>
  </si>
  <si>
    <t>ART.EBT150045
COMP:95%PL 5%EA
WIDTH:57/58"
WEIGHT:300G/M2</t>
  </si>
  <si>
    <t>ART.EBT150046
COMP:F:86.08%PA 8.32%PL 5.6%EA G:95%PL 5%EA
WIDTH:146CM
WEIGHT:520G/M2</t>
  </si>
  <si>
    <t>ART.EBT150049
COMP:55%PL 45%C
WIDTH:140CM
WEIGHT:640G/M</t>
  </si>
  <si>
    <t>ART.EBT150060
COMP:98%PL 2%EA
WIDTH:63/65"
WEIGHT:250G/M2</t>
  </si>
  <si>
    <t>ART.EBT150061
COMP:96%PL 4%EA
WIDTH:160CM
WEIGHT:310G/M2</t>
  </si>
  <si>
    <t>ART.EBT150062
COMP:96%PL 4%EA
WIDTH:56/57"
WEIGHT:250G/M2</t>
  </si>
  <si>
    <t>ART.EBT150081
COMP:62%PL 38%C
WIDTH:144CM
WEIGHT:230G/M2</t>
  </si>
  <si>
    <t>ART.EBT150094
COMP:85%PL 15%C
WIDTH:57/58"
WEIGHT:305G/M2</t>
  </si>
  <si>
    <t>ART.EBT150098
COMP:86%PL 14%C
WIDTH:142CM
WEIGHT:225G/M2</t>
  </si>
  <si>
    <t>ART.EBT150099
COMP:97%PL 3%EA
WIDTH:57/58"
WEIGHT:330G/M2</t>
  </si>
  <si>
    <t>ART.EBT150100
COMP:52%PL 48%C
WIDTH:145CM
WEIGHT:205G/M2</t>
  </si>
  <si>
    <t>ART.EBT150101
COMP:11%VI 29%PL 25%PC 35%C
WIDTH:57"
WEIGHT:259G/M2</t>
  </si>
  <si>
    <t>ART.EBT150102
COMP:11%VI 29%PL 25%PC 35%C
WIDTH:58"
WEIGHT:259G/M2</t>
  </si>
  <si>
    <t>ART.EBT150114
COMP:75%PL 22%VI 3%EA
WIDTH:56/57"
WEIGHT:280G/M2</t>
  </si>
  <si>
    <t>ART.EBT150121
COMP:70%PL 25%V 5%EA
WIDTH:63/64"
WEIGHT:405G/M2</t>
  </si>
  <si>
    <t>ART.EBT150124
COMP:87%PL 10%V 3%EA
WIDTH:57"
WEIGHT:210G/M2</t>
  </si>
  <si>
    <t>ART.EBT150125
COMP:70%PL 20%N 10%MET
WIDTH:140CM
WEIGHT:180G/M2</t>
  </si>
  <si>
    <t>ART.EBT150152
COMP:35%PL 65%C
WIDTH:56"
WEIGHT:167G/M2</t>
  </si>
  <si>
    <t>ART.EBT150153
COMP:77%PL 23%V
WIDTH:56/57"
WEIGHT:196G/M2</t>
  </si>
  <si>
    <t>ART.EBT150173
COMP:68%PL 29%VI 3%EA
WIDTH:56"
WEIGHT:500G/M2</t>
  </si>
  <si>
    <t>ART.EBT150184
COMP:95%PL 5%EA
WIDTH:61/62"
WEIGHT:280G/M2</t>
  </si>
  <si>
    <t>ART.EBT150209
COMP:64%PL 34%VI 2%EA
WIDTH:57/58"
WEIGHT:270G/M2</t>
  </si>
  <si>
    <t>ART.EBT150211
COMP:77%PL 21%VI 2%EA
WIDTH:57/58"
WEIGHT:308G/SM</t>
  </si>
  <si>
    <t>ART.EBT150214
COMP:82%PL 12%VI 6%EA
WIDTH:57/58"
WEIGHT:300G/M2</t>
  </si>
  <si>
    <t>ART.EBT150215
COMP:75%PL 19%VI 6%EA
WIDTH:57/58"
WEIGHT:282G/M2</t>
  </si>
  <si>
    <t>ART.EBT150216
COMP:95%PL 5%EA 
WIDTH:147CM
WEIGHT:410G/M</t>
  </si>
  <si>
    <t>ART.EBT150224
COMP:63%PL 33%VI 4%EA
WIDTH:57/58"
WEIGHT:340G/M2</t>
  </si>
  <si>
    <t>ART.EBT150226
COMP:73%PL 25%VI 2%EA
WIDTH:57/58"
WEIGHT:361G/M2</t>
  </si>
  <si>
    <t>ART.EBT150227
COMP:63%PL 33%VI 4%EA
WIDTH:57/58"
WEIGHT:340G/M2</t>
  </si>
  <si>
    <t>ART.EBT150228
COMP:84%PL 14%VI 2%EA
WIDTH:150CM
WEIGHT:190G/M2</t>
  </si>
  <si>
    <t>ART.EBT150230
COMP:55%PL 45%C
WIDTH:57/58"
WEIGHT:730G/M</t>
  </si>
  <si>
    <t>ART.EBT150236
COMP:95%PL 5%EA
WIDTH:57/58"
WEIGHT:420G/M</t>
  </si>
  <si>
    <t>ART.EBT150237
COMP:95%PL 5%EA
WIDTH:57/58"
WEIGHT:350G/M</t>
  </si>
  <si>
    <t>ART.EBT150253
COMP:F:45%N 50%PL 5%LUREX G:95%PL 5%EA
WIDTH:148CM
WEIGHT:398G/M2</t>
  </si>
  <si>
    <t>ART.EBT150254
COMP:F:40%VI 30%PL 30%ME G:95%PL 5%EA
WIDTH:143CM
WEIGHT:418G/M2</t>
  </si>
  <si>
    <t>ART.EBT150337
COMP:81%PL 16%VI 3%EA
WIDTH:57/58"
WEIGHT:380G/M2</t>
  </si>
  <si>
    <t>ART.EBT150338
COMP:80%PVC 15%PL 5%PU
WIDTH:120CM
WEIGHT:</t>
  </si>
  <si>
    <t>ART.EBT150343
COMP:G:100%PL EMB:100%C
WIDTH:130CM(+-3CM)
WEIGHT:</t>
  </si>
  <si>
    <t>ART.EBT150358
COMP:G:100%PL EMB:100%C
WIDTH:125CM
WEIGHT:135G/M2</t>
  </si>
  <si>
    <t>ART.EBT150367
COMP:4%A 29%PL 12%VI 55%C
WIDTH:57/58"
WEIGHT:420G/M</t>
  </si>
  <si>
    <t>ART.EBT150376
COMP:30%PL 70%PU
WIDTH:135CM
WEIGHT:120G/M2</t>
  </si>
  <si>
    <t>ART.EBT150377
COMP:40%PL 60%PU
WIDTH:125CM
WEIGHT:190G/M2</t>
  </si>
  <si>
    <t>ART.EBT150378
COMP:70%PL 30%N
WIDTH:130CM
WEIGHT:170G/M2</t>
  </si>
  <si>
    <t>ART.EBT150379
COMP:100%PL WITH FOIL
WIDTH:130CM
WEIGHT:</t>
  </si>
  <si>
    <t>ART.EBT150380
COMP:40%PL 60%C
WIDTH:130CM
WEIGHT:125G/M2</t>
  </si>
  <si>
    <t>ART.EBT150382
COMP:95%PL 5%EA
WIDTH:160CM
WEIGHT:320G/M2</t>
  </si>
  <si>
    <t>ART.EBT150383
COMP:95%PL 5%EA
WIDTH:160CM
WEIGHT:300G/M2</t>
  </si>
  <si>
    <t>ART.EBT150384
COMP:95%PL 5%EA
WIDTH:160CM
WEIGHT:320G/M2</t>
  </si>
  <si>
    <t>ART.EBT150385
COMP:95%PL 5%EA
WIDTH:160CM
WEIGHT:320G/M2</t>
  </si>
  <si>
    <t>ART.EBT150407
COMP:52%PL 48%C
WIDTH:145CM
WEIGHT:205G/M2</t>
  </si>
  <si>
    <t>ART.EBT150408
COMP:52%PL 48%C
WIDTH:145CM
WEIGHT:205G/M2</t>
  </si>
  <si>
    <t>ART.EBT150416
COMP:98%PL 2%EA
WIDTH:59/60"
WEIGHT:265G/M2</t>
  </si>
  <si>
    <t>ART.EBT150424
COMP:98%PL 2%EA
WIDTH:57/58"
WEIGHT:210G/M2</t>
  </si>
  <si>
    <t>ART.EBT150451
COMP:G:100%PL EMB:100%PU
WIDTH:130CM
WEIGHT:</t>
  </si>
  <si>
    <t>ART.EBT150452
COMP:G:100%PL EMB:100%PU
WIDTH:133CM
WEIGHT:480G/M</t>
  </si>
  <si>
    <t>ART.EBT150460
COMP:50%PL 50%PU
WIDTH:130CM
WEIGHT:350G/M2</t>
  </si>
  <si>
    <t>ART.EBT150461
COMP:40%PL 60%PU
WIDTH:130CM
WEIGHT:320G/M2</t>
  </si>
  <si>
    <t>ART.EBT150463
COMP:EMB:100%C
G:60%PL 40%N
WIDTH:130CM
WEIGHT:100G/M2</t>
  </si>
  <si>
    <t>ART.EBT150475
COMP:44%PL 56%AC
WIDTH:55"
WEIGHT:285G/M2</t>
  </si>
  <si>
    <t>ART.EBT150476
COMP:44%PL 56%AC
WIDTH:55"
WEIGHT:290G/M2</t>
  </si>
  <si>
    <t>ART.EBT150481
COMP:MESH:100%PL EMB:MATELLISE
WIDTH:130CM
WEIGHT:150G/M</t>
  </si>
  <si>
    <t>ART.EBT150482
COMP:98%PL 2%EA
WIDTH:150CM
WEIGHT:250G/M2</t>
  </si>
  <si>
    <t>ART.EBT150484
COMP:98%PL 2%EA
WIDTH:155CM
WEIGHT:350G/M2</t>
  </si>
  <si>
    <t>ART.EBT150485
COMP:44%VI 54%PL 2%EA
WIDTH:155CM
WEIGHT:300G/M2</t>
  </si>
  <si>
    <t>ART.EBT150487
COMP:98%PL 2%EA
WIDTH:150CM
WEIGHT:310G/M2</t>
  </si>
  <si>
    <t>ART.EBT150497
COMP:71%PL 29%C
WIDTH:54"
WEIGHT:152G/M2</t>
  </si>
  <si>
    <t>ART.EBT150508
COMP:96%PL 4%EA
WIDTH:58/59"
WEIGHT:245G/M2</t>
  </si>
  <si>
    <t>ART.EBT150548
COMP:70%PL 30%PU
WIDTH:130CM
WEIGHT:169G/M2</t>
  </si>
  <si>
    <t>ART.EBT150566
COMP:98%PL 2%EA
WIDTH:144CM
WEIGHT:205G/M2</t>
  </si>
  <si>
    <t>ART.EBT150598
COMP:89%PL 11%EA
WIDTH:148CM
WEIGHT:420G/M</t>
  </si>
  <si>
    <t>ART.EBT150644-DN
COMP:79%PL 21%R
WIDTH:58/60"
WEIGHT:260G/M2</t>
  </si>
  <si>
    <t>ART.EBT150680
COMP:60%N 30%PL 10%EA
WIDTH:150CM
WEIGHT:</t>
  </si>
  <si>
    <t>ART.EBT150701
COMP:60%PL 35%VI 5%EA
WIDTH:50"
WEIGHT:</t>
  </si>
  <si>
    <t>ART.EBT150703
COMP:60%PL 35%VI 5%EA
WIDTH:50"
WEIGHT:</t>
  </si>
  <si>
    <t>ART.EBT150724
COMP:52%PL 48%C
WIDTH:143CM
WEIGHT:212G/M2</t>
  </si>
  <si>
    <t>ART.EBT150725
COMP:52%PL 48%C
WIDTH:143CM
WEIGHT:212G/M2</t>
  </si>
  <si>
    <t>ART.EBT150726
COMP:52%PL 48%C
WIDTH:143CM
WEIGHT:212G/M2</t>
  </si>
  <si>
    <t>ART.EBT150812
COMP:45%VI 11%PL 38%N 6%EA
WIDTH:58/60"
WEIGHT:362G/M2</t>
  </si>
  <si>
    <t>ART.EBT150911
COMP:55%PL 45%N
WIDTH:57/58"
WEIGHT:46G/M2</t>
  </si>
  <si>
    <t>ART.EBT150912
COMP:55%PL 45%N
WIDTH:57/58"
WEIGHT:46G/M2</t>
  </si>
  <si>
    <t>ART.EBT150913
COMP:55%PL 45%N
WIDTH:57/58"
WEIGHT:46G/M2</t>
  </si>
  <si>
    <t>ART.EBT150914
COMP:55%PL 45%N
WIDTH:57/58"
WEIGHT:46G/M2</t>
  </si>
  <si>
    <t>ART.EBT150915
COMP:55%PL 45%N
WIDTH:57/58"
WEIGHT:46G/M2</t>
  </si>
  <si>
    <t>ART.EBT140001
COMP:45%PL 55%R
WIDTH:55/56"
WEIGHT:130G/M2</t>
  </si>
  <si>
    <t>ART.EBT140002
COMP:45%PL 55%R
WIDTH:55/56"
WEIGHT:130G/M2</t>
  </si>
  <si>
    <t>ART.EBT140003
COMP:45%PL 55%R
WIDTH:55/56"
WEIGHT:130G/M2</t>
  </si>
  <si>
    <t>ART.EBT140004
COMP:95%PL 5%EA
WIDTH:140CM
WEIGHT:215G/M2</t>
  </si>
  <si>
    <t>ART.EBTBRT723
COMP:95%PL 5%EA
WIDTH:140CM
WEIGHT:215G/M2</t>
  </si>
  <si>
    <t>ART.EBT140007
COMP:96.2%PL 3.8%EA
WIDTH:153CM
WEIGHT:320G/M2</t>
  </si>
  <si>
    <t>ART.EBT140020
COMP:75.6%PL 21.4%VI 3%EA
WIDTH:160CM
WEIGHT:290G/M2</t>
  </si>
  <si>
    <t>ART.EBT140057
COMP:63.7%PL 33.6%VI 2.7%EA
WIDTH:146CM
WEIGHT:365G/M2</t>
  </si>
  <si>
    <t>ART.EBT140058
COMP:63.7%PL 33.6%VI 2.7%EA
WIDTH:142CM
WEIGHT:383G/M2</t>
  </si>
  <si>
    <t>ART.EBT140083
COMP:32%N 51%VI 12%PL 5%EA
WIDTH:150CM
WEIGHT:371G/M2</t>
  </si>
  <si>
    <t>ART.EBT140084
COMP:52%VI 28%N 13%PL 7%EA
WIDTH:148CM
WEIGHT:384G/M2</t>
  </si>
  <si>
    <t>ART.EBT140085
COMP:95%PL 5%EA
WIDTH:150CM
WEIGHT:269G/M2</t>
  </si>
  <si>
    <t>ART.EBT140088
COMP:87.7%PL 12.3%EA
WIDTH:58"
WEIGHT:400G/M2</t>
  </si>
  <si>
    <t>ART.EBT140093
COMP:32%N 51%VI 12%PL 5%EA
WIDTH:150CM
WEIGHT:371G/M2</t>
  </si>
  <si>
    <t>ART.EBT140094
COMP:95%PL 5%EA
WIDTH:146CM
WEIGHT:477G/M2</t>
  </si>
  <si>
    <t>ART.EBT140096
COMP:97%PL 3%EA
WIDTH:57/58"
WEIGHT:230G/M2</t>
  </si>
  <si>
    <t>ART.EBT140110
COMP:97%PL 3%EA
WIDTH:118CM
WEIGHT:240G/M2</t>
  </si>
  <si>
    <t>ART.EBT140111
COMP:97%PL 3%EA
WIDTH:118CM
WEIGHT:240G/M2</t>
  </si>
  <si>
    <t>ART.EBT140128
COMP:63%PL 32%VI 5%EA
WIDTH:57/58"
WEIGHT:390G/M2</t>
  </si>
  <si>
    <t>ART.EBT140132
COMP:91%PL 9%EA
WIDTH:150CM
WEIGHT:390G/M</t>
  </si>
  <si>
    <t>ART.EBT140159
COMP:30%W 20%A 40%PL 10%ME
WIDTH:57/58"
WEIGHT:560-570G/M</t>
  </si>
  <si>
    <t>ART.EBT140162
COMP:65%PL 35%WOOL
WIDTH:57/58"
WEIGHT:650G/M</t>
  </si>
  <si>
    <t>ART.EBT140166
COMP:98%PL 2%EA
WIDTH:148CM
WEIGHT:160G/M</t>
  </si>
  <si>
    <t>ART.EBT140171
COMP:98.5%PL 1.5%EA
WIDTH:58/60"
WEIGHT:297G/M2</t>
  </si>
  <si>
    <t>ART.EBT140179
COMP:83%PL 15%VI 2%EA
WIDTH:150CM
WEIGHT:310-320G/M2</t>
  </si>
  <si>
    <t>ART.EBT140179 chintz
COMP:83%PL 15%VI 2%EA
WIDTH:142CM
WEIGHT:310G/M2</t>
  </si>
  <si>
    <t>ART.EBT140220
COMP:34%PL 66%C
WIDTH:56/57"
WEIGHT:175G/M2</t>
  </si>
  <si>
    <t>ART.EBT140224
COMP:90%PL 10%N
WIDTH:152CM
WEIGHT:93G/M2</t>
  </si>
  <si>
    <t>ART.EBT140225
COMP:65%PL 35%N
WIDTH:150CM
WEIGHT:100G/M2</t>
  </si>
  <si>
    <t>ART.EBT140230
COMP:75%PL 5%EA 20%PU
WIDTH:55/56"
WEIGHT:284G/M2</t>
  </si>
  <si>
    <t>ART.EBT140234
COMP:86%PL 14%EA
WIDTH:148CM
WEIGHT:153G/M2</t>
  </si>
  <si>
    <t>ART.EBT140235
COMP:86%PL 14%EA
WIDTH:145CM
WEIGHT:150G/M2</t>
  </si>
  <si>
    <t>ART.EBT140236
COMP:86%PL 14%EA
WIDTH:138CM
WEIGHT:148G/M2</t>
  </si>
  <si>
    <t>ART.EBT140237
COMP:86%PL 14%EA
WIDTH:150CM
WEIGHT:153G/M2</t>
  </si>
  <si>
    <t>ART.EBT140238
COMP:92%PL 8%EA
WIDTH:155CM
WEIGHT:131G/M2</t>
  </si>
  <si>
    <t>ART.EBT140239
COMP:92%PL 8%EA
WIDTH:140CM
WEIGHT:94G/M2</t>
  </si>
  <si>
    <t>ART.EBT140240
COMP:92%PL 8%EA
WIDTH:148CM
WEIGHT:246G/M2</t>
  </si>
  <si>
    <t>ART.EBT140241
COMP:92%PL 8%EA
WIDTH:140CM
WEIGHT:216G/M2</t>
  </si>
  <si>
    <t>ART.EBT140262
COMP:95%PL 5%EA
WIDTH:158CM
WEIGHT:395G/M2</t>
  </si>
  <si>
    <t>ART.EBT140294-DN
COMP:97%PL 3%EA
WIDTH:156CM
WEIGHT:270G/M2</t>
  </si>
  <si>
    <t>ART.EBT140330
COMP:78%PL 18%V 4%EA
WIDTH:57"
WEIGHT:260G/M2</t>
  </si>
  <si>
    <t>ART.EBT140331
COMP:75%PL 20%V 5%EA
WIDTH:57"
WEIGHT:205G/M2</t>
  </si>
  <si>
    <t>ART.EBT140388
COMP:90%PL 10%EA
WIDTH:150CM
WEIGHT:172G/M2</t>
  </si>
  <si>
    <t>ART.EBT140389
COMP:93%PL 7%EA
WIDTH:150CM
WEIGHT:160G/M2</t>
  </si>
  <si>
    <t>ART.EBT140390
COMP:90%PL 10%EA
WIDTH:150CM
WEIGHT:270G/M2</t>
  </si>
  <si>
    <t>ART.EBT140411
COMP:57%PL 43%C
WIDTH:150CM
WEIGHT:174G/M2</t>
  </si>
  <si>
    <t>ART.EBT140427
COMP:97%PL 3%EA
WIDTH:57/58"
WEIGHT:175G/M2</t>
  </si>
  <si>
    <t>ART.EBT140432
COMP:97%PL 3%EA
WIDTH:142CM
WEIGHT:450G/M2</t>
  </si>
  <si>
    <t>ART.EBT140434
COMP:94%PL 6%EA
WIDTH:150CM
WEIGHT:228G/M2</t>
  </si>
  <si>
    <t>ART.EBT140446
COMP:F:100%PL G:2%L 3%PL 38%A 57%C
WIDTH:135CM
WEIGHT:248G/M2</t>
  </si>
  <si>
    <t>ART.EBT140448
COMP:43%PL 21%AC 36%VI
WIDTH:136CM
WEIGHT:275G/M2</t>
  </si>
  <si>
    <t>ART.EBT140490-DN
COMP:97%PL 3%EA
WIDTH:156CM
WEIGHT:270G/M2</t>
  </si>
  <si>
    <t>ART.EBT140518
COMP:F:95%VI 5%EA
G:65%PL 35%R
WIDTH:150CM
WEIGHT:340G/M2</t>
  </si>
  <si>
    <t>ART.EBT140553
COMP:70%PL 23%VI 7%EA
WIDTH:59"/60"
WEIGHT:525G/M2</t>
  </si>
  <si>
    <t>ART.EBT140555
COMP:63%PL 32%VI 5%EA
WIDTH:57/58"
WEIGHT:360G/M2</t>
  </si>
  <si>
    <t>ART.EBT140556
COMP:82%PL 14%VI 4%EA
WIDTH:160CM
WEIGHT:366G/M2</t>
  </si>
  <si>
    <t>ART.EBT140558
COMP:46%PL 54%V
WIDTH:56/57"
WEIGHT:300G/M2</t>
  </si>
  <si>
    <t>ART.EBT140559
COMP:56%PL 44%CO
WIDTH:57/58"
WEIGHT:192G/M2</t>
  </si>
  <si>
    <t>ART.EBT140560
COMP:94%PL 6%EA
WIDTH:57/58"
WEIGHT:177G/M2</t>
  </si>
  <si>
    <t>ART.EBT140625
COMP:64%PL 34%V 2%EA
WIDTH:57"
WEIGHT:343G/M2</t>
  </si>
  <si>
    <t>ART.EBT140626
COMP:65%PL 30%V 5%EA
WIDTH:56"
WEIGHT:310G/M2</t>
  </si>
  <si>
    <t>ART.EBT140627
COMP:70%PL 28%V 2%EA
WIDTH:57"
WEIGHT:310G/M2</t>
  </si>
  <si>
    <t>ART.EBT140643
COMP:88%PL 12%C
WIDTH:143CM
WEIGHT:265G/M2</t>
  </si>
  <si>
    <t>ART.EBT140677
COMP:95%PL 5%EA
WIDTH:57/58"
WEIGHT:281G/M2</t>
  </si>
  <si>
    <t>ART.EBT140680
COMP:85.9%PL 14.1%EA
WIDTH:59"
WEIGHT:315G/M2</t>
  </si>
  <si>
    <t>ART.EBT140681
COMP:87.7%PL 12.3%EA
WIDTH:59"
WEIGHT:400G/M2</t>
  </si>
  <si>
    <t>ART.EBT140723-YD
COMP:83%PL 17%MET
WIDTH:56"
WEIGHT:180G/M2</t>
  </si>
  <si>
    <t>ART.EBT140754
COMP:90%PL 10%EA
WIDTH:148CM
WEIGHT:220G/M2</t>
  </si>
  <si>
    <t>ART.EBT140766
COMP:96%PL 4%EA
WIDTH:57/58"
WEIGHT:250G/M2</t>
  </si>
  <si>
    <t>ART.EBT140768
COMP:81%PL 15%VI 4%EA
WIDTH:165CM
WEIGHT:190G/M2</t>
  </si>
  <si>
    <t>ART.EBT140769
COMP:60%PL 40%C
WIDTH:150CM
WEIGHT:270G/M2</t>
  </si>
  <si>
    <t>ART.EBT140769-1
COMP:62%PL 38%C
WIDTH:150CM
WEIGHT:235G/M2</t>
  </si>
  <si>
    <t>ART.EBT140798
COMP:89%PL 11%EA
WIDTH:57/58"
WEIGHT:200G/M2</t>
  </si>
  <si>
    <t>ART.EBT140799
COMP:94%PL 6%EA
WIDTH:57/58"
WEIGHT:260G/M2</t>
  </si>
  <si>
    <t>ART.EBT140817
COMP:64%PL 33%V 3%EA
WIDTH:56"
WEIGHT:360G/M2</t>
  </si>
  <si>
    <t>ART.EBT140834
COMP:98%PL 2%EA
WIDTH:57"/58"
WEIGHT:85G/M2</t>
  </si>
  <si>
    <t>ART.EBT140835
COMP:98%PL 2%EA
WIDTH:57"/58"
WEIGHT:85G/M2</t>
  </si>
  <si>
    <t>ART.EBT140836
COMP:98%PL 2%EA
WIDTH:57"/58"
WEIGHT:105G/M2</t>
  </si>
  <si>
    <t>ART.EBT140837
COMP:98%PL 2%EA
WIDTH:57"/58"
WEIGHT:85G/M2</t>
  </si>
  <si>
    <t>ART.EBT140839
COMP:98%PL 2%EA
WIDTH:57"/58"
WEIGHT:100G/M2</t>
  </si>
  <si>
    <t>ART.EBT140840
COMP:97%PL 3%EA
WIDTH:57"/58"
WEIGHT:100G/M2</t>
  </si>
  <si>
    <t>ART.EBT140841
COMP:97%PL 3%EA
WIDTH:57"/58"
WEIGHT:100G/M2</t>
  </si>
  <si>
    <t>ART.EBT140844
COMP:72%PL 22%V 6%EA
WIDTH:57"
WEIGHT:290G/M2</t>
  </si>
  <si>
    <t>ART.EBT140846
COMP:83%PL 14%V 3%EA
WIDTH:63/64"
WEIGHT:455G/M2</t>
  </si>
  <si>
    <t>ART.EBT140846-JR
COMP:64%PL 31%V 5%EA
WIDTH:63/64"
WEIGHT:455G/M2</t>
  </si>
  <si>
    <t>ART.EBT140848
COMP:96%PL 4%EA
WIDTH:57/58"
WEIGHT:600-630G/M</t>
  </si>
  <si>
    <t>ART.EBT140852
COMP:85.9%PL 14.1%EA
WIDTH:59"
WEIGHT:315G/M2</t>
  </si>
  <si>
    <t>ART.EBT140853
COMP:86%PL 14%EA
WIDTH:60"
WEIGHT:315G/M2</t>
  </si>
  <si>
    <t>ART.EBT140913
COMP:30%PL 70%AC
WIDTH:155CM
WEIGHT:950G/M</t>
  </si>
  <si>
    <t>ART.EBT140922
COMP:63%PL 33%VI 4%EA
WIDTH:58/60"
WEIGHT:210G/M2</t>
  </si>
  <si>
    <t>ART.EBT140963
COMP:90%PL 10%EA
WIDTH:56/57"
WEIGHT:245G/M2</t>
  </si>
  <si>
    <t>ART.EBT140964
COMP:95%PL 5%EA
WIDTH:57/58"
WEIGHT:320-330/M2</t>
  </si>
  <si>
    <t>ART.EBT141041
COMP:95%PL 5%EA
WIDTH:60/61"
WEIGHT:230G/M2</t>
  </si>
  <si>
    <t>ART.EBT141052
COMP:77%PL 18%VI 5%EA
WIDTH:152CM
WEIGHT:375G/M2</t>
  </si>
  <si>
    <t>ART.EBTBRT742
COMP:87.7%PL 12.3%EA
WIDTH:58"
WEIGHT:400G/M2</t>
  </si>
  <si>
    <t>ART.EBTBRT750
COMP:97%PL 3%EA
WIDTH:57/58"
WEIGHT:230G/M2</t>
  </si>
  <si>
    <t>ART.EBTBRT720
COMP:97%PL 3%EA
WIDTH:118CM
WEIGHT:240G/M2</t>
  </si>
  <si>
    <t>ART.EBTBRT721
COMP:97%PL 3%EA
WIDTH:118CM
WEIGHT:240G/M2</t>
  </si>
  <si>
    <t>ART.EBT150147
COMP:F:70%PA 20%CO 10%VI
G:95%PL 5%EA
WIDTH:144CM
WEIGHT:396G/M2</t>
  </si>
  <si>
    <t>ART.EBT150031
COMP:38%PL 58%CO 4%EA
WIDTH:54/55"
WEIGHT:216G/M2</t>
  </si>
  <si>
    <t>ART.EBT150032
COMP:44%PL 53%CO 3%EA
WIDTH:54"
WEIGHT:257G/M2</t>
  </si>
  <si>
    <t>ART.EBT150050
COMP:47%CO 50%PL 3%EA
WIDTH:145CM
WEIGHT:190G/M2</t>
  </si>
  <si>
    <t>ART.EBT150052
COMP:71%CO 27%N 2%EA
WIDTH:138CM
WEIGHT:163G/M2</t>
  </si>
  <si>
    <t>ART.EBT150053
COMP:97%CO 3%EA
WIDTH:56/57"
WEIGHT:190G/M2</t>
  </si>
  <si>
    <t>ART.EBT150054
COMP:97%CO 3%EA
WIDTH:138CM
WEIGHT:230G/M2</t>
  </si>
  <si>
    <t>ART.EBT150055
COMP:97%CO 3%EA
WIDTH:140CM
WEIGHT:205G/M2</t>
  </si>
  <si>
    <t>ART.EBT150056
COMP:97%CO 3%EA
WIDTH:138CM
WEIGHT:190G/M2</t>
  </si>
  <si>
    <t>ART.EBT150057
COMP:97%CO 3%EA
WIDTH:138CM
WEIGHT:210G/M2</t>
  </si>
  <si>
    <t>ART.EBT150058
COMP:97%CO 3%EA
WIDTH:138CM
WEIGHT:146G/M2</t>
  </si>
  <si>
    <t>ART.EBT150059
COMP:97%CO 3%EA
WIDTH:142-145CM
WEIGHT:224G/M2</t>
  </si>
  <si>
    <t>ART.EBT150082
COMP:67%PL 30%CO 3%EA
WIDTH:137CM
WEIGHT:190G/M2</t>
  </si>
  <si>
    <t>ART.EBT150083
COMP:67%PL 30%CO 3%EA
WIDTH:137CM
WEIGHT:190G/M2</t>
  </si>
  <si>
    <t>ART.EBT150084
COMP:67%PL 30%CO 3%EA
WIDTH:137CM
WEIGHT:190G/M2</t>
  </si>
  <si>
    <t>ART.EBT150085
COMP:67%PL 30%CO 3%EA
WIDTH:137CM
WEIGHT:190G/M2</t>
  </si>
  <si>
    <t>ART.EBT150086
COMP:69%PL 28%CO 3%EA
WIDTH:56/57"
WEIGHT:300G/M</t>
  </si>
  <si>
    <t>ART.EBT150087
COMP:69%PL 28%CO 3%EA
WIDTH:56/57"
WEIGHT:300G/M</t>
  </si>
  <si>
    <t>ART.EBT150088
COMP:69%PL 28%CO 3%EA
WIDTH:56/57"
WEIGHT:300G/M</t>
  </si>
  <si>
    <t>ART.EBT150089
COMP:69%PL 28%CO 3%EA
WIDTH:56/57"
WEIGHT:206G/M2</t>
  </si>
  <si>
    <t>ART.EBT150093
COMP:69%PL 28%CO 3%EA
WIDTH:140CM
WEIGHT:204G/M2</t>
  </si>
  <si>
    <t>ART.EBT150096
COMP:98%CO 2%EA
WIDTH:48/50"
WEIGHT:247G/M2</t>
  </si>
  <si>
    <t>ART.EBT150111
COMP:42%CO 46%PL 12%MET
WIDTH:141CM
WEIGHT:215G/M2</t>
  </si>
  <si>
    <t>ART.EBT150112
COMP:55%PL 40%CO 5%MET
WIDTH:145CM
WEIGHT:270G/M2</t>
  </si>
  <si>
    <t>ART.EBT150113
COMP:51%PL 46%CO 3%MET
WIDTH:144CM
WEIGHT:185G/M2</t>
  </si>
  <si>
    <t>ART.EBT150115
COMP:65%CO 35%N
WIDTH:57/58"
WEIGHT:200G/M</t>
  </si>
  <si>
    <t>ART.EBT150151
COMP:67%PL 30%CO 3%EA
WIDTH:114CM
WEIGHT:300G/M2</t>
  </si>
  <si>
    <t>ART.EBT150185
COMP:58%CO 30%PL 12%N
WIDTH:140CM
WEIGHT:190G/M2</t>
  </si>
  <si>
    <t>ART.EBT150191
COMP:97%CO 3%EA
WIDTH:57/58"
WEIGHT:300G/M2</t>
  </si>
  <si>
    <t>ART.EBT150233
COMP:98%CO 2%EA
WIDTH:55/56"
WEIGHT:260G/M2</t>
  </si>
  <si>
    <t>ART.EBT150234
COMP:97%CO 3%EA
WIDTH:56/57"
WEIGHT:170G/M2</t>
  </si>
  <si>
    <t>ART.EBT150235
COMP:97%CO 3%EA
WIDTH:56/57"
WEIGHT:190G/M2</t>
  </si>
  <si>
    <t>ART.EBT150333
COMP:26%CO 48%PL 26%R
WIDTH:58"
WEIGHT:325G/M2</t>
  </si>
  <si>
    <t>ART.EBT150352
COMP:59%PL 28%CO 13%N
WIDTH:59/60"
WEIGHT:187G/M2</t>
  </si>
  <si>
    <t>ART.EBT150353
COMP:51%PL 33%CO 16%N
WIDTH:61"
WEIGHT:148G/M2</t>
  </si>
  <si>
    <t>ART.EBT150354
COMP:50%PL 34%CO 16%N
WIDTH:60"
WEIGHT:238G/M2</t>
  </si>
  <si>
    <t>ART.EBT150355
COMP:36.2%PL 63.4%CO 0.4%M
WIDTH:55"
WEIGHT:278G/M</t>
  </si>
  <si>
    <t>ART.EBT150360
COMP:70%CO 30%N
WIDTH:130CM
WEIGHT:115G/M2</t>
  </si>
  <si>
    <t>ART.EBT150362
COMP:72%CO 28%N
WIDTH:54/56"
WEIGHT:305G/M</t>
  </si>
  <si>
    <t>ART.EBT150495
COMP:63%PL 14%CO 23%V
WIDTH:56"
WEIGHT:260G/M2</t>
  </si>
  <si>
    <t>ART.EBT150496
COMP:61%PL 36%CO 3%EA
WIDTH:54"
WEIGHT:190G/M2</t>
  </si>
  <si>
    <t>ART.EBT150558-ZA
COMP:F:30%CO 30%VI 40%N
G:100%PL
WIDTH:140CM
WEIGHT:260G/M2</t>
  </si>
  <si>
    <t>ART.EBT150646
COMP:78%PL 12%CO 10%R
WIDTH:62/63"
WEIGHT:240G/M2</t>
  </si>
  <si>
    <t>ART.EBT150668
COMP:16%PL 81%CO 3%EA
WIDTH:140CM
WEIGHT:275G/M2</t>
  </si>
  <si>
    <t>ART.EBT150673
COMP:81%CO 11%N 8%EA
WIDTH:155CM
WEIGHT:360-380G/M2</t>
  </si>
  <si>
    <t>ART.EBT150675
COMP:60%CO 35%PL 5%EA
WIDTH:155CM
WEIGHT:480G/M2</t>
  </si>
  <si>
    <t>ART.EBT150676
COMP:81%CO 11%N 8%EA
WIDTH:155CM
WEIGHT:360-380G/M2</t>
  </si>
  <si>
    <t>ART.EBT150678
COMP:70%CO 30%N
WIDTH:150CM
WEIGHT:148G/M2</t>
  </si>
  <si>
    <t>ART.EBT150723
COMP:72.2%CO 27.8%PA
WIDTH:145CM
WEIGHT:255G/M</t>
  </si>
  <si>
    <t>ART.EBT150784
COMP:G:100%CO EMB:100%VIS
WIDTH:120CM
WEIGHT:</t>
  </si>
  <si>
    <t>ART.EBT150830
COMP:73%CO 23%POLY 4%EA
WIDTH:58/60"
WEIGHT:200G/M2</t>
  </si>
  <si>
    <t>ART.EBT250380
COMP:20%CO 80%T
WIDTH:148CM
WEIGHT:260G/M2</t>
  </si>
  <si>
    <t>ART.EBT150857
COMP:30%CO 30%VI 40%PA
WIDTH:150CM
WEIGHT:</t>
  </si>
  <si>
    <t>ART.EBT140009
COMP:73%CO 27%PL
WIDTH:57/58"
WEIGHT:282G/M2</t>
  </si>
  <si>
    <t>ART.EBT140017
COMP:82%CO 18%PL
WIDTH:57/58"
WEIGHT:405G/M2</t>
  </si>
  <si>
    <t>ART.EBT140023
COMP:50.8%V 20.9%CO 19.9%EA
WIDTH:145CM
WEIGHT:157G/M2</t>
  </si>
  <si>
    <t>ART.EBT140024
COMP:50.8%V 20.9%CO 19.9%EA
WIDTH:145CM
WEIGHT:162G/M2</t>
  </si>
  <si>
    <t>ART.EBT140050
COMP:43%PL 54%CO 3%EA
WIDTH:143CM
WEIGHT:210G/M2</t>
  </si>
  <si>
    <t>ART.EBT140055
COMP:90%CO 10%L
WIDTH:57/58"
WEIGHT:217G/M2</t>
  </si>
  <si>
    <t>ART.EBT140086
COMP:65%CO 33%PL 2%EA
WIDTH:51/52"
WEIGHT:250-260G/M2</t>
  </si>
  <si>
    <t>ART.EBT140089
COMP:34%PL 63%CO 3%EA
WIDTH:57"
WEIGHT:150G/M2</t>
  </si>
  <si>
    <t>ART.EBT140108
COMP:65%CO 32%PL 3%EA
WIDTH:145CM
WEIGHT:295G/M2</t>
  </si>
  <si>
    <t>ART.EBT140109
COMP:65%CO 32%PL 3%EA
WIDTH:145CM
WEIGHT:290G/M2</t>
  </si>
  <si>
    <t>ART.EBT140112
COMP:50%PL 47%CO 3%EA
WIDTH:143CM
WEIGHT:180G/M2</t>
  </si>
  <si>
    <t>ART.EBT140113
COMP:50%PL 47%CO 3%EA
WIDTH:143CM
WEIGHT:185G/M2</t>
  </si>
  <si>
    <t>ART.EBT140114
COMP:50%PL 47%CO 3%EA
WIDTH:143CM
WEIGHT:185G/M2</t>
  </si>
  <si>
    <t>ART.EBT140115
COMP:50%PL 47%CO 3%EA
WIDTH:143CM
WEIGHT:185G/M2</t>
  </si>
  <si>
    <t>ART.EBT140116
COMP:50%PL 47%CO 3%EA
WIDTH:143CM
WEIGHT:190G/M2</t>
  </si>
  <si>
    <t>ART.EBT140117
COMP:50%PL 47%CO 3%EA
WIDTH:143CM
WEIGHT:185G/M2</t>
  </si>
  <si>
    <t>ART.EBT140118
COMP:50%PL 47%CO 3%EA
WIDTH:142CM
WEIGHT:195G/M2</t>
  </si>
  <si>
    <t>ART.EBT140119
COMP:50%PL 47%CO 3%EA
WIDTH:142CM
WEIGHT:190G/M2</t>
  </si>
  <si>
    <t>ART.EBT140145
COMP:70%N 27%CO 3%EA
WIDTH:57/58"
WEIGHT:200G/M</t>
  </si>
  <si>
    <t>ART.EBT140365
COMP:97%CO 3%EA
WIDTH:52/53"
WEIGHT:270G/M2</t>
  </si>
  <si>
    <t>ART.EBT140370
COMP:97%CO 3%EA
WIDTH:48"
WEIGHT:271G/M2</t>
  </si>
  <si>
    <t>ART.EBT140371
COMP:97%CO 3%EA
WIDTH:51"
WEIGHT:228G/M2</t>
  </si>
  <si>
    <t>ART.EBT140372
COMP:97%CO 3%EA 
WIDTH:57"
WEIGHT:298G/M2</t>
  </si>
  <si>
    <t>ART.EBT140404
COMP:97%CO 3%EA
WIDTH:57"
WEIGHT:227G/M2</t>
  </si>
  <si>
    <t>ART.EBT140458
COMP:60%CO 40%PC
WIDTH:57/58"
WEIGHT:224G/M2</t>
  </si>
  <si>
    <t>ART.EBT140458B
COMP:F:60%CO 40%PC/G:95%PL 5%EA
WIDTH:57/58
WEIGHT:479G/M2</t>
  </si>
  <si>
    <t>ART.EBT140459
COMP:25%CO 75%A
WIDTH:57/58"
WEIGHT:300G/M2</t>
  </si>
  <si>
    <t>ART.EBT140464
COMP:72%CO 28%N
WIDTH:57/58"
WEIGHT:138G/M2</t>
  </si>
  <si>
    <t>ART.EBT140471
COMP:64%CO 33%N3%EA
WIDTH:138CM
WEIGHT:215G/M2</t>
  </si>
  <si>
    <t>ART.EBT140472
COMP:50%CO 46%N4%EA
WIDTH:57/58"
WEIGHT:259G/M2</t>
  </si>
  <si>
    <t>ART.EBT140474
COMP:48%N 39%CO 13%EA
WIDTH:57/58"
WEIGHT:260G/M2</t>
  </si>
  <si>
    <t>ART.EBT140475
COMP:34%CO 62%N 4%EA
WIDTH:48/50"
WEIGHT:260G/M2</t>
  </si>
  <si>
    <t>ART.EBT140642
COMP:8%PL 48%CO 12%PA 32%L
WIDTH:163CM
WEIGHT:198G/M2</t>
  </si>
  <si>
    <t>ART.EBT140676
COMP:50%CO 45%PL 5%EA
WIDTH:57/58"
WEIGHT:200G/M2</t>
  </si>
  <si>
    <t>ART.EBT140744
COMP:75%PL 23%CO 2%EA
WIDTH:57/58"
WEIGHT:300G/M2</t>
  </si>
  <si>
    <t>ART.EBT140849
COMP:74%CO 15%PL 10%VI 1%EA
WIDTH:55/56"
WEIGHT:490G/M</t>
  </si>
  <si>
    <t>ART.EBT140935
COMP:35%CO 35%VI 30%N
WIDTH:57"/58"
WEIGHT:180G/M2</t>
  </si>
  <si>
    <t>ART.EBT140992
COMP:56%CO 22%VI 22%T
WIDTH:57/58"
WEIGHT:318G/M2</t>
  </si>
  <si>
    <t>ART.EBT141016
COMP:38%PL 55%CO 7%M
WIDTH:57/58"
WEIGHT:340G/M</t>
  </si>
  <si>
    <t>ART.EBT141035
COMP:62%PL 32%CO 3%EA
WIDTH:135CM
WEIGHT:235G/M2</t>
  </si>
  <si>
    <t>ART.EBT141037
COMP:43%PL 53%CO 4%EA
WIDTH:54"
WEIGHT:215G/M2</t>
  </si>
  <si>
    <t>ART.EBT141038
COMP:42%PL 55%CO 3%EA
WIDTH:57"
WEIGHT:232G/M2</t>
  </si>
  <si>
    <t>ART.EBT141045
COMP:43%PL 54%CO 3%EA
WIDTH:140CM
WEIGHT:210G/M2</t>
  </si>
  <si>
    <t>ART.EBT141046
COMP:65%PL 32%CO 3%EA
WIDTH:136CM
WEIGHT:240G/M2</t>
  </si>
  <si>
    <t>ART.EBT141047
COMP:65%PL 32%CO 3%EA
WIDTH:138CM
WEIGHT:215G/M2</t>
  </si>
  <si>
    <t>ART.EBT141048
COMP:62%PL 35%CO 3%EA
WIDTH:57/58"
WEIGHT:360G/M2</t>
  </si>
  <si>
    <t>ART.EBT141049
COMP:65%PL 32%CO 3%EA
WIDTH:136CM
WEIGHT:250G/M2</t>
  </si>
  <si>
    <t>ART.EBT141050
COMP:54%PL 43%CO 3%EA
WIDTH:140CM
WEIGHT:210G/M2</t>
  </si>
  <si>
    <t>ART.EBTBRT745
COMP:65%CO 33%PL 2%EA
WIDTH:51/52"
WEIGHT:250-260G/M2</t>
  </si>
  <si>
    <t>ART.EBTBRT747
COMP:34%PL 63%CO 3%EA
WIDTH:57"
WEIGHT:150G/M2</t>
  </si>
  <si>
    <t>ART.EBTBRT718
COMP:65%CO 32%PL 3%EA
WIDTH:145CM
WEIGHT:295G/M2</t>
  </si>
  <si>
    <t>ART.EBTBRT719
COMP:65%CO 32%PL 3%EA
WIDTH:145CM
WEIGHT:290G/M2</t>
  </si>
  <si>
    <t>ART.EBTBRT724
COMP:50%PL 47%CO 3%EA
WIDTH:143CM
WEIGHT:180G/M2</t>
  </si>
  <si>
    <t>ART.EBTBRT725
COMP:50%PL 47%CO 3%EA
WIDTH:143CM
WEIGHT:185G/M2</t>
  </si>
  <si>
    <t>ART.EBTBRT726
COMP:50%PL 47%CO 3%EA
WIDTH:143CM
WEIGHT:185G/M2</t>
  </si>
  <si>
    <t>ART.EBTBRT727
COMP:50%PL 47%CO 3%EA
WIDTH:143CM
WEIGHT:185G/M2</t>
  </si>
  <si>
    <t>ART.EBTBRT728
COMP:50%PL 47%CO 3%EA
WIDTH:143CM
WEIGHT:190G/M2</t>
  </si>
  <si>
    <t>ART.EBTBRT729
COMP:50%PL 47%CO 3%EA
WIDTH:143CM
WEIGHT:185G/M2</t>
  </si>
  <si>
    <t>ART.EBTBRT730
COMP:50%PL 47%CO 3%EA
WIDTH:142CM
WEIGHT:195G/M2</t>
  </si>
  <si>
    <t>ART.EBTBRT731
COMP:50%PL 47%CO 3%EA
WIDTH:142CM
WEIGHT:190G/M2</t>
  </si>
  <si>
    <t>ART.EBT150999
COMP:46%POLY 27%CO 27%MODAL
WIDTH:134CM
WEIGHT:190G/M2</t>
  </si>
  <si>
    <t>ART.EBT151044
COMP:66%CO 32%POLY 2%EA
WIDTH:146CM
WEIGHT:275G/M2</t>
  </si>
  <si>
    <t>ART.EBT151081
COMP:45%W 36%CO 19%POLY
WIDTH:121CM
WEIGHT:450G/M2</t>
  </si>
  <si>
    <t>ART.EBT151082
COMP:80%CO 17%POLY 3%EA
WIDTH:145CM
WEIGHT:290G/M2</t>
  </si>
  <si>
    <t>ART.EBT151083
COMP:83%CO 9%POLY 8%W
WIDTH:144CM
WEIGHT:435G/M2</t>
  </si>
  <si>
    <t>ART.EBT151272
COMP:69%CO 31%PL
WIDTH:132CM
WEIGHT:185G/M2</t>
  </si>
  <si>
    <t>ART.EBT150750
COMP:100% PL
WIDTH:140CM
WEIGHT:110G/M2</t>
  </si>
  <si>
    <t>ART.EBT150751
COMP:100% PL
WIDTH:137CM
WEIGHT:210G/M2</t>
  </si>
  <si>
    <t>ART.EBT150756
COMP:100% PL
WIDTH:
WEIGHT:</t>
  </si>
  <si>
    <t>ART.EBT150757
COMP:100% PL
WIDTH:
WEIGHT:</t>
  </si>
  <si>
    <t>ART.EBT150758
COMP:100% PL
WIDTH:
WEIGHT:</t>
  </si>
  <si>
    <t>ART.EBT150444
COMP:100% CO
WIDTH:56"/57"
WEIGHT:240G/M2</t>
  </si>
  <si>
    <t>ART.EBT150444WR
COMP:100% CO
WIDTH:56"/57"
WEIGHT:240G/M2</t>
  </si>
  <si>
    <t>ART.EBT150714
COMP:100%CO
WIDTH:125CM
WEIGHT:</t>
  </si>
  <si>
    <t>ART.EBT150776
COMP:97%CO 3%EA
WIDTH:139CM
WEIGHT:218G/M2</t>
  </si>
  <si>
    <t>ART.EBT250370
COMP:97%CO 3%LYCRA
WIDTH:57/58“
WEIGHT:100G/M2,</t>
  </si>
  <si>
    <t>ART.EBT140169
COMP:G:100%POLY
EMB:100%CO
WIDTH:110CM
WEIGHT:172G/M2</t>
  </si>
  <si>
    <t>ART.EBT140200
COMP:100%CO
WIDTH:120CM
WEIGHT:267G/M2</t>
  </si>
  <si>
    <t>ART.EBT140281
COMP:60%CUPRO 40%CO
WIDTH:53/54"
WEIGHT:180G/M2</t>
  </si>
  <si>
    <t>ART.EBT140406
COMP:100%CO
WIDTH:140/142CM
WEIGHT:285G/M2</t>
  </si>
  <si>
    <t>ART.EBT140561
COMP:NYLON/CO
WIDTH:145CM
WEIGHT:1.6M/KG</t>
  </si>
  <si>
    <t>ART.EBT140565
COMP:100%CO
WIDTH:57/58"
WEIGHT:G:103G/M2</t>
  </si>
  <si>
    <t>ART.EBT140605
COMP:100%CO
WIDTH:57/58"
WEIGHT:235G/M2</t>
  </si>
  <si>
    <t>ART.EBT140885
COMP:NYLON/CO/SP
WIDTH:56"
WEIGHT:180G/M2</t>
  </si>
  <si>
    <t>ART.EBT151091
COMP:53%POLY 47%CO
WIDTH:132CM
WEIGHT:355G/M2</t>
  </si>
  <si>
    <t>ART.EBT151122
COMP:100%CO
WIDTH:131-133CM
WEIGHT:</t>
  </si>
  <si>
    <t>ART.EBT140104
COMP:71%VI 15%CO 14% PL
WIDTH:143CM
WEIGHT:700G/M</t>
  </si>
  <si>
    <t>ART.EBT140396
COMP:100%VI
WIDTH:53/54
WEIGHT:200G/M2</t>
  </si>
  <si>
    <t>ART.EBT140685
COMP:100%VI
WIDTH:53/54"
WEIGHT:110G/M2</t>
  </si>
  <si>
    <t>ART.EBT140692
COMP:100%VI
WIDTH:53/54"
WEIGHT:200G/M2</t>
  </si>
  <si>
    <t>ART.EBT140694
COMP:100%VI
WIDTH:53/54"
WEIGHT:219G/M2</t>
  </si>
  <si>
    <t>ART.EBT140695
COMP:100%VI
WIDTH:53/54"
WEIGHT:170G/M2</t>
  </si>
  <si>
    <t>ART.EBT140708
COMP:100%VI+PU
WIDTH:137CM
WEIGHT:</t>
  </si>
  <si>
    <t>ART.EBT140709
COMP:100%VI
WIDTH:126CM
WEIGHT:90G/M2</t>
  </si>
  <si>
    <t>ART.EBT140710
COMP:58%VI40%POLY2%EA
WIDTH:53"
WEIGHT:350G/M2</t>
  </si>
  <si>
    <t>ART.EBT140715
COMP:100%VI GGT
WIDTH:135CM
WEIGHT:65G/M2</t>
  </si>
  <si>
    <t>ART.EBT140716
COMP:100%VI GGT
WIDTH:135CM
WEIGHT:85G/M2</t>
  </si>
  <si>
    <t>ART.EBTBRT712
COMP:71%VI 15%CO 14% POLYSETER
WIDTH:143CM
WEIGHT:700G/M</t>
  </si>
  <si>
    <t>ART.EBT150979
COMP:60%CUPRO40%VI
WIDTH:137CM
WEIGHT:118G/M2</t>
  </si>
  <si>
    <t>ART.EBT151134
COMP:100%VI
WIDTH:132CM
WEIGHT:90G/M2</t>
  </si>
  <si>
    <t>ART.EBT150174 
COMP:100%SE GGT
WIDTH:140CM
WEIGHT:8MM</t>
  </si>
  <si>
    <t>ART.EBT150175
COMP:100%SE SATIN
WIDTH:114CM
WEIGHT:19MM</t>
  </si>
  <si>
    <t>ART.EBT150176
COMP:100%SE GGT
WIDTH:140CM
WEIGHT:10MM</t>
  </si>
  <si>
    <t>ART.EBT150177
COMP:100%SE CDC
WIDTH:114CM
WEIGHT:18MM/73G/M2</t>
  </si>
  <si>
    <t>ART.EBT150178
COMP:100%SE CDC
WIDTH:135CM
WEIGHT:14MM</t>
  </si>
  <si>
    <t>ART.EBT150178-Print
COMP:100%SE CDC
WIDTH:135CM
WEIGHT:14MM</t>
  </si>
  <si>
    <t>ART.EBT150179
COMP:100%SE SATIN
WIDTH:140CM
WEIGHT:14MM/59G/M2</t>
  </si>
  <si>
    <t>ART.EBT150180
COMP:100%SE GGT
WIDTH:114CM
WEIGHT:12MM/52G/M2</t>
  </si>
  <si>
    <t>ART.EBT150180-Print
COMP:100%SE GGT
WIDTH:114CM
WEIGHT:12MM/52G/M2</t>
  </si>
  <si>
    <t>ART.EBT150181
COMP:100%SE SATIN
WIDTH:135CM
WEIGHT:14MM</t>
  </si>
  <si>
    <t>ART.EBT150182
COMP:100%SE SATIN
WIDTH:114CM
WEIGHT:16MM</t>
  </si>
  <si>
    <t>ART.EBT150182-Print
COMP:100%SE SATIN
WIDTH:114CM
WEIGHT:16MM</t>
  </si>
  <si>
    <t>ART.EBT150231
COMP:100%SE
WIDTH:133-135CM
WEIGHT:30MM</t>
  </si>
  <si>
    <t>ART.EBT150368
COMP:50%L 34%CO 16%SE
WIDTH:52"
WEIGHT:16.5M/M</t>
  </si>
  <si>
    <t>ART.EBT250432
COMP:85%vi 15%SE
WIDTH:114CM
WEIGHT:95G/M2</t>
  </si>
  <si>
    <t>ART.EBT140167
COMP:40%SE 60%VISASE CPC
WIDTH:130CM
WEIGHT:71G/M2</t>
  </si>
  <si>
    <t>ART.EBT140199
COMP:30%SE 70%VI
WIDTH:132CM
WEIGHT:71G/M</t>
  </si>
  <si>
    <t>ART.EBT140129
COMP:30%SE 70%VI
WIDTH:132CM
WEIGHT:71G/M</t>
  </si>
  <si>
    <t>ART.EBT140228
COMP:30%SE 70%CO
WIDTH:115CM
WEIGHT:150G/M2</t>
  </si>
  <si>
    <t>ART.EBT140312
COMP:100%SE
WIDTH:140CM
WEIGHT:10MM</t>
  </si>
  <si>
    <t>ART.EBT140450
COMP:50%SE50%VI
WIDTH:132CM
WEIGHT:16M/M</t>
  </si>
  <si>
    <t>ART.EBT140453
COMP:50%SE50%VI
WIDTH:54"
WEIGHT:18MM</t>
  </si>
  <si>
    <t>ART.EBT140779
COMP:94%SE/6%EA
WIDTH:130CM
WEIGHT:19MM</t>
  </si>
  <si>
    <t>ART.EBT140779-HEAVY WASH
COMP:94%SE/6%EA
WIDTH:130CM
WEIGHT:19MM</t>
  </si>
  <si>
    <t>ART.EBT140780
COMP:100%SE CDC
WIDTH:130CM
WEIGHT:14MM(60G/M2)</t>
  </si>
  <si>
    <t>ART.EBT140781
COMP:100%SE CDC
WIDTH:130CM
WEIGHT:16MM(68G/M2)</t>
  </si>
  <si>
    <t>ART.EBT140786
COMP:100%SE
WIDTH:133CM
WEIGHT:129G/M2</t>
  </si>
  <si>
    <t>ART.EBT140787
COMP:94%SE/6%EA
WIDTH:133CM
WEIGHT:68G/M2</t>
  </si>
  <si>
    <t>ART.EBT141003
COMP:93%SE 7%EA SATEEN 
WIDTH:136CM
WEIGHT:16MM(68G/M2)</t>
  </si>
  <si>
    <t>ART.EBT250631
COMP:35%SE 65%VI BURN OUT
WIDTH:137CM
WEIGHT:</t>
  </si>
  <si>
    <t>ART.EBT250658
COMP:35%SE  65%VI 
WIDTH:137CM
WEIGHT:</t>
  </si>
  <si>
    <t>ART.EBT151241
COMP:20% SE  80% VI 
WIDTH:120CM
WEIGHT:175G/M2</t>
  </si>
  <si>
    <t>ART.EBT150036
COMP:100%PL
WIDTH:57/58"
WEIGHT:270G/M2</t>
  </si>
  <si>
    <t>ART.EBT150095
COMP:52%CO 48%PL
WIDTH:143CM
WEIGHT:175G/M2</t>
  </si>
  <si>
    <t>ART.EBT150117
COMP:100%PL
WIDTH:50/51"
WEIGHT:</t>
  </si>
  <si>
    <t>ART.EBT150117-PS
COMP:100%PL
WIDTH:50/51"
WEIGHT:</t>
  </si>
  <si>
    <t>ART.EBT150127
COMP:100%PL
WIDTH:57/58"
WEIGHT:127G/M2</t>
  </si>
  <si>
    <t>ART.EBT150128
COMP:100%PL
WIDTH:57/58"
WEIGHT:142G/M2</t>
  </si>
  <si>
    <t>ART.EBT150129
COMP:100%PL
WIDTH:56/57"
WEIGHT:70G/M2</t>
  </si>
  <si>
    <t>ART.EBT150162
COMP:90%PC 10%PL
WIDTH:160CM
WEIGHT:1000G/M</t>
  </si>
  <si>
    <t>ART.EBT150164
COMP:100%PL
WIDTH:62/63"
WEIGHT:330G/M2</t>
  </si>
  <si>
    <t>ART.EBT150165
COMP:100%PL
WIDTH:57/58"
WEIGHT:490G/M2</t>
  </si>
  <si>
    <t>ART.EBT150167
COMP:100%PL
WIDTH:57/58"
WEIGHT:374G/M2</t>
  </si>
  <si>
    <t>ART.EBT150183
COMP:100%PL
WIDTH:57/58"
WEIGHT:400G/M2</t>
  </si>
  <si>
    <t>ART.EBT150186
COMP:100%PL
WIDTH:57/58"
WEIGHT:348G/M2</t>
  </si>
  <si>
    <t>ART.EBT150187
COMP:100%PL
WIDTH:130CM
WEIGHT:275G/M2</t>
  </si>
  <si>
    <t>ART.EBT150212
COMP:68.4%MODACRYLIC 31.6%PC PILE G:100%PL
WIDTH:150CM
WEIGHT:1000G/M</t>
  </si>
  <si>
    <t>ART.EBT150213
COMP:50%PL 40%PC 10%MODACRYLIC PILE
G:100%PL
WIDTH:150CM
WEIGHT:1200G/M</t>
  </si>
  <si>
    <t>ART.EBT150223
COMP:100%PL
WIDTH:150CM
WEIGHT:300G/M2</t>
  </si>
  <si>
    <t>ART.EBT150225
COMP:100%PL
WIDTH:150CM
WEIGHT:230G/M2</t>
  </si>
  <si>
    <t>ART.EBT150248
COMP:70%CO 10%N 5%VI 15%PL
WIDTH:55/56"
WEIGHT:320G/M</t>
  </si>
  <si>
    <t>ART.EBT150249
COMP:F:100%CO G:100%PL
WIDTH:130CM
WEIGHT:228G/M2</t>
  </si>
  <si>
    <t>ART.EBT150250
COMP:F:35%PA 65%CO G:100%PL
WIDTH:139CM
WEIGHT:177G/M2</t>
  </si>
  <si>
    <t>ART.EBT150251
COMP:F:17.4%N 66.1%CO 16.5%V G:100%PL
WIDTH:144CM
WEIGHT:293G/M2</t>
  </si>
  <si>
    <t>ART.EBT150252
COMP:F:100%PL G:100%PL
WIDTH:142CM
WEIGHT:518G/M2</t>
  </si>
  <si>
    <t>ART.EBT150275
COMP:100%PL
WIDTH:57/58"
WEIGHT:630G/M</t>
  </si>
  <si>
    <t>ART.EBT150315
COMP:100%PL
WIDTH:57/58"
WEIGHT:135G/M2</t>
  </si>
  <si>
    <t>ART.EBT150316
COMP:100%PL
WIDTH:57/58"
WEIGHT:73G/M2</t>
  </si>
  <si>
    <t>ART.EBT150317
COMP:100%PL
WIDTH:57/58"
WEIGHT:58G/M2</t>
  </si>
  <si>
    <t>ART.EBT150318
COMP:100%PL
WIDTH:57/58"
WEIGHT:72G/M2</t>
  </si>
  <si>
    <t>ART.EBT150324
COMP:100%PL
WIDTH:57/58"
WEIGHT:136G/M2</t>
  </si>
  <si>
    <t>ART.EBT150325
COMP:100%PL
WIDTH:57/58"
WEIGHT:</t>
  </si>
  <si>
    <t>ART.EBT150334
COMP:100%PL
WIDTH:57/58"
WEIGHT:150G/M</t>
  </si>
  <si>
    <t>ART.EBT150335
COMP:100%PL
WIDTH:50"
WEIGHT:150G/M2</t>
  </si>
  <si>
    <t>ART.EBT150336
COMP:100%PL
WIDTH:51"
WEIGHT:124G/M2</t>
  </si>
  <si>
    <t>ART.EBT150339
COMP:90%PU 10%PL
WIDTH:130CM
WEIGHT:160G/M2</t>
  </si>
  <si>
    <t>ART.EBT150342
COMP:100%PL
WIDTH:125CM
WEIGHT:</t>
  </si>
  <si>
    <t>ART.EBT150344
COMP:100%PL
WIDTH:130CM(+-3CM)
WEIGHT:</t>
  </si>
  <si>
    <t>ART.EBT150345
COMP:100%PL
WIDTH:125CM(+-3CM)
WEIGHT:</t>
  </si>
  <si>
    <t>ART.EBT150346
COMP:100%PL
WIDTH:130CM(+-3CM)
WEIGHT:</t>
  </si>
  <si>
    <t>ART.EBT150347
COMP:100%PL
WIDTH:50/51"
WEIGHT:465G/M</t>
  </si>
  <si>
    <t>ART.EBT150348
COMP:100%PL
WIDTH:130CM
WEIGHT:</t>
  </si>
  <si>
    <t>ART.EBT150356
COMP:40%N 60%PL
WIDTH:125CM
WEIGHT:175G/M2</t>
  </si>
  <si>
    <t>ART.EBT150357
COMP:70%CO 30%PL
WIDTH:130CM
WEIGHT:120G/M2</t>
  </si>
  <si>
    <t>ART.EBT150359
COMP:10%N 90%PL
WIDTH:130CM
WEIGHT:160G/M2</t>
  </si>
  <si>
    <t>ART.EBT150363
COMP:50%VI 50%PL
WIDTH:46/47"
WEIGHT:</t>
  </si>
  <si>
    <t>ART.EBT150364
COMP:G:100%PA EMB:100%PL
WIDTH:130-135CM
WEIGHT:</t>
  </si>
  <si>
    <t>ART.EBT150366
COMP:80%PU 20%PL
WIDTH:130CM
WEIGHT:</t>
  </si>
  <si>
    <t>ART.EBT150370
COMP:100%PL
WIDTH:50/51"
WEIGHT:165G/M</t>
  </si>
  <si>
    <t>ART.EBT150371
COMP:100%PL
WIDTH:125CM
WEIGHT:</t>
  </si>
  <si>
    <t>ART.EBT150372
COMP:100%PL
WIDTH:125CM
WEIGHT:</t>
  </si>
  <si>
    <t>ART.EBT150373
COMP:100%PL
WIDTH:125CM
WEIGHT:</t>
  </si>
  <si>
    <t>ART.EBT150375
COMP:100%PL
WIDTH:132CM
WEIGHT:185G/M2</t>
  </si>
  <si>
    <t>ART.EBT150381
COMP:100%PL
WIDTH:57/58"
WEIGHT:211G/M2</t>
  </si>
  <si>
    <t>ART.EBT150386
COMP:100%PL
WIDTH:52/56"
WEIGHT:165G/M2</t>
  </si>
  <si>
    <t>ART.EBT150387
COMP:100%PL
WIDTH:130CM
WEIGHT:</t>
  </si>
  <si>
    <t>ART.EBT150388
COMP:100%PL
WIDTH:130CM
WEIGHT:</t>
  </si>
  <si>
    <t>ART.EBT150398
COMP:100%PL
WIDTH:50/51"
WEIGHT:</t>
  </si>
  <si>
    <t>ART.EBT150411
COMP:100%PL
WIDTH:120CM
WEIGHT:</t>
  </si>
  <si>
    <t>ART.EBT150413
COMP:100%PL
WIDTH:130CM
WEIGHT:</t>
  </si>
  <si>
    <t>ART.EBT150415
COMP:100%PL
WIDTH:125CM
WEIGHT:</t>
  </si>
  <si>
    <t>ART.EBT150418
COMP:100%PL
WIDTH:56/57"
WEIGHT:129G/M2</t>
  </si>
  <si>
    <t>ART.EBT150419
COMP:100%PL
WIDTH:56/57"
WEIGHT:140G/M2</t>
  </si>
  <si>
    <t>ART.EBT150420
COMP:100%PL
WIDTH:57/58"
WEIGHT:230G/M2</t>
  </si>
  <si>
    <t>ART.EBT150421
COMP:100%PL
WIDTH:56/57"
WEIGHT:60G/M2</t>
  </si>
  <si>
    <t>ART.EBT150422
COMP:100%PL
WIDTH:130CM
WEIGHT:233G/M2</t>
  </si>
  <si>
    <t>ART.EBT150423
COMP:100%PL
WIDTH:57/58"
WEIGHT:150G/M2</t>
  </si>
  <si>
    <t>ART.EBT150437
COMP:100%PL
WIDTH:52/56"
WEIGHT:96G/M2</t>
  </si>
  <si>
    <t>ART.EBT150440
COMP:100%PL
WIDTH:52/56"
WEIGHT:145G/M2</t>
  </si>
  <si>
    <t>ART.EBT150441
COMP:100%PL
WIDTH:54/56"
WEIGHT:170G/M2</t>
  </si>
  <si>
    <t>ART.EBT150442
COMP:100%PL
WIDTH:46/55"
WEIGHT:88G/M2</t>
  </si>
  <si>
    <t>ART.EBT150450
COMP:F:100%PL
G:92%PL 8%EA
WIDTH:56/57"
WEIGHT:450G/M2</t>
  </si>
  <si>
    <t>ART.EBT150456
COMP:100%PL
WIDTH:150CM
WEIGHT:102G/M2</t>
  </si>
  <si>
    <t>ART.EBT150457
COMP:100%PL
WIDTH:57/58"
WEIGHT:90G/M2</t>
  </si>
  <si>
    <t>ART.EBT150458
COMP:100%PL
WIDTH:57/58"
WEIGHT:92G/M2</t>
  </si>
  <si>
    <t>ART.EBT150459
COMP:100%PL
WIDTH:57/58"
WEIGHT:135G/M2</t>
  </si>
  <si>
    <t>ART.EBT150462
COMP:100%PL
WIDTH:130CM
WEIGHT:</t>
  </si>
  <si>
    <t>ART.EBT150471
COMP:90%N 10%PL
WIDTH:125CM
WEIGHT:162G/M2</t>
  </si>
  <si>
    <t>ART.EBT150489
COMP:90%N 10%PL
WIDTH:125CM
WEIGHT:142G/M2</t>
  </si>
  <si>
    <t>ART.EBT150491
COMP:90%PU 10%PL
WIDTH:130CM
WEIGHT:220G/M2</t>
  </si>
  <si>
    <t>ART.EBT150492
COMP:100%PL
WIDTH:130CM
WEIGHT:285G/M2</t>
  </si>
  <si>
    <t>ART.EBT150493
COMP:100%PL
WIDTH:130CM
WEIGHT:280G/M2</t>
  </si>
  <si>
    <t>ART.EBT150494
COMP:100%PL
WIDTH:130CM
WEIGHT:160G/M2</t>
  </si>
  <si>
    <t>ART.EBT150498
COMP:100%PU G:100%PL
WIDTH:135+/-2CM
WEIGHT:</t>
  </si>
  <si>
    <t>ART.EBT150499
COMP:100%PU G:100%PL
WIDTH:135+/-2CM
WEIGHT:</t>
  </si>
  <si>
    <t>ART.EBT150500
COMP:100%PU G:100%PL
WIDTH:137+/-2CM
WEIGHT:</t>
  </si>
  <si>
    <t>ART.EBT150501
COMP:100%PU G:100%PL
WIDTH:135+/-2CM
WEIGHT:</t>
  </si>
  <si>
    <t>ART.EBT150510
COMP:100%PL
WIDTH:150CM
WEIGHT:160G/M2</t>
  </si>
  <si>
    <t>ART.EBT150512
COMP:100%PL
WIDTH:150CM
WEIGHT:280G/M2</t>
  </si>
  <si>
    <t>ART.EBT150515
COMP:100%PL
WIDTH:125CM
WEIGHT:</t>
  </si>
  <si>
    <t>ART.EBT150516
COMP:100%PL
WIDTH:125CM
WEIGHT:</t>
  </si>
  <si>
    <t>ART.EBT150524
COMP:100%PL
WIDTH:135CM
WEIGHT:250G/M2</t>
  </si>
  <si>
    <t>ART.EBT150525
COMP:100%PL
WIDTH:135CM
WEIGHT:150G/M2</t>
  </si>
  <si>
    <t>ART.EBT150575
COMP:73%AC 27%PL
WIDTH:150CM
WEIGHT:700G/M2</t>
  </si>
  <si>
    <t>ART.EBT150576
COMP:10%MODAC 50%AC 40%PL
WIDTH:150CM
WEIGHT:730G/M2</t>
  </si>
  <si>
    <t>ART.EBT150591
COMP:70%AC 30%PL
WIDTH:150CM
WEIGHT:800G/M2</t>
  </si>
  <si>
    <t>ART.EBT150606
COMP:100%PL
WIDTH:125CM
WEIGHT:310G/M2</t>
  </si>
  <si>
    <t>ART.EBT150607
COMP:100%PL
WIDTH:150CM
WEIGHT:225G/M2</t>
  </si>
  <si>
    <t>ART.EBT150608
COMP:100%PL
WIDTH:150CM
WEIGHT:210G/M2</t>
  </si>
  <si>
    <t>ART.EBT150614
COMP:100%PL
WIDTH:142CM
WEIGHT:</t>
  </si>
  <si>
    <t>ART.EBT150629
COMP:100%PL
WIDTH:130CM
WEIGHT:</t>
  </si>
  <si>
    <t>ART.EBT150630
COMP:100%PL
WIDTH:127CM
WEIGHT:350G/M</t>
  </si>
  <si>
    <t>ART.EBT150632
COMP:F:100%PL
G:95%PL 5%EA
WIDTH:57/58"
WEIGHT:720G/M2</t>
  </si>
  <si>
    <t>ART.EBT150633
COMP:F:100%PL
G:95%PL 5%EA
WIDTH:57/58"
WEIGHT:650G/M2</t>
  </si>
  <si>
    <t>ART.EBT150654
COMP:100%PL
WIDTH:150CM
WEIGHT:400G/M2</t>
  </si>
  <si>
    <t>ART.EBT150669
COMP:20%W 80%PL
WIDTH:57/58"
WEIGHT:580G/M</t>
  </si>
  <si>
    <t>ART.EBT150671
COMP:40%W 60%PL
WIDTH:57/58"
WEIGHT:590G/M</t>
  </si>
  <si>
    <t>ART.EBT150672
COMP:40%W 20%A 40%PL
WIDTH:57/58"
WEIGHT:610-620G/M</t>
  </si>
  <si>
    <t>ART.EBT150679
COMP:70%N 30%PL
WIDTH:150CM
WEIGHT:</t>
  </si>
  <si>
    <t>ART.EBT150683
COMP:100%PL
WIDTH:130CM
WEIGHT:240G/M2</t>
  </si>
  <si>
    <t>ART.EBT150684
COMP:G:100%N EMB:100%PL
WIDTH:127CM
WEIGHT:</t>
  </si>
  <si>
    <t>ART.EBT150687
COMP:100%PL
WIDTH:150CM
WEIGHT:260G/M2</t>
  </si>
  <si>
    <t>ART.EBT150688
COMP:100%PL
WIDTH:150CM
WEIGHT:160G/M2</t>
  </si>
  <si>
    <t>ART.EBT150689
COMP:100%PL
WIDTH:125-130CM
WEIGHT:200G/M2</t>
  </si>
  <si>
    <t>ART.EBT150690
COMP:100%PL
WIDTH:130CM
WEIGHT:185G/M2</t>
  </si>
  <si>
    <t>ART.EBT150691
COMP:100%PL
WIDTH:150CM
WEIGHT:175G/M2</t>
  </si>
  <si>
    <t>ART.EBT150692
COMP:100%PL
WIDTH:130CM
WEIGHT:160G/M2</t>
  </si>
  <si>
    <t>ART.EBT150693
COMP:100%PL
WIDTH:150CM
WEIGHT:280G/M2</t>
  </si>
  <si>
    <t>ART.EBT150695
COMP:100%PL
WIDTH:125-128CM
WEIGHT:215G/M2</t>
  </si>
  <si>
    <t>ART.EBT150696
COMP:100%PL
WIDTH:130CM
WEIGHT:200G/M2</t>
  </si>
  <si>
    <t>ART.EBT150697
COMP:100%PL
WIDTH:150CM
WEIGHT:180G/M2</t>
  </si>
  <si>
    <t>ART.EBT150698
COMP:100%PL
WIDTH:150CM
WEIGHT:200G/M2</t>
  </si>
  <si>
    <t>ART.EBT150699
COMP:100%PL
WIDTH:150CM
WEIGHT:220G/M2</t>
  </si>
  <si>
    <t>ART.EBT150716
COMP:100%PL
WIDTH:140CM
WEIGHT:430G/M2</t>
  </si>
  <si>
    <t>ART.EBT150780
COMP:G:100%POLY EMB:100%PL
WIDTH:127CM
WEIGHT:</t>
  </si>
  <si>
    <t>ART.EBT150781
COMP:G:100%POLY EMB:100%PL
WIDTH:127CM
WEIGHT:</t>
  </si>
  <si>
    <t>ART.EBT150880
COMP:G:100%N, EMB:100%PL
WIDTH:115CM
WEIGHT:</t>
  </si>
  <si>
    <t>ART.EBT150909
COMP:100%PL
WIDTH:57/58"
WEIGHT:240G/M2</t>
  </si>
  <si>
    <t>ART.EBT150910
COMP:100%PL
WIDTH:57/58"
WEIGHT:135G/M2</t>
  </si>
  <si>
    <t>ART.EBT140005
COMP:37%CO 1%EA 17%VI 45%PL
WIDTH:145CM
WEIGHT:220G/M2</t>
  </si>
  <si>
    <t>ART.EBTBRT722
COMP:37%CO 1%EA 17%VI 45%PL
WIDTH:145CM
WEIGHT:220G/M2</t>
  </si>
  <si>
    <t>ART.EBT140056
COMP:60%CO 40%PL
WIDTH:57/58"
WEIGHT:420G/M</t>
  </si>
  <si>
    <t>ART.EBT140143
COMP:52%VI 48%PL
WIDTH:57/58"
WEIGHT:340G/M</t>
  </si>
  <si>
    <t>ART.EBT140148
COMP:68%PL 32%PL
WIDTH:57/58"
WEIGHT:370G/M</t>
  </si>
  <si>
    <t>ART.EBT140152
COMP:28%W 28%AC 44%PL
WIDTH:150CM
WEIGHT:500G/M2</t>
  </si>
  <si>
    <t>ART.EBT140153
COMP:60%W 40%PL
WIDTH:150CM
WEIGHT:400G/M2</t>
  </si>
  <si>
    <t>ART.EBT140155
COMP:50%W 50%PL
WIDTH:150CM
WEIGHT:500G/M2</t>
  </si>
  <si>
    <t>ART.EBT140156
COMP:50%W 50%PL
WIDTH:150CM
WEIGHT:500G/M2</t>
  </si>
  <si>
    <t>ART.EBT140158
COMP:40%W 15%A 45%PL
WIDTH:57/58"
WEIGHT:610-620G/M</t>
  </si>
  <si>
    <t>ART.EBT140161
COMP:50%W 50%PL
WIDTH:57/58"
WEIGHT:550G/M</t>
  </si>
  <si>
    <t>ART.EBT140168
COMP:100%PL
WIDTH:57/58"
WEIGHT:350G/M</t>
  </si>
  <si>
    <t>ART.EBT140203
COMP:100%PL
WIDTH:58/59"
WEIGHT:216G/M2</t>
  </si>
  <si>
    <t>ART.EBT140301
COMP:100%PL
WIDTH:57/58"
WEIGHT:50G/M2</t>
  </si>
  <si>
    <t>ART.EBT140302
COMP:100%PL
WIDTH:57/58"
WEIGHT:75G/M2</t>
  </si>
  <si>
    <t>ART.EBT140303
COMP:100%PL
WIDTH:57/58"
WEIGHT:65G/M2</t>
  </si>
  <si>
    <t>ART.EBT140392
COMP:100%PL
WIDTH:138CM
WEIGHT:180G/M2</t>
  </si>
  <si>
    <t>ART.EBT140393
COMP:100%PL
WIDTH:150CM
WEIGHT:180G/M2</t>
  </si>
  <si>
    <t>ART.EBT140410
COMP:100%PL
WIDTH:150CM
WEIGHT:94G/M2</t>
  </si>
  <si>
    <t>ART.EBT140413
COMP:F:100%PL +PU
G:100%PL
WIDTH:125CM
WEIGHT:216G/M2</t>
  </si>
  <si>
    <t>ART.EBT140415
COMP:G:100%R+PEC SEQUINS
F:100%PL
WIDTH:140CM
WEIGHT:411G/M2</t>
  </si>
  <si>
    <t>ART.EBT140416
COMP:100%PL
WIDTH:57/58"
WEIGHT:227G/M2</t>
  </si>
  <si>
    <t>ART.EBT140417
COMP:100%PL
WIDTH:57/58"
WEIGHT:198G/M2</t>
  </si>
  <si>
    <t>ART.EBT140430
COMP:100%PL
WIDTH:140CM
WEIGHT:290G/M2</t>
  </si>
  <si>
    <t>ART.EBT140437
COMP:43%N 57%PL
WIDTH:150CM
WEIGHT:37G/M2</t>
  </si>
  <si>
    <t>ART.EBT140513
COMP:30%W 25%CO 45%PL
WIDTH:57/58"
WEIGHT:510-520G/M</t>
  </si>
  <si>
    <t>ART.EBT140522
COMP:100%PL
WIDTH:48/49"
WEIGHT:</t>
  </si>
  <si>
    <t>ART.EBT140568
COMP:50%W50%PL
WIDTH:150CM
WEIGHT:650G/M</t>
  </si>
  <si>
    <t>ART.EBT140615
COMP:100%PL
WIDTH:142CM
WEIGHT:223G/M2</t>
  </si>
  <si>
    <t>ART.EBT140619
COMP:80%MODAL 20%PL
WIDTH:140CM
WEIGHT:115G/M2</t>
  </si>
  <si>
    <t>ART.EBT140620
COMP:75%VI 25%PL
WIDTH:57/58"
WEIGHT:152G/M2</t>
  </si>
  <si>
    <t>ART.EBT140621
COMP:75%M 25%PL
WIDTH:57/58"
WEIGHT:123G/M2</t>
  </si>
  <si>
    <t>ART.EBT140640
COMP:55%CO 45%PL
WIDTH:57"
WEIGHT:270G/M2</t>
  </si>
  <si>
    <t>ART.EBT140641
COMP:55%CO 45%PL
WIDTH:57"
WEIGHT:265G/M2</t>
  </si>
  <si>
    <t>ART.EBT140644
COMP:28%CO 72%PL
WIDTH:57"
WEIGHT:255G/M2</t>
  </si>
  <si>
    <t>ART.EBT140645
COMP:100%PL
WIDTH:57/58"
WEIGHT:85G/M2</t>
  </si>
  <si>
    <t>ART.EBT140646
COMP:100%PL
WIDTH:57/58"
WEIGHT:83G/M2</t>
  </si>
  <si>
    <t>ART.EBT140678-GOUND
COMP:20%PU 80%PL
WIDTH:130CM
WEIGHT:270G/M2</t>
  </si>
  <si>
    <t>ART.EBT140683
COMP:42%W58%PL
WIDTH:150CM
WEIGHT:485G/M2</t>
  </si>
  <si>
    <t>ART.EBT140734
COMP:100%PL
WIDTH:57/58"
WEIGHT:34G/M2</t>
  </si>
  <si>
    <t>ART.EBT140753
COMP:100%PL
WIDTH:57/58"
WEIGHT:65G/M2</t>
  </si>
  <si>
    <t>ART.EBT140770
COMP:55%CO 45%PL
WIDTH:160CM
WEIGHT:230G/M2</t>
  </si>
  <si>
    <t>ART.EBT140800
COMP:100%PL
WIDTH:57/58"
WEIGHT:180G/M2</t>
  </si>
  <si>
    <t>ART.EBT140843
COMP:20%W 80%PL
WIDTH:58/59"
WEIGHT:900G/M</t>
  </si>
  <si>
    <t>ART.EBT140850
COMP:100%PL
WIDTH:57/58"
WEIGHT:590G/M</t>
  </si>
  <si>
    <t>ART.EBT140855
COMP:50%PU 50%PL
WIDTH:53/54"
WEIGHT:390G/M2</t>
  </si>
  <si>
    <t>ART.EBT140868
COMP:50%PU  50%PL
WIDTH:55/56"
WEIGHT:230G/M2</t>
  </si>
  <si>
    <t>ART.EBT140906
COMP:100%PL
WIDTH:57/58"
WEIGHT:93G/M2</t>
  </si>
  <si>
    <t>ART.EBT140916
COMP:50%W 50%PL
WIDTH:57/58"
WEIGHT:660G/M</t>
  </si>
  <si>
    <t>ART.EBT140917
COMP:20%W 80%PL
WIDTH:56/57"
WEIGHT:830G/M</t>
  </si>
  <si>
    <t>ART.EBT140918
COMP:100%PL
WIDTH:57/58"
WEIGHT:470-500G/M</t>
  </si>
  <si>
    <t>ART.EBT140919
COMP:100%PL
WIDTH:55/56"
WEIGHT:345G/M2</t>
  </si>
  <si>
    <t>ART.EBT140970
COMP:10%W 90%PL
WIDTH:148CM
WEIGHT:680G/M+/-20G/M</t>
  </si>
  <si>
    <t>ART.EBT140973
COMP:5%W 95%PL
WIDTH:58/59"
WEIGHT:720G/M</t>
  </si>
  <si>
    <t>ART.EBT140974
COMP:5%W 95%PL
WIDTH:58/60"
WEIGHT:720G/M</t>
  </si>
  <si>
    <t>ART.EBT140975
COMP:30%W 70%PL
WIDTH:58/59"
WEIGHT:690G/M</t>
  </si>
  <si>
    <t>ART.EBT140976
COMP:30%W 70%PL
WIDTH:55/56"
WEIGHT:690G/M</t>
  </si>
  <si>
    <t>ART.EBT140977
COMP:100%PL
WIDTH:150CM
WEIGHT:355G/M</t>
  </si>
  <si>
    <t>ART.EBT140981
COMP:40%W 60%PL
WIDTH:58/59"
WEIGHT:720G/M+/-20G/M</t>
  </si>
  <si>
    <t>ART.EBT140984
COMP:25%W75%PL
WIDTH:58/59"
WEIGHT:650G/M+/-20G/M</t>
  </si>
  <si>
    <t>ART.EBT140986
COMP:100%PL
WIDTH:57/58"
WEIGHT:500G/M+/-20G/M</t>
  </si>
  <si>
    <t>ART.EBT141039
COMP:100%PL
WIDTH:58"
WEIGHT:175G/M</t>
  </si>
  <si>
    <t>ART.EBT141043
COMP:100%PL
EMB:PU
WIDTH:53.5/59"
WEIGHT:</t>
  </si>
  <si>
    <t>ART.EBT141044
COMP:100%PL
EMB:PU
WIDTH:52"
WEIGHT:</t>
  </si>
  <si>
    <t>ART.EBT151111
COMP:100%PL
WIDTH:52"
WEIGHT:263G/M</t>
  </si>
  <si>
    <t>EBT120350</t>
  </si>
  <si>
    <t>ART.EBT120350
COMP:25%PL 75%VI
WIDTH:134CM
WEIGHT:120+/-12G/M2</t>
  </si>
  <si>
    <t>EBT160063</t>
  </si>
  <si>
    <t>EBT160060</t>
  </si>
  <si>
    <t>EBT160062</t>
  </si>
  <si>
    <t>EBT151073</t>
  </si>
  <si>
    <t>EBT151222</t>
  </si>
  <si>
    <t>EBT151223</t>
  </si>
  <si>
    <t>EBT151224</t>
  </si>
  <si>
    <t>EBT151289-380</t>
  </si>
  <si>
    <t>ART.EBT151073
COMP:61%VI 32%PA 7%EA
WIDTH:58"
WEIGHT:290G/M2</t>
  </si>
  <si>
    <t>ART.EBT151222
COMP:F:100%PU G:90%PL 10%EA
WIDTH:132CM
WEIGHT:</t>
  </si>
  <si>
    <t>ART.EBT151223
COMP:F:100%PU G:90%PL 10%EA
WIDTH:132CM
WEIGHT:</t>
  </si>
  <si>
    <t>EBT160033</t>
  </si>
  <si>
    <t>EBT160034</t>
  </si>
  <si>
    <t>EBT160035</t>
  </si>
  <si>
    <t>EBT160036</t>
  </si>
  <si>
    <t>ART.EBT160033
COMP:G:95%PL 5%EA
WIDTH:145CM
WEIGHT:205G/M2</t>
  </si>
  <si>
    <t>ART.EBT160034
COMP:G:95%PL 5%EA
WIDTH:128CM
WEIGHT:270G/M2</t>
  </si>
  <si>
    <t>EBT160064</t>
  </si>
  <si>
    <t>EBT160065</t>
  </si>
  <si>
    <t>EBT10835</t>
  </si>
  <si>
    <t>ART.EBT10835
COMP:62%TENCEL 38%CO
WIDTH:57/58"
WEIGHT:215G/M2</t>
  </si>
  <si>
    <t>EBT160068</t>
  </si>
  <si>
    <t>EBT160069</t>
  </si>
  <si>
    <t>ART.EBT160068
COMP:87%PL 10%VI 3%EA
WIDTH:145CM
WEIGHT:215G/M2</t>
  </si>
  <si>
    <t>EBT120508</t>
  </si>
  <si>
    <t>EBT160071</t>
  </si>
  <si>
    <t>EBT160072</t>
  </si>
  <si>
    <t>ART.EBT160071
COMP:100%PL
WIDTH:140CM
WEIGHT:318G/M2</t>
  </si>
  <si>
    <t>ART.EBT160072
COMP:100%PL
WIDTH:142CM
WEIGHT:318G/M2</t>
  </si>
  <si>
    <t>EBT130726</t>
  </si>
  <si>
    <t>ART.EBT130726
COMP:G 100%POLY EMB:100%CO
WIDTH:46/55''
WEIGHT:85G/M2</t>
  </si>
  <si>
    <t>EBT160073</t>
  </si>
  <si>
    <t>EBT160074</t>
  </si>
  <si>
    <t>EBT160066</t>
  </si>
  <si>
    <t>EBT160067</t>
  </si>
  <si>
    <t>ART.EBT160066
COMP:61%PO36%CO3%SP
WIDTH:134CM
WEIGHT:175G/M2</t>
  </si>
  <si>
    <t>EBT160075</t>
  </si>
  <si>
    <t>EBT160076</t>
  </si>
  <si>
    <t>EBT160077</t>
  </si>
  <si>
    <t>EBT160078</t>
  </si>
  <si>
    <t>EBT160081</t>
  </si>
  <si>
    <t>EBT160082</t>
  </si>
  <si>
    <t>EBT160083</t>
  </si>
  <si>
    <t>EBT160084</t>
  </si>
  <si>
    <t>EBT160085</t>
  </si>
  <si>
    <t>EBT160086</t>
  </si>
  <si>
    <t>EBT160087</t>
  </si>
  <si>
    <t>ART.EBT160082
COMP:100%PL
WIDTH:125CM
WEIGHT:205G/M2</t>
  </si>
  <si>
    <t>ART.EBT160083
COMP:100%PL
WIDTH:130CM
WEIGHT:210G/M2</t>
  </si>
  <si>
    <t>ART.EBT160085
COMP:100%PL
WIDTH:130CM
WEIGHT:210G/M2</t>
  </si>
  <si>
    <t>ART.EBT160086
COMP:100%PL
WIDTH:130CM
WEIGHT:200G/M2</t>
  </si>
  <si>
    <t>ART.EBT160087
COMP:100%PL
WIDTH:130CM
WEIGHT:100G/M2</t>
  </si>
  <si>
    <t>EBT160092</t>
  </si>
  <si>
    <t>EBT160093</t>
  </si>
  <si>
    <t>EBT160094</t>
  </si>
  <si>
    <t>EBT160095</t>
  </si>
  <si>
    <t>EBT160096</t>
  </si>
  <si>
    <t>EBT160089</t>
  </si>
  <si>
    <t>EBT160090</t>
  </si>
  <si>
    <t>EBT160091</t>
  </si>
  <si>
    <t>EBT130124</t>
  </si>
  <si>
    <t>EBT160079</t>
  </si>
  <si>
    <t>EBT160080</t>
  </si>
  <si>
    <t>EBT160097</t>
  </si>
  <si>
    <t>EBT160098</t>
  </si>
  <si>
    <t>EBT160099</t>
  </si>
  <si>
    <t>EBT160100</t>
  </si>
  <si>
    <t>EBT160101</t>
  </si>
  <si>
    <t>EBT160102</t>
  </si>
  <si>
    <t>EBT160103</t>
  </si>
  <si>
    <t>EBT160104</t>
  </si>
  <si>
    <t>ART.EBT160098
COMP:68%SE32%ME
WIDTH:142cm
WEIGHT:49G/M2</t>
  </si>
  <si>
    <t>ART.EBT160099
COMP:70%SE30%ME
WIDTH:138CM
WEIGHT:39G/M2</t>
  </si>
  <si>
    <t>ART.EBT160100
COMP:80%SE20%SILVER
WIDTH:138CM
WEIGHT:67G/M2</t>
  </si>
  <si>
    <t>ART.EBT160101
COMP:94%SE6%SILVER
WIDTH:138CM
WEIGHT:21G/M2</t>
  </si>
  <si>
    <t>ART.EBT160102
COMP:76%ACETATE 22%VI 2%EA
WIDTH:138CM
WEIGHT:192G/M2</t>
  </si>
  <si>
    <t>ART.EBT160103
COMP:39%ACETATE 61%VI
WIDTH:148CM
WEIGHT:210G/M2</t>
  </si>
  <si>
    <t>ART.EBT160104
COMP:72%ACETATE 28%VI
WIDTH:150CM
WEIGHT:185G/M2</t>
  </si>
  <si>
    <t>EBT260046</t>
  </si>
  <si>
    <t>EBT260047</t>
  </si>
  <si>
    <t>EBT260049A</t>
  </si>
  <si>
    <t>EBT260049B</t>
  </si>
  <si>
    <t>EBT260050</t>
  </si>
  <si>
    <t>EBT260051</t>
  </si>
  <si>
    <t>EBT260052</t>
  </si>
  <si>
    <t>EBT260053</t>
  </si>
  <si>
    <t>EBT260054</t>
  </si>
  <si>
    <t>EBT260055</t>
  </si>
  <si>
    <t>EBT260056</t>
  </si>
  <si>
    <t>EBT260057</t>
  </si>
  <si>
    <t>EBT260058</t>
  </si>
  <si>
    <t>EBT260059</t>
  </si>
  <si>
    <t>ART.EBT260049A
COMP:F:63%PL 33%VI 4%SP G:95%PL 5%EA 
WIDTH:144CM
WEIGHT:589G/M2</t>
  </si>
  <si>
    <t>EBT160105</t>
  </si>
  <si>
    <t>EBT260063</t>
  </si>
  <si>
    <t>EBT151268-GT</t>
  </si>
  <si>
    <t>EBT160109</t>
  </si>
  <si>
    <t>EBT160110</t>
  </si>
  <si>
    <t>EBT160111</t>
  </si>
  <si>
    <t>ART.EBT160109
COMP:100%PL
WIDTH:138CM
WEIGHT:185G/M2</t>
  </si>
  <si>
    <t>ART.EBT160110
COMP:100%PL
WIDTH:138CM
WEIGHT:185G/M2</t>
  </si>
  <si>
    <t>ART.EBT160111
COMP:100%PL
WIDTH:138CM
WEIGHT:185G/M2</t>
  </si>
  <si>
    <t>EBT120852A</t>
  </si>
  <si>
    <t>EBT120852B</t>
  </si>
  <si>
    <t>EBT120852C</t>
  </si>
  <si>
    <t>ART.EBT120852A
COMP:45%PL 55%VI
WIDTH:140CM
WEIGHT:130G/M2</t>
  </si>
  <si>
    <t>ART.EBT120852B
COMP:45%PL 55%VI
WIDTH:140CM
WEIGHT:130G/M2</t>
  </si>
  <si>
    <t>ART.EBT120852C
COMP:45%PL 55%VI
WIDTH:140CM
WEIGHT:130G/M2</t>
  </si>
  <si>
    <t>EBT160117</t>
  </si>
  <si>
    <t>EBT160118</t>
  </si>
  <si>
    <t>EBT160119</t>
  </si>
  <si>
    <t>EBT160120</t>
  </si>
  <si>
    <t>EBT160115</t>
  </si>
  <si>
    <t>EBT160112</t>
  </si>
  <si>
    <t>EBT160113</t>
  </si>
  <si>
    <t>EBT160114</t>
  </si>
  <si>
    <t>ART.EBT160112
COMP:100%PL
WIDTH:122CM
WEIGHT:159G/M2</t>
  </si>
  <si>
    <t>EBT160121</t>
  </si>
  <si>
    <t>EBT160122</t>
  </si>
  <si>
    <t>EBT160226</t>
  </si>
  <si>
    <t>EBT160126</t>
  </si>
  <si>
    <t>EBT160127</t>
  </si>
  <si>
    <t>EBT160128</t>
  </si>
  <si>
    <t>EBT160129</t>
  </si>
  <si>
    <t>EBT160130</t>
  </si>
  <si>
    <t>EBT160131</t>
  </si>
  <si>
    <t>EBT160132</t>
  </si>
  <si>
    <t>EBT160133</t>
  </si>
  <si>
    <t>EBT160134</t>
  </si>
  <si>
    <t>EBT160135</t>
  </si>
  <si>
    <t>EBT160136</t>
  </si>
  <si>
    <t>EBT160137</t>
  </si>
  <si>
    <t>EBT160138</t>
  </si>
  <si>
    <t>EBT160123</t>
  </si>
  <si>
    <t>EBT160124</t>
  </si>
  <si>
    <t>ART.EBT160126
COMP:100%PA
WIDTH:125CM
WEIGHT:180G/M2</t>
  </si>
  <si>
    <t>ART.EBT160127
COMP:100%PL
WIDTH:125CM
WEIGHT:300G/M2</t>
  </si>
  <si>
    <t>ART.EBT160128
COMP:100%PA
WIDTH:120CM
WEIGHT:220G/M2</t>
  </si>
  <si>
    <t>ART.EBT160129
COMP:100%PA
WIDTH:125CM
WEIGHT:220G/M2</t>
  </si>
  <si>
    <t>ART.EBT160130
COMP:100%PA
WIDTH:125CM
WEIGHT:230G/M2</t>
  </si>
  <si>
    <t>ART.EBT160131
COMP:100%PA
WIDTH:125CM
WEIGHT:220G/M2</t>
  </si>
  <si>
    <t>ART.EBT160132
COMP:100%PA
WIDTH:120CM
WEIGHT:220G/M2</t>
  </si>
  <si>
    <t>ART.EBT160133
COMP:100%PA
WIDTH:125CM
WEIGHT:220G/M2</t>
  </si>
  <si>
    <t>ART.EBT160134
COMP:100%PA
WIDTH:130CM
WEIGHT:220G/M2</t>
  </si>
  <si>
    <t>ART.EBT160135
COMP:100%PL
WIDTH:125CM
WEIGHT:165G/M2</t>
  </si>
  <si>
    <t>ART.EBT160136
COMP:100%PL
WIDTH:120CM
WEIGHT:230G/M2</t>
  </si>
  <si>
    <t>ART.EBT160137
COMP:100%PA
WIDTH:125CM
WEIGHT:220G/M2</t>
  </si>
  <si>
    <t>ART.EBT160138
COMP:100%PA
WIDTH:125CM
WEIGHT:140G/M2</t>
  </si>
  <si>
    <t>ART.EBT160123
COMP:35%PA 35%CO 30%VI
WIDTH:145CM
WEIGHT:</t>
  </si>
  <si>
    <t>ART.EBT160124
COMP:40%PA 40%CO 20%VI
WIDTH:145CM
WEIGHT:</t>
  </si>
  <si>
    <t>EBT160139</t>
  </si>
  <si>
    <t>EBT160140</t>
  </si>
  <si>
    <t>EBT160141</t>
  </si>
  <si>
    <t>EBT160142</t>
  </si>
  <si>
    <t>EBT160143</t>
  </si>
  <si>
    <t>EBT160144</t>
  </si>
  <si>
    <t>EBT160145</t>
  </si>
  <si>
    <t>EBT160146</t>
  </si>
  <si>
    <t>EBT160147</t>
  </si>
  <si>
    <t>EBT160148</t>
  </si>
  <si>
    <t>EBT160149</t>
  </si>
  <si>
    <t>EBT160150</t>
  </si>
  <si>
    <t>EBT160151</t>
  </si>
  <si>
    <t>EBT160152</t>
  </si>
  <si>
    <t>EBT160153</t>
  </si>
  <si>
    <t>EBT160154</t>
  </si>
  <si>
    <t>EBT160155</t>
  </si>
  <si>
    <t>EBT160156</t>
  </si>
  <si>
    <t>EBT160157</t>
  </si>
  <si>
    <t>EBT160158</t>
  </si>
  <si>
    <t>EBT160159</t>
  </si>
  <si>
    <t>EBT160160</t>
  </si>
  <si>
    <t>EBT160161</t>
  </si>
  <si>
    <t>EBT160162</t>
  </si>
  <si>
    <t>EBT160163</t>
  </si>
  <si>
    <t>EBT160164</t>
  </si>
  <si>
    <t>EBT160165</t>
  </si>
  <si>
    <t>EBT160166</t>
  </si>
  <si>
    <t>EBT160167</t>
  </si>
  <si>
    <t>EBT160168</t>
  </si>
  <si>
    <t>EBT160169</t>
  </si>
  <si>
    <t>EBT160170</t>
  </si>
  <si>
    <t>EBT160171</t>
  </si>
  <si>
    <t>EBT160172</t>
  </si>
  <si>
    <t>EBT160173</t>
  </si>
  <si>
    <t>EBT160174</t>
  </si>
  <si>
    <t>EBT160175</t>
  </si>
  <si>
    <t>EBT160176</t>
  </si>
  <si>
    <t>EBT160177</t>
  </si>
  <si>
    <t>EBT160178</t>
  </si>
  <si>
    <t>EBT160179</t>
  </si>
  <si>
    <t>EBT160180</t>
  </si>
  <si>
    <t>EBT160181</t>
  </si>
  <si>
    <t>EBT160182</t>
  </si>
  <si>
    <t>EBT160183</t>
  </si>
  <si>
    <t>EBT160184</t>
  </si>
  <si>
    <t>EBT160185</t>
  </si>
  <si>
    <t>EBT160186</t>
  </si>
  <si>
    <t>EBT160187</t>
  </si>
  <si>
    <t>EBT160188</t>
  </si>
  <si>
    <t>EBT160189</t>
  </si>
  <si>
    <t>EBT160190</t>
  </si>
  <si>
    <t>EBT160191</t>
  </si>
  <si>
    <t>EBT160192</t>
  </si>
  <si>
    <t>EBT160193</t>
  </si>
  <si>
    <t>EBT160194</t>
  </si>
  <si>
    <t>EBT160195</t>
  </si>
  <si>
    <t>EBT160196</t>
  </si>
  <si>
    <t>EBT160197</t>
  </si>
  <si>
    <t>EBT160198</t>
  </si>
  <si>
    <t>EBT160199</t>
  </si>
  <si>
    <t>EBT160200</t>
  </si>
  <si>
    <t>EBT160201</t>
  </si>
  <si>
    <t>EBT160202</t>
  </si>
  <si>
    <t>EBT160203</t>
  </si>
  <si>
    <t>EBT160204</t>
  </si>
  <si>
    <t>EBT160205</t>
  </si>
  <si>
    <t>EBT160206</t>
  </si>
  <si>
    <t>EBT160207</t>
  </si>
  <si>
    <t>EBT160208</t>
  </si>
  <si>
    <t>EBT160209</t>
  </si>
  <si>
    <t>EBT160210</t>
  </si>
  <si>
    <t>EBT160211</t>
  </si>
  <si>
    <t>EBT160212</t>
  </si>
  <si>
    <t>EBT160213</t>
  </si>
  <si>
    <t>EBT160214</t>
  </si>
  <si>
    <t>EBT160215</t>
  </si>
  <si>
    <t>EBT160216</t>
  </si>
  <si>
    <t>EBT160217</t>
  </si>
  <si>
    <t>EBT160218</t>
  </si>
  <si>
    <t>EBT160219</t>
  </si>
  <si>
    <t>EBT160220</t>
  </si>
  <si>
    <t>EBT160221</t>
  </si>
  <si>
    <t>EBT160222</t>
  </si>
  <si>
    <t>EBT160223</t>
  </si>
  <si>
    <t>EBT160224</t>
  </si>
  <si>
    <t>EBT160225</t>
  </si>
  <si>
    <t>EBT160227</t>
  </si>
  <si>
    <t>ART.EBT130124
COMP:F:97%CO 3%EA G:70%PL 26%VI 4%EA
WIDTH:145CM
WEIGHT:299G/M2</t>
  </si>
  <si>
    <t>ART.EBT101068-SL
COMP:52%PL 48%PA
WIDTH:57/58"
WEIGHT:110G/M2</t>
  </si>
  <si>
    <t>ART.EBT260032
COMP:74%CO 26%POLY
WIDTH:140CM
WEIGHT:224G/M2</t>
  </si>
  <si>
    <t>ART.EBT260033
COMP:67%CO 33% PL 
WIDTH:145cm
WEIGHT:260G/M2</t>
  </si>
  <si>
    <t>ART.EBT260034
COMP:F:88%PL 8%VI 4%EA G:95%PL 5%EA 
WIDTH:149CM
WEIGHT:580G/M2</t>
  </si>
  <si>
    <t>ART.EBT260035
COMP:F:76%PL 20%VI 4%EA G:95%PL 5%EA 
WIDTH:144CM
WEIGHT:589G/M2</t>
  </si>
  <si>
    <t>ART.EBT260036
COMP:55%LINEN 45% CO 
WIDTH:137cm
WEIGHT:325G/M2</t>
  </si>
  <si>
    <t>ART.EBT260037
COMP:100%LI
WIDTH:125cm
WEIGHT:170G/M2</t>
  </si>
  <si>
    <t>ART.EBT260038
COMP:55%LI 45%CO 
WIDTH:132cm
WEIGHT:173G/M2</t>
  </si>
  <si>
    <t>ART.EBT260039
COMP:97%CO 3%EA 
WIDTH:142CM
WEIGHT:264G/M2</t>
  </si>
  <si>
    <t>ART.EBT260040
COMP:64%PL 34%VI 2%EA
WIDTH:142-145CM
WEIGHT:195G/M2</t>
  </si>
  <si>
    <t>ART.EBT260041
COMP:97% CO 3% SP 
WIDTH:142CM
WEIGHT:240G/M2</t>
  </si>
  <si>
    <t>ART.EBT260042
COMP:82%PL 3%EA 15%LI 
WIDTH:144CM
WEIGHT:202G/M2</t>
  </si>
  <si>
    <t>ART.EBT260043
COMP:82%PL 3%EA 15%LI 
WIDTH:144CM
WEIGHT:192G/M2</t>
  </si>
  <si>
    <t>ART.EBT260044
COMP:82%PL 3%EA 15%LI 
WIDTH:144CM
WEIGHT:193G/M2</t>
  </si>
  <si>
    <t>ART.EBT160140
COMP:59.3%PA 25.2%CO 15.5%PL
WIDTH:135CM
WEIGHT:214G/M</t>
  </si>
  <si>
    <t>ART.EBT160141
COMP:54.4%PL 45.6%CO
WIDTH:140CM
WEIGHT:238G/M</t>
  </si>
  <si>
    <t>ART.EBT160142
COMP:56.8%PA 26.9%CO 16.3%PL
WIDTH:135CM
WEIGHT:245G/M</t>
  </si>
  <si>
    <t>ART.EBT160143
COMP:
WIDTH:
WEIGHT:</t>
  </si>
  <si>
    <t>ART.EBT160144
COMP:55.4%CO 32.6%PA 12%VI
WIDTH:140CM
WEIGHT:180G/M</t>
  </si>
  <si>
    <t>ART.EBT160145
COMP:55%CO 30%PA 15%VI
WIDTH:148CM
WEIGHT:256G/M</t>
  </si>
  <si>
    <t>ART.EBT160146
COMP:51.6%VI 27.3%PA 21.1%CO
WIDTH:140CM
WEIGHT:200G/M</t>
  </si>
  <si>
    <t>ART.EBT160147
COMP:78.7%VI 21.3%PA
WIDTH:135CM
WEIGHT:185G/M</t>
  </si>
  <si>
    <t>ART.EBT160148
COMP:55.6%VI 27.9%CO 16.5%PA
WIDTH:144CM
WEIGHT:270G/M</t>
  </si>
  <si>
    <t>ART.EBT160149
COMP:55.9%VI 28.7%CO 15.4%PA
WIDTH:140CM
WEIGHT:340G/M</t>
  </si>
  <si>
    <t>ART.EBT160159
COMP:53.5%VI 24.2%CO 22.3%PA
WIDTH:140CM
WEIGHT:175G/M</t>
  </si>
  <si>
    <t>ART.EBT160160
COMP:52.1%VI 36.2%PA 11.7%CO
WIDTH:145CM
WEIGHT:240G/M</t>
  </si>
  <si>
    <t>ART.EBT160161
COMP:36.2%PA 32.1%VI 31.7%CO
WIDTH:140CM
WEIGHT:200G/M</t>
  </si>
  <si>
    <t>ART.EBT160162
COMP:100%PA
WIDTH:148CM
WEIGHT:180G/M</t>
  </si>
  <si>
    <t>ART.EBT160164
COMP:73%VI   27%PA
WIDTH:140CM
WEIGHT:230G/M</t>
  </si>
  <si>
    <t>ART.EBT160165
COMP:100%PA
WIDTH:145CM
WEIGHT:208G/M</t>
  </si>
  <si>
    <t>ART.EBT160166
COMP:70.6%PA 29.4%PL
WIDTH:140CM
WEIGHT:260G/M</t>
  </si>
  <si>
    <t>ART.EBT160167
COMP:58.6%PA 41.4%VI
WIDTH:140CM
WEIGHT:215G/M</t>
  </si>
  <si>
    <t>ART.EBT160168
COMP:67.2%PA 32.8%CO
WIDTH:138CM
WEIGHT:190G/M</t>
  </si>
  <si>
    <t>ART.EBT160169
COMP:69.5%CO 30.5%PA
WIDTH:140CM
WEIGHT:180G/M</t>
  </si>
  <si>
    <t>ART.EBT160170
COMP:39.1%VI 31.1%PA  29.8%CO
WIDTH:140CM
WEIGHT:210G/M</t>
  </si>
  <si>
    <t>ART.EBT160171
COMP:58.9%PA 41.1%CO
WIDTH:140CM
WEIGHT:200G/M</t>
  </si>
  <si>
    <t>ART.EBT160172
COMP:76%CO 24%PA
WIDTH:140CM
WEIGHT:200G/M</t>
  </si>
  <si>
    <t>ART.EBT160173
COMP:42.4%VI 31.3%PA 26.3%CO
WIDTH:140CM
WEIGHT:235G/M</t>
  </si>
  <si>
    <t>ART.EBT160174
COMP:76.5%VI 23.5%PA
WIDTH:145CM
WEIGHT:200G/M</t>
  </si>
  <si>
    <t>ART.EBT160175
COMP:100%PA
WIDTH:140CM
WEIGHT:125G/M</t>
  </si>
  <si>
    <t>ART.EBT160176
COMP:46.7%VI 32.3%CO 21%PA
WIDTH:140CM
WEIGHT:230G/M</t>
  </si>
  <si>
    <t>ART.EBT160177
COMP:36.5%PA 32.2%CO 31.3%VI
WIDTH:140CM
WEIGHT:205G/M</t>
  </si>
  <si>
    <t>ART.EBT160178
COMP:69.6%CO 30.4%PA
WIDTH:140CM
WEIGHT:145G/M</t>
  </si>
  <si>
    <t>ART.EBT160179
COMP:70.8%CO 29.2%PA
WIDTH:140CM
WEIGHT:195G/M</t>
  </si>
  <si>
    <t>ART.EBT160180
COMP:57.6%CO 42.4%PA
WIDTH:138CM
WEIGHT:210G/M</t>
  </si>
  <si>
    <t>ART.EBT160181
COMP:53.5%VI 24.2%CO  22.3%PA
WIDTH:140CM
WEIGHT:175G/M</t>
  </si>
  <si>
    <t>ART.EBT160182
COMP:41.7%VI 32.1%PA 26.2%CO
WIDTH:140CM
WEIGHT:223G/M</t>
  </si>
  <si>
    <t>ART.EBT160183
COMP:58%VI 24%CO 18%PA
WIDTH:135CM
WEIGHT:242G/M</t>
  </si>
  <si>
    <t>ART.EBT160184
COMP:44.4%CO 30%PA 25.6%VI
WIDTH:150CM
WEIGHT:255G/M</t>
  </si>
  <si>
    <t>ART.EBT160185
COMP:60%PA 40%VI
WIDTH:140CM
WEIGHT:200G/M</t>
  </si>
  <si>
    <t>ART.EBT160186
COMP:49.6%PA 25.5%CO 24.9%VI
WIDTH:138CM
WEIGHT:195G/M</t>
  </si>
  <si>
    <t>ART.EBT160187
COMP:70.7%CO 29.3%PA
WIDTH:140CM
WEIGHT:195G/M</t>
  </si>
  <si>
    <t>ART.EBT160188
COMP:52.9%PA 47.1%CO
WIDTH:140CM
WEIGHT:150G/M</t>
  </si>
  <si>
    <t>ART.EBT160189
COMP:52%CO 30%VI 18%PA
WIDTH:140CM
WEIGHT:213G/M</t>
  </si>
  <si>
    <t>ART.EBT160190
COMP:58.6%CO 23.3%PA 18.1%VI
WIDTH:140CM
WEIGHT:235G/M</t>
  </si>
  <si>
    <t>ART.EBT160191
COMP:42.4%VI 31.3%PA 26.3%CO
WIDTH:140CM
WEIGHT:235G/M</t>
  </si>
  <si>
    <t>ART.EBT160192
COMP:46.7%CO 28.1%VI 25.2%PA
WIDTH:140CM
WEIGHT:265G/M</t>
  </si>
  <si>
    <t>ART.EBT160193
COMP:62.4%PA 37.6%CO
WIDTH:145CM
WEIGHT:250G/M</t>
  </si>
  <si>
    <t>ART.EBT160194
COMP:38.7%PA 37.7%CO 23.6%PL
WIDTH:140CM
WEIGHT:185G/M</t>
  </si>
  <si>
    <t>ART.EBT160195
COMP:76.5%VI   23.5%PA
WIDTH:140CM
WEIGHT:200G/M</t>
  </si>
  <si>
    <t>ART.EBT160196
COMP:57%CO 30%VI 13%PA
WIDTH:138CM
WEIGHT:235G/M</t>
  </si>
  <si>
    <t>ART.EBT160197
COMP:43.3%VI  37.8%CO  18.9%PA
WIDTH:135CM
WEIGHT:240G/M</t>
  </si>
  <si>
    <t>ART.EBT160198
COMP:75.9%PA 24.1%CO
WIDTH:140CM
WEIGHT:150G/M</t>
  </si>
  <si>
    <t>ART.EBT160199
COMP:59.9%CO 40.1%PA
WIDTH:140CM
WEIGHT:125G/M</t>
  </si>
  <si>
    <t>ART.EBT160200
COMP:45%VI 55%PA
WIDTH:140CM
WEIGHT:155G/M</t>
  </si>
  <si>
    <t>ART.EBT160201
COMP:58.8%PA 41.2%VI
WIDTH:140CM
WEIGHT:210G/M</t>
  </si>
  <si>
    <t>ART.EBT160202
COMP:51.1%PA 48.9%CO
WIDTH:140CM
WEIGHT:160G/M</t>
  </si>
  <si>
    <t>ART.EBT160203
COMP:60.8%CO 39.2%PA
WIDTH:135CM
WEIGHT:212G/M</t>
  </si>
  <si>
    <t>ART.EBT160204
COMP:48.8%PA 33.4%PL 15.6%CO
WIDTH:145CM
WEIGHT:240G/M</t>
  </si>
  <si>
    <t>ART.EBT160205
COMP:80.7%PA 19.3%CO
WIDTH:145CM
WEIGHT:330G/M</t>
  </si>
  <si>
    <t>ART.EBT160206
COMP:49.3%CO 44.2%PA 6.5%VI
WIDTH:138CM
WEIGHT:247G/M</t>
  </si>
  <si>
    <t>ART.EBT160207
COMP:60.1%PA 30.3%CO 9.6%VI
WIDTH:140CM
WEIGHT:250G/M</t>
  </si>
  <si>
    <t>ART.EBT160208
COMP:42.2%VI 28.9%CO 28.9%PA
WIDTH:140CM
WEIGHT:140G/M</t>
  </si>
  <si>
    <t>ART.EBT160209
COMP:60.1%CO 39.9%PA
WIDTH:140CM
WEIGHT:143G/M</t>
  </si>
  <si>
    <t>ART.EBT160210
COMP:68%CO 32%PA
WIDTH:140CM
WEIGHT:180G/M</t>
  </si>
  <si>
    <t>ART.EBT160211
COMP:44%CO 56%PA
WIDTH:140CM
WEIGHT:190G/M</t>
  </si>
  <si>
    <t>ART.EBT160212
COMP:47.7%CO 40.2%PA 12.4%VI
WIDTH:140CM
WEIGHT:213G/M</t>
  </si>
  <si>
    <t>ART.EBT160213
COMP:70%CO 30%PA
WIDTH:140CM
WEIGHT:300G/M</t>
  </si>
  <si>
    <t>ART.EBT160214
COMP:95%PL    5%EA
WIDTH:140CM
WEIGHT:200G/M</t>
  </si>
  <si>
    <t>ART.EBT160216
COMP:62.8%PA 37.2%CO
WIDTH:138CM
WEIGHT:252G/M</t>
  </si>
  <si>
    <t>ART.EBT160217
COMP:59.2%PA 40.8%CO
WIDTH:135CM
WEIGHT:192G/M</t>
  </si>
  <si>
    <t>ART.EBT160218
COMP:73%PA 27%CO
WIDTH:140CM
WEIGHT:198G/M</t>
  </si>
  <si>
    <t>ART.EBT160219
COMP:51.7%PA 48.3%VI
WIDTH:140CM
WEIGHT:280G/M</t>
  </si>
  <si>
    <t>ART.EBT160220
COMP:55.5%PA 44.5%VI
WIDTH:135CM
WEIGHT:170G/M</t>
  </si>
  <si>
    <t>ART.EBT160221
COMP:43.7% VI 36.1%PA 20.2%CO
WIDTH:140CM
WEIGHT:230G/M</t>
  </si>
  <si>
    <t>ART.EBT160222
COMP:61.7%CO 26.1%PA 12.2%VI
WIDTH:138CM
WEIGHT:158G/M</t>
  </si>
  <si>
    <t>ART.EBT160223
COMP:100%PA
WIDTH:140CM
WEIGHT:117G/M</t>
  </si>
  <si>
    <t>ART.EBT160224
COMP:37.3%PA 31.4%VI 31.3%CO
WIDTH:144CM
WEIGHT:185G/M</t>
  </si>
  <si>
    <t>ART.EBT160225
COMP:43.3%VI 37.8%CO 18.9%PA
WIDTH:140CM
WEIGHT:225G/M</t>
  </si>
  <si>
    <t>ART.EBT160227
COMP:40%PA 40%CO 20%VI
WIDTH:142CM
WEIGHT:150G/M2</t>
  </si>
  <si>
    <t>EBT160231</t>
  </si>
  <si>
    <t>EBT160232</t>
  </si>
  <si>
    <t>EBT160236</t>
  </si>
  <si>
    <t>ART.EBT160236
COMP:53%CO 45%PL 2%EA
WIDTH:134CM 
WEIGHT:225G/M2</t>
  </si>
  <si>
    <t>EBT160233</t>
  </si>
  <si>
    <t>EBT160234</t>
  </si>
  <si>
    <t>EBT160235</t>
  </si>
  <si>
    <t>EBT160237</t>
  </si>
  <si>
    <t>ART.EBT160114
COMP:85%VI 15%PA
WIDTH:142CM
WEIGHT:218G/M2</t>
  </si>
  <si>
    <t>ART.EBT160230
COMP:G:100%PA EMB:100%PL
WIDTH:125CM
WEIGHT:115G/M2</t>
  </si>
  <si>
    <t>ART.EBT160233
COMP:F:40%CO 40%PA 20%EA G:100%CO
WIDTH:135CM
WEIGHT:222G/M2</t>
  </si>
  <si>
    <t>ART.EBT160234
COMP:F:40%CO 40%PA 20%EA G:100%CO
WIDTH:135CM
WEIGHT:263G/M2</t>
  </si>
  <si>
    <t>EBT160249</t>
  </si>
  <si>
    <t>EBT160238</t>
  </si>
  <si>
    <t>EBT160239</t>
  </si>
  <si>
    <t>EBT160240</t>
  </si>
  <si>
    <t>EBT160241</t>
  </si>
  <si>
    <t>EBT160242</t>
  </si>
  <si>
    <t>EBT160243</t>
  </si>
  <si>
    <t>EBT160244</t>
  </si>
  <si>
    <t>EBT160245</t>
  </si>
  <si>
    <t>EBT160246</t>
  </si>
  <si>
    <t>EBT160260</t>
  </si>
  <si>
    <t>EBT160261</t>
  </si>
  <si>
    <t>EBT160262</t>
  </si>
  <si>
    <t>ART.EBT160260
COMP:81%PL 15%VI 4%EA
WIDTH:138CM
WEIGHT:350G/M2</t>
  </si>
  <si>
    <t>ART.EBT160261
COMP:68%PL 27%VI 5%EA
WIDTH:140CM
WEIGHT:350G/M2</t>
  </si>
  <si>
    <t>ART.EBT160262
COMP:70%PL 28%VI 2%EA
WIDTH:140CM
WEIGHT:350G/M2</t>
  </si>
  <si>
    <t>EBT160264</t>
  </si>
  <si>
    <t>EBT160265</t>
  </si>
  <si>
    <t>EBT160266</t>
  </si>
  <si>
    <t>EBT160267</t>
  </si>
  <si>
    <t>EBT160269</t>
  </si>
  <si>
    <t>EBT160271</t>
  </si>
  <si>
    <t>EBT160272</t>
  </si>
  <si>
    <t>EBT160273</t>
  </si>
  <si>
    <t>EBT160274</t>
  </si>
  <si>
    <t>EBT160275</t>
  </si>
  <si>
    <t>EBT160276</t>
  </si>
  <si>
    <t>EBT160277</t>
  </si>
  <si>
    <t>EBT160278</t>
  </si>
  <si>
    <t>EBT160279</t>
  </si>
  <si>
    <t>EBT160280</t>
  </si>
  <si>
    <t>EBT160281</t>
  </si>
  <si>
    <t>EBT160282</t>
  </si>
  <si>
    <t>EBT160283</t>
  </si>
  <si>
    <t>EBT160284</t>
  </si>
  <si>
    <t>EBT160285</t>
  </si>
  <si>
    <t>EBT160286</t>
  </si>
  <si>
    <t>EBT160287</t>
  </si>
  <si>
    <t>EBT160288</t>
  </si>
  <si>
    <t>EBT160289</t>
  </si>
  <si>
    <t>EBT160290</t>
  </si>
  <si>
    <t>ART.EBT160264
COMP:63%PL 34%VI 3%EA
WIDTH:140cm
WEIGHT:310g/m2</t>
  </si>
  <si>
    <t>ART.EBT160265
COMP:63%PL 34%VI 3%EA
WIDTH:140cm
WEIGHT:225G/M2</t>
  </si>
  <si>
    <t>ART.EBT160266
COMP:63%PL 34%VI 3%EA
WIDTH:140CM
WEIGHT:240G/M2</t>
  </si>
  <si>
    <t>ART.EBT160268
COMP:63%PL 34%VI 3%EA
WIDTH:140CM
WEIGHT:225G/M2</t>
  </si>
  <si>
    <t>ART.EBT160271
COMP:63%PL 34%VI 3%EA
WIDTH:140CM
WEIGHT:225G/M2</t>
  </si>
  <si>
    <t>ART.EBT160272
COMP:63%PL 34%VI 3%EA
WIDTH:140CM
WEIGHT:355G/M2</t>
  </si>
  <si>
    <t>ART.EBT160273
COMP:63%PL 34%VI 3%EA
WIDTH:140CM
WEIGHT:225G/M2</t>
  </si>
  <si>
    <t>ART.EBT160274
COMP:63%PL 34%VI 3%EA
WIDTH:140CM
WEIGHT:245G/M2</t>
  </si>
  <si>
    <t>ART.EBT160275
COMP:63%PL 34%VI 3%EA
WIDTH:140CM
WEIGHT:310G/M2</t>
  </si>
  <si>
    <t>ART.EBT160276
COMP:63%PL 34%VI 3%EA
WIDTH:140CM
WEIGHT:241G/M2</t>
  </si>
  <si>
    <t>ART.EBT160277
COMP:63%PL 34%VI 3%EA
WIDTH:140CM
WEIGHT:235G/M2</t>
  </si>
  <si>
    <t>ART.EBT160278
COMP:63%PL 34%VI 3%EA
WIDTH:140CM
WEIGHT:310g/m2</t>
  </si>
  <si>
    <t>ART.EBT160279
COMP:63%PL 34%VI 3%EA
WIDTH:140CM
WEIGHT:235G/M2</t>
  </si>
  <si>
    <t>ART.EBT160280
COMP:63%PL 34%VI 3%EA
WIDTH:140CM
WEIGHT:225G/M2</t>
  </si>
  <si>
    <t>ART.EBT160281
COMP:63%PL 34%VI 3%EA
WIDTH:140CM
WEIGHT:260G/M2</t>
  </si>
  <si>
    <t>ART.EBT160282
COMP:63%PL 34%VI 3%EA
WIDTH:140CM
WEIGHT:240G/M2</t>
  </si>
  <si>
    <t>ART.EBT160283
COMP:63%PL 34%VI 3%EA
WIDTH:140CM
WEIGHT:230G/M2</t>
  </si>
  <si>
    <t>ART.EBT160285
COMP:63%PL 34%VI 3%EA
WIDTH:140CM
WEIGHT:250G/M2</t>
  </si>
  <si>
    <t>ART.EBT160286
COMP:63%PL 34%VI 3%EA
WIDTH:140CM
WEIGHT:280G/M2</t>
  </si>
  <si>
    <t>ART.EBT160287
COMP:63%PL 34%VI 3%EA
WIDTH:140CM
WEIGHT:240G/M2</t>
  </si>
  <si>
    <t>ART.EBT160288
COMP:63%PL 34%VI 3%EA
WIDTH:140CM
WEIGHT:240G/M2</t>
  </si>
  <si>
    <t>ART.EBT160289
COMP:80%PL 13%VI 7%EA
WIDTH:140CM
WEIGHT:255G/M2</t>
  </si>
  <si>
    <t>ART.EBT160290
COMP:66%PL 33%VI 1%EA
WIDTH:140CM
WEIGHT:354G/M2</t>
  </si>
  <si>
    <t>EBT160258</t>
  </si>
  <si>
    <t>EBT160259</t>
  </si>
  <si>
    <t>ART.EBT160257
COMP:63%CO 22%PA 5%EA
WIDTH:140CM
WEIGHT:200G/M2</t>
  </si>
  <si>
    <t>ART.EBT160259
COMP:74%PL 25%CO 1%EA
WIDTH:113CM
WEIGHT:320G/M2</t>
  </si>
  <si>
    <t>EBT160291</t>
  </si>
  <si>
    <t>EBT160292</t>
  </si>
  <si>
    <t>ART.EBT160291
COMP:55%CO;40%PL;5%EA
WIDTH:154CM
WEIGHT:284G/M2</t>
  </si>
  <si>
    <t>ART.EBT160292
COMP:38%PA 55%VI 7%EA
WIDTH:155CM
WEIGHT:220G/M2</t>
  </si>
  <si>
    <t>ART.EBT160271
COMP:70%PL 15%VI 15%CO
WIDTH:155CM
WEIGHT:330G/M2</t>
  </si>
  <si>
    <t>EBT160253</t>
  </si>
  <si>
    <t>EBT160254</t>
  </si>
  <si>
    <t>EBT160255</t>
  </si>
  <si>
    <t>EBT160256</t>
  </si>
  <si>
    <t>EBT160257</t>
  </si>
  <si>
    <t>ART.EBT160253
COMP:61%CO38%PL1%EA
WIDTH:138CM
WEIGHT:245G/M2</t>
  </si>
  <si>
    <t>ART.EBT160254
COMP:73%PL26%CO1%EA
WIDTH:130CM
WEIGHT:300G/M2</t>
  </si>
  <si>
    <t>ART.EBT160255
COMP:61%CO38%PL1%EA
WIDTH:138CM
WEIGHT:255G/M2</t>
  </si>
  <si>
    <t>ART.EBT160256
COMP:38%PL61%CO1%EA
WIDTH:140CM
WEIGHT:240G/M2</t>
  </si>
  <si>
    <t>EBT160293</t>
  </si>
  <si>
    <t>EBT160294</t>
  </si>
  <si>
    <t>EBT130381</t>
  </si>
  <si>
    <t>EBT150244-475</t>
  </si>
  <si>
    <t>EBT160299</t>
  </si>
  <si>
    <t>EBT160300</t>
  </si>
  <si>
    <t>EBT160301</t>
  </si>
  <si>
    <t>EBT8352</t>
  </si>
  <si>
    <t>shipping sample
ART.91364
COMP:100%PU+100%PL
WIDTH:135CM
Client:BAP 
Date:2016-1-13</t>
  </si>
  <si>
    <t>EBT260060</t>
  </si>
  <si>
    <t>EBT260061</t>
  </si>
  <si>
    <t>EBT260062</t>
  </si>
  <si>
    <t>EBT260064</t>
  </si>
  <si>
    <t>EBT260065</t>
  </si>
  <si>
    <t>EBT260066</t>
  </si>
  <si>
    <t>EBT130508C</t>
  </si>
  <si>
    <t>EBT160296</t>
  </si>
  <si>
    <t>EBT160297</t>
  </si>
  <si>
    <t>EBT160298</t>
  </si>
  <si>
    <t>EBT160303</t>
  </si>
  <si>
    <t>EBT160107-A</t>
  </si>
  <si>
    <t>EBT160107-B</t>
  </si>
  <si>
    <t>EBT160107-C</t>
  </si>
  <si>
    <t>ART.EBT160107-A
COMP:100%PL
WIDTH:130CM
WEIGHT:G:135G/M2</t>
  </si>
  <si>
    <t>ART.EBT160107-B
COMP:100%PL
WIDTH:130CM
WEIGHT:G:135G/M2</t>
  </si>
  <si>
    <t>ART.EBT160107-C
COMP:100%PL
WIDTH:130CM
WEIGHT:G:135G/M2</t>
  </si>
  <si>
    <t>EBT160305</t>
  </si>
  <si>
    <t>EBT160307</t>
  </si>
  <si>
    <t>EBT160309</t>
  </si>
  <si>
    <t>EBT160313</t>
  </si>
  <si>
    <t>EBT160304</t>
  </si>
  <si>
    <t>EBT260067</t>
  </si>
  <si>
    <t>EBT260068</t>
  </si>
  <si>
    <t>EBT260069</t>
  </si>
  <si>
    <t>EBT260070</t>
  </si>
  <si>
    <t>EBT260071</t>
  </si>
  <si>
    <t>EBT260072</t>
  </si>
  <si>
    <t>EBT260073</t>
  </si>
  <si>
    <t>EBT260074</t>
  </si>
  <si>
    <t>EBT260075</t>
  </si>
  <si>
    <t>EBT260076</t>
  </si>
  <si>
    <t>EBT260077</t>
  </si>
  <si>
    <t>EBT260078</t>
  </si>
  <si>
    <t>EBT260079</t>
  </si>
  <si>
    <t>EBT260080</t>
  </si>
  <si>
    <t>EBT260081</t>
  </si>
  <si>
    <t>EBT260082</t>
  </si>
  <si>
    <t>EBT260083</t>
  </si>
  <si>
    <t>EBT260084</t>
  </si>
  <si>
    <t>EBT260085</t>
  </si>
  <si>
    <t>EBT260086</t>
  </si>
  <si>
    <t>EBT260087</t>
  </si>
  <si>
    <t>EBT260088</t>
  </si>
  <si>
    <t>EBT260089</t>
  </si>
  <si>
    <t>EBT260090</t>
  </si>
  <si>
    <t>EBT260091</t>
  </si>
  <si>
    <t>EBT260092</t>
  </si>
  <si>
    <t>EBT260093</t>
  </si>
  <si>
    <t>EBT260094</t>
  </si>
  <si>
    <t>EBT260095</t>
  </si>
  <si>
    <t>EBT260096</t>
  </si>
  <si>
    <t>EBT260097</t>
  </si>
  <si>
    <t>EBT260098</t>
  </si>
  <si>
    <t>EBT260099</t>
  </si>
  <si>
    <t>EBT260100</t>
  </si>
  <si>
    <t>EBT260101</t>
  </si>
  <si>
    <t>EBT260102</t>
  </si>
  <si>
    <t>EBT260103</t>
  </si>
  <si>
    <t>EBT260104</t>
  </si>
  <si>
    <t>EBT260105</t>
  </si>
  <si>
    <t>EBT260106</t>
  </si>
  <si>
    <t>EBT260107</t>
  </si>
  <si>
    <t>EBT260108</t>
  </si>
  <si>
    <t>EBT260109</t>
  </si>
  <si>
    <t>EBT260110</t>
  </si>
  <si>
    <t>EBT260111</t>
  </si>
  <si>
    <t>EBT260112</t>
  </si>
  <si>
    <t>EBT260113</t>
  </si>
  <si>
    <t>EBT260114</t>
  </si>
  <si>
    <t>EBT260115</t>
  </si>
  <si>
    <t>EBT260116</t>
  </si>
  <si>
    <t>EBT260117</t>
  </si>
  <si>
    <t>EBT260118</t>
  </si>
  <si>
    <t>EBT260119</t>
  </si>
  <si>
    <t>EBT260120</t>
  </si>
  <si>
    <t>EBT260121</t>
  </si>
  <si>
    <t>EBT260122</t>
  </si>
  <si>
    <t>EBT260123</t>
  </si>
  <si>
    <t>EBT260124</t>
  </si>
  <si>
    <t>EBT260125</t>
  </si>
  <si>
    <t>EBT260126</t>
  </si>
  <si>
    <t>EBT260127</t>
  </si>
  <si>
    <t>EBT260128</t>
  </si>
  <si>
    <t>EBT260129</t>
  </si>
  <si>
    <t>EBT260130</t>
  </si>
  <si>
    <t>EBT260131</t>
  </si>
  <si>
    <t>EBT260132</t>
  </si>
  <si>
    <t>EBT260133</t>
  </si>
  <si>
    <t>EBT260134</t>
  </si>
  <si>
    <t>EBT260136</t>
  </si>
  <si>
    <t>EBT260137</t>
  </si>
  <si>
    <t>EBT260138</t>
  </si>
  <si>
    <t>EBT260139</t>
  </si>
  <si>
    <t>EBT260140</t>
  </si>
  <si>
    <t>EBT260141</t>
  </si>
  <si>
    <t>EBT260142</t>
  </si>
  <si>
    <t>EBT260143</t>
  </si>
  <si>
    <t>EBT260144</t>
  </si>
  <si>
    <t>EBT260145</t>
  </si>
  <si>
    <t>EBT260146</t>
  </si>
  <si>
    <t>EBT260147</t>
  </si>
  <si>
    <t>EBT260148</t>
  </si>
  <si>
    <t>EBT260149</t>
  </si>
  <si>
    <t>EBT260150</t>
  </si>
  <si>
    <t>EBT260151</t>
  </si>
  <si>
    <t>EBT260152</t>
  </si>
  <si>
    <t>EBT260153</t>
  </si>
  <si>
    <t>EBT260154</t>
  </si>
  <si>
    <t>EBT260155</t>
  </si>
  <si>
    <t>EBT260156</t>
  </si>
  <si>
    <t>EBT260157</t>
  </si>
  <si>
    <t>EBT260158</t>
  </si>
  <si>
    <t>EBT260159</t>
  </si>
  <si>
    <t>EBT260160</t>
  </si>
  <si>
    <t>EBT260161</t>
  </si>
  <si>
    <t>EBT260162</t>
  </si>
  <si>
    <t>EBT260163</t>
  </si>
  <si>
    <t>EBT260164</t>
  </si>
  <si>
    <t>EBT260165</t>
  </si>
  <si>
    <t>EBT260166</t>
  </si>
  <si>
    <t>EBT260167</t>
  </si>
  <si>
    <t>ART.EBT260068
COMP:100%PL
WIDTH:145CM
WEIGHT:620G/M2</t>
  </si>
  <si>
    <t>ART.EBT260069
COMP:100%PL
WIDTH:145CM
WEIGHT:620G/M2</t>
  </si>
  <si>
    <t>ART.EBT260070
COMP:100% PL
WIDTH:140cm
WEIGHT:</t>
  </si>
  <si>
    <t>ART.EBT260071
COMP:55%CO 43%PL 2%EA
WIDTH:140CM
WEIGHT:249G/M2</t>
  </si>
  <si>
    <t>ART.EBT260072
COMP:100%CO 
WIDTH:144CM
WEIGHT:230G/M2</t>
  </si>
  <si>
    <t>ART.EBT260073
COMP:97%CO 3%EA 
WIDTH:122CM
WEIGHT:220G/M2</t>
  </si>
  <si>
    <t>ART.EBT260074
COMP:100%CO 
WIDTH:144CM
WEIGHT:199G/M2</t>
  </si>
  <si>
    <t>ART.EBT260075
COMP:100%CO 
WIDTH:144CM
WEIGHT:205G/M2</t>
  </si>
  <si>
    <t xml:space="preserve">ART.EBT260076
COMP:100%CO 
WIDTH:144CM
WEIGHT:175G/M2  </t>
  </si>
  <si>
    <t>ART.EBT260077
COMP:100%CO
WIDTH:144CM
WEIGHT:185G/M2</t>
  </si>
  <si>
    <t>ART.EBT260078
COMP:97%CO 3%EA 
WIDTH:120CM
WEIGHT:205G/M2</t>
  </si>
  <si>
    <t>ART.EBT260079
COMP:30%WO 70%PL
WIDTH:153CM
WEIGHT:670G/ML</t>
  </si>
  <si>
    <t>ART.EBT260080
COMP:70%WO 10%MOHAI 20%OTHER
WIDTH:140CM
WEIGHT:530G/ML</t>
  </si>
  <si>
    <t>ART.EBT260081
COMP:98%PL 2%EA
WIDTH:140cm
WEIGHT:400G/M2</t>
  </si>
  <si>
    <t>ART.EBT260082
COMP:100%PL
WIDTH:125cm
WEIGHT:</t>
  </si>
  <si>
    <t>ART.EBT260083
COMP:100%PL
WIDTH:125CM
WEIGHT:</t>
  </si>
  <si>
    <t>ART.EBT260084
COMP:100%CO
WIDTH:130CM
WEIGHT:</t>
  </si>
  <si>
    <t>ART.EBT260085
COMP:100%CO
WIDTH:
WEIGHT:</t>
  </si>
  <si>
    <t>ART.EBT260086
COMP:100%CO
WIDTH:130CM
WEIGHT:170G/M2</t>
  </si>
  <si>
    <t>ART.EBT260087
COMP:54%CO 43%PL 3%EA
WIDTH:137CM
WEIGHT:235G/M2</t>
  </si>
  <si>
    <t>ART.EBT260088
COMP:68%CO 27%PA 5%EA
WIDTH:143CM
WEIGHT:165G/M2</t>
  </si>
  <si>
    <t>ART.EBT260089
COMP:63%CO 22%PA 5%EA
WIDTH:145CM
WEIGHT:255G/M2</t>
  </si>
  <si>
    <t>ART.EBT260090
COMP:63%CO 22%PA 5%EA
WIDTH:144CM
WEIGHT:234G/M2</t>
  </si>
  <si>
    <t>ART.EBT260091
COMP:80%PL 20%CO
WIDTH:140CM
WEIGHT:</t>
  </si>
  <si>
    <t>ART.EBT260092
COMP:64%VI 32%PL 4%EA
WIDTH:156CM
WEIGHT:323G/ML</t>
  </si>
  <si>
    <t>ART.EBT260093
COMP:67%PL 31%CO 2%EA
WIDTH:125CM
WEIGHT:320G/M2</t>
  </si>
  <si>
    <t>ART.EBT260094
COMP:64%PL 34%VI 2%EA
WIDTH:142CM
WEIGHT:262G/M2</t>
  </si>
  <si>
    <t>ART.EBT260095
COMP:64PL 34%VI 2%EA
WIDTH:142CM
WEIGHT:236G/M2</t>
  </si>
  <si>
    <t>ART.EBT260096
COMP:64%PL 34%VI 2%EA
WIDTH:142CM
WEIGHT:240G/M2</t>
  </si>
  <si>
    <t>ART.EBT260097
COMP:64%PL 34%VI 2%EA
WIDTH:142CM
WEIGHT:274G/M2</t>
  </si>
  <si>
    <t>ART.EBT260098
COMP:64%PL 34%VI 2%EA
WIDTH:142CM
WEIGHT:265G/M2</t>
  </si>
  <si>
    <t>ART.EBT260099
COMP:94%PL 6%EA
WIDTH:142CM
WEIGHT:240G/M2</t>
  </si>
  <si>
    <t>ART.EBT260100
COMP:100%PL
WIDTH:145CM
WEIGHT:267G/M2</t>
  </si>
  <si>
    <t>ART.EBT260101
COMP:100%PL
WIDTH:135-140CM
WEIGHT:150G/M2</t>
  </si>
  <si>
    <t>ART.EBT260102
COMP:63%MODEL 37%PL
WIDTH:150CM
WEIGHT:170G/ML</t>
  </si>
  <si>
    <t>ART.EBT260103
COMP:100%PL
WIDTH:142CM
WEIGHT:112G/M2</t>
  </si>
  <si>
    <t>ART.EBT260104
COMP:100%PL
WIDTH:130CM
WEIGHT:93G/M2</t>
  </si>
  <si>
    <t>ART.EBT260105
COMP:100%PL 
WIDTH:140CM
WEIGHT:83G/M2</t>
  </si>
  <si>
    <t>ART.EBT260106
COMP:100%PL FOG FOIL 
WIDTH:134CM
WEIGHT:103G/M2</t>
  </si>
  <si>
    <t>ART.EBT260107
COMP:56%CUPRO 44%VI
WIDTH:145CM
WEIGHT:106G/M2</t>
  </si>
  <si>
    <t>ART.EBT260108
COMP:100%PL
WIDTH:145CM
WEIGHT:230G/M2</t>
  </si>
  <si>
    <t>ART.EBT260109
COMP:50%WO 43%AC 5%MH 2%PA
WIDTH:145CM 
WEIGHT:415G/M2</t>
  </si>
  <si>
    <t>ART.EBT260110
COMP:20%WO 80%OT
WIDTH:144CM
WEIGHT:500G/ML</t>
  </si>
  <si>
    <t>ART.EBT260111
COMP:35%WO 45%POL 20%AC 10%PA
WIDTH:147CM
WEIGHT:340G/M2</t>
  </si>
  <si>
    <t>ART.EBT260112
COMP:12%WO 34%VI 54%PL
WIDTH:148cm
WEIGHT:360G/M2</t>
  </si>
  <si>
    <t>ART.EBT260113
COMP:30%WO 32%CO 28%AL 5%PA 5%PL
WIDTH:145CM 
WEIGHT:420G/M2</t>
  </si>
  <si>
    <t>ART.EBT260115
COMP:94%cupro 6%EA jersey
WIDTH:160CM
WEIGHT:190-210G/M2</t>
  </si>
  <si>
    <t>ART.EBT260116
COMP:69.2%PL 17%VI 11.3%PA 2.5%EA
WIDTH:154CM
WEIGHT:408G/M2</t>
  </si>
  <si>
    <t>ART.EBT260117
COMP:100%YOCANSY
WIDTH:135CM
WEIGHT:132G/M2</t>
  </si>
  <si>
    <t>ART.EBT260118
COMP:59%VI 26%PL 15%LUREX
WIDTH:185CM
WEIGHT:160G/M2</t>
  </si>
  <si>
    <t>ART.EBT260119
COMP:20%WO 80% PL
WIDTH:142CM
WEIGHT:600G/ML</t>
  </si>
  <si>
    <t>ART.EBT260121
COMP:92%PL 8%EA
WIDTH:153CM
WEIGHT:290G/M2</t>
  </si>
  <si>
    <t>ART.EBT260123
COMP:24.4%PL 45%VI 27%PA 3.6%EA
WIDTH:162CM
WEIGHT:365G/M2</t>
  </si>
  <si>
    <t>ART.EBT260124
COMP:51.3%CO 48.7%PL 
WIDTH:165CM
WEIGHT:345G/M2</t>
  </si>
  <si>
    <t>ART.EBT260125
COMP:64%PL 34%VI 2%EA
WIDTH:142CM
WEIGHT:250G/M2</t>
  </si>
  <si>
    <t>ART.EBT260126
COMP:52%CO 45%PL 3%EA
WIDTH:138CM
WEIGHT:210G/M2</t>
  </si>
  <si>
    <t>ART.EBT260127
COMP:63% PL 33%VI 4%EA TWILL
WIDTH:144CM
WEIGHT:270-280G/M2</t>
  </si>
  <si>
    <t>ART.EBT260128
COMP:100%CO SILK FINISH
WIDTH:147CM
WEIGHT:189G/M2</t>
  </si>
  <si>
    <t>ART.EBT260129
COMP:100%CO SILK FINISH
WIDTH:143CM
WEIGHT:136G/M2</t>
  </si>
  <si>
    <t>ART.EBT260131
COMP:100%CO
WIDTH:130CM
WEIGHT:120G/M2</t>
  </si>
  <si>
    <t>ART.EBT260132
COMP:49%CO 49%PL 2%EA
WIDTH:144CM
WEIGHT:220G/M2</t>
  </si>
  <si>
    <t>ART.EBT260133
COMP:95%PL 5%VI
WIDTH:147CM
WEIGHT:400G/M2</t>
  </si>
  <si>
    <t>ART.EBT260134
COMP:100%CO
WIDTH:144CM
WEIGHT:120G/M2</t>
  </si>
  <si>
    <t>ART.EBT260136
COMP:F:80%PL 20%VI G:65%PL 35%VI
WIDTH:152CM
WEIGHT:460G/M2</t>
  </si>
  <si>
    <t>ART.EBT260137
COMP:F:59%PL 41%VI G:65%PL 35%VI
WIDTH:150CM
WEIGHT:488G/M2</t>
  </si>
  <si>
    <t>ART.EBT260138
COMP:F:85%PL 13%VI 2%EA G:65%PL 35%VI
WIDTH:145CM
WEIGHT:385G/M2</t>
  </si>
  <si>
    <t>ART.EBT260139
COMP:100%CO 
WIDTH:144CM
WEIGHT:140G/M2</t>
  </si>
  <si>
    <t>ART.EBT260140
COMP:95%CO 5%EA
WIDTH:122CM
WEIGHT:222G/M2</t>
  </si>
  <si>
    <t>ART.EBT260141
COMP:100%CO
WIDTH:146CM
WEIGHT:140G/M2</t>
  </si>
  <si>
    <t>ART.EBT260142
COMP:53%VI 47%PL
WIDTH:162CM 
WEIGHT:344G/M2</t>
  </si>
  <si>
    <t>ART.EBT260143
COMP:94%PL 6%EA
WIDTH:150CM
WEIGHT:250-260G/M2</t>
  </si>
  <si>
    <t>ART.EBT260144
COMP:51%VI 49%PL
WIDTH:175CM
WEIGHT:235G/M2</t>
  </si>
  <si>
    <t>ART.EBT260145
COMP:60%VI 35%PL 5%EA
WIDTH:149CM
WEIGHT:260G/M2</t>
  </si>
  <si>
    <t>ART.EBT260146
COMP:60%VI 35%PA 5%EA
WIDTH:158CM
WEIGHT:260G/M2</t>
  </si>
  <si>
    <t>ART.EBT260147
COMP:98%PL 2%EA
WIDTH:169CM
WEIGHT:305-315G/M2</t>
  </si>
  <si>
    <t>ART.EBT260148
COMP:98%PL 2%EA
WIDTH:147CM
WEIGHT:261G/M2</t>
  </si>
  <si>
    <t>ART.EBT260149
COMP:84%PL 14%VI 2%EA
WIDTH:160CM
WEIGHT:265G/M2</t>
  </si>
  <si>
    <t>ART.EBT260150
COMP:98%PL 2%EA
WIDTH:160CM
WEIGHT:245G/M2</t>
  </si>
  <si>
    <t>ART.EBT260151
COMP:84%PL 14%VI 2%EA
WIDTH:162CM
WEIGHT:220-230G/M2</t>
  </si>
  <si>
    <t>ART.EBT260152
COMP:97%PL 3%EA
WIDTH:153CM 
WEIGHT:280G/M2</t>
  </si>
  <si>
    <t>ART.EBT260153
COMP:F:83%PL 17%VI G:65%PL 35%VI
WIDTH:152CM
WEIGHT:430G/M2</t>
  </si>
  <si>
    <t>ART.EBT260154
COMP:F:80%PL 20%VI G:95%PL 5%EA
WIDTH:152CM
WEIGHT:556G/M2</t>
  </si>
  <si>
    <t>ART.EBT260155
COMP:F:59 %PL 41%VI G:95%PL 5%EA
WIDTH:152CM
WEIGHT:562G/M2</t>
  </si>
  <si>
    <t>ART.EBT260156
COMP:F:85 %PL 13%VI 2%EA G:95%PL 5%EA
WIDTH:148CM
WEIGHT:463G/M2</t>
  </si>
  <si>
    <t>ART.EBT260157
COMP:F:35 %PL 60%VI 5%EA G:95%PL 5%EA
WIDTH:152CM
WEIGHT:490G/M2</t>
  </si>
  <si>
    <t>ART.EBT260158
COMP:F:35 %PL 60%VI 5%EA G:65%PL 35%VI
WIDTH:152CM
WEIGHT:469G/M2</t>
  </si>
  <si>
    <t>ART.EBT260159
COMP:F:49%PL 51%VI G:95%PL 5%EA
WIDTH:155CM
WEIGHT:420G/M2</t>
  </si>
  <si>
    <t>ART.EBT260160
COMP:F:49%PL 51%VI G:65%PL 35%VI
WIDTH:166CM
WEIGHT:409G/M2</t>
  </si>
  <si>
    <t>ART.EBT260161
COMP:64%PL 34.5%VI 1.5%EA
WIDTH:152CM
WEIGHT:265G/M2</t>
  </si>
  <si>
    <t>ART.EBT260162
COMP:96%PL 4%CO 1%EA
WIDTH:150CN
WEIGHT:255G/M2</t>
  </si>
  <si>
    <t>ART.EBT260163
COMP:83.5%PL 14.5%VI 2%EA
WIDTH:155CM
WEIGHT:370G/M2</t>
  </si>
  <si>
    <t>ART.EBT260164
COMP:71%VI 24%PA 5%EA
WIDTH:160CM
WEIGHT:430G/M2</t>
  </si>
  <si>
    <t>ART.EBT260165
COMP:71.5%VI 15.8%NY 9.6%PL 3.1%EA
WIDTH:162CM
WEIGHT:490G/M2</t>
  </si>
  <si>
    <t>ART.EBT260166
COMP:45%SILK 55%VI
WIDTH:130CM
WEIGHT:89G/M2(17.8MM-130)</t>
  </si>
  <si>
    <t>EBT160306</t>
  </si>
  <si>
    <t>EBT160308</t>
  </si>
  <si>
    <t>ART.EBT160306
COMP:F:59%PL 41%CO G:PL 65%VI 35%
WIDTH:138CM
WEIGHT:335G/M2</t>
  </si>
  <si>
    <t>ART.EBT160308
COMP:F:97%CO 3%EA G:65%PL 35%VI
WIDTH:142CM
WEIGHT:390G/M2</t>
  </si>
  <si>
    <t>ART.EBT160307
COMP:F:74%VI 26%EA G:94%PL 6%EA
WIDTH:144CM
WEIGHT:410G/M2</t>
  </si>
  <si>
    <t>ART.EBT160309
COMP:F:95%PL 5%EA+G:94%PL 6%EA
WIDTH:144CM
WEIGHT:360G/M2</t>
  </si>
  <si>
    <t>EBT160312</t>
  </si>
  <si>
    <t>EBT160314</t>
  </si>
  <si>
    <t>EBT160315</t>
  </si>
  <si>
    <t>EBT160316</t>
  </si>
  <si>
    <t>EBT160310</t>
  </si>
  <si>
    <t>EBT160311</t>
  </si>
  <si>
    <t xml:space="preserve">Shipping sample
</t>
    <phoneticPr fontId="51" type="noConversion"/>
  </si>
  <si>
    <t>EBT160317</t>
  </si>
  <si>
    <t>EBT160318</t>
  </si>
  <si>
    <t>EBT160319</t>
  </si>
  <si>
    <t>EBT160125</t>
  </si>
  <si>
    <t>EBT160320</t>
  </si>
  <si>
    <t>EBT160321</t>
  </si>
  <si>
    <t>EBT160322</t>
  </si>
  <si>
    <t>EBT160323</t>
  </si>
  <si>
    <t>EBT160324</t>
  </si>
  <si>
    <t>EBT160325</t>
  </si>
  <si>
    <t>EBT160326</t>
  </si>
  <si>
    <t>EBT160327</t>
  </si>
  <si>
    <t>ART.EBT160320
COMP:100%CO
WIDTH:130CM
WEIGHT:137G/M2</t>
  </si>
  <si>
    <t>ART.EBT160321
COMP:100%CO
WIDTH:130CM
WEIGHT:112G/M2</t>
  </si>
  <si>
    <t>ART.EBT160322
COMP:100%CO
WIDTH:130CM
WEIGHT:139G/M2</t>
  </si>
  <si>
    <t>ART.EBT160323
COMP:50%CO 36%WO 14%PL
WIDTH:142CM
WEIGHT:400G/M2</t>
  </si>
  <si>
    <t>ART.EBT160324
COMP:52%PA 48%VI
WIDTH:100CM
WEIGHT:65G/M2</t>
  </si>
  <si>
    <t>ART.EBT160325
COMP:52%PA 48%VI
WIDTH:120CM
WEIGHT:64G/M2</t>
  </si>
  <si>
    <t>ART.EBT160326
COMP:100%PL
WIDTH:128CM
WEIGHT:190G/M2</t>
  </si>
  <si>
    <t>ART.EBT160327
COMP:73%PL 25%VI 2%EA
WIDTH:140CM
WEIGHT:330G/M2</t>
  </si>
  <si>
    <t>EBT160328</t>
  </si>
  <si>
    <t>EBT260178</t>
  </si>
  <si>
    <t>EBT260179</t>
  </si>
  <si>
    <t>EBT260180</t>
  </si>
  <si>
    <t>EBT260181</t>
  </si>
  <si>
    <t>EBT260182</t>
  </si>
  <si>
    <t>EBT260183</t>
  </si>
  <si>
    <t>EBT260184</t>
  </si>
  <si>
    <t>ART.EBT260182
COMP:100%CO EMB:100%PL
WIDTH:125CM
WEIGHT:</t>
  </si>
  <si>
    <t>ART.EBT260183
COMP:100%CO EMB:100%PL
WIDTH:125CM
WEIGHT:</t>
  </si>
  <si>
    <t>ART.EBT260184
COMP:100%CO EMB:100%PL
WIDTH:125CM
WEIGHT:</t>
  </si>
  <si>
    <t>EBT260168</t>
  </si>
  <si>
    <t>EBT260169</t>
  </si>
  <si>
    <t>EBT260170</t>
  </si>
  <si>
    <t>EBT260171</t>
  </si>
  <si>
    <t>EBT260172</t>
  </si>
  <si>
    <t>EBT260173</t>
  </si>
  <si>
    <t>EBT260174</t>
  </si>
  <si>
    <t>EBT260175</t>
  </si>
  <si>
    <t>EBT260176</t>
  </si>
  <si>
    <t>EBT260177</t>
  </si>
  <si>
    <t>EBT120062</t>
  </si>
  <si>
    <t>EBT160329</t>
  </si>
  <si>
    <t>EBT160330</t>
  </si>
  <si>
    <t>EBT160331</t>
  </si>
  <si>
    <t>EBT160332</t>
  </si>
  <si>
    <t>EBT160333</t>
  </si>
  <si>
    <t>EBT160334</t>
  </si>
  <si>
    <t>EBT160335</t>
  </si>
  <si>
    <t>ART.</t>
    <phoneticPr fontId="52" type="noConversion"/>
  </si>
  <si>
    <t>EBT160336</t>
  </si>
  <si>
    <t>EBT160337</t>
  </si>
  <si>
    <t>ART.EBT160337
COMP:95%PL 5%EA
WIDTH:130CM
WEIGHT:G:254G/M2</t>
  </si>
  <si>
    <t>ART.EBT160191
COMP:95%PL 5%EA
WIDTH:135CM
WEIGHT:G:254G/M2</t>
  </si>
  <si>
    <t>EBT160338</t>
  </si>
  <si>
    <t>EBT260185</t>
  </si>
  <si>
    <t>EBT260186</t>
  </si>
  <si>
    <t>EBT260187A</t>
  </si>
  <si>
    <t>EBT260187B</t>
  </si>
  <si>
    <t>EBT260188</t>
  </si>
  <si>
    <t>EBT260189</t>
  </si>
  <si>
    <t>EBT260190</t>
  </si>
  <si>
    <t>ART.EBT260189
COMP:36% WO 58%PC 6%PA
WIDTH:145CM
WEIGHT:460G/M2</t>
  </si>
  <si>
    <t>EBT160339</t>
  </si>
  <si>
    <t>EBT160340</t>
  </si>
  <si>
    <t>EBT160346</t>
  </si>
  <si>
    <t>EBT160347</t>
  </si>
  <si>
    <t>EBT160349</t>
  </si>
  <si>
    <t>EBT160341</t>
  </si>
  <si>
    <t>EBT160342</t>
  </si>
  <si>
    <t>EBT160343</t>
  </si>
  <si>
    <t>EBT160344</t>
  </si>
  <si>
    <t>EBT160345</t>
  </si>
  <si>
    <t>ART.EBT160345
COMP:100%PC 
WIDTH:145CM
WEIGHT:800G/M</t>
  </si>
  <si>
    <t>EBT160350</t>
  </si>
  <si>
    <t>EBT160351</t>
  </si>
  <si>
    <t>ART.EBT160350
COMP:82%PL 15%VI 3%EA
WIDTH:140CM
WEIGHT:250G/M2</t>
  </si>
  <si>
    <t>ART.EBT160351
COMP:100%PL
WIDTH:140CM
WEIGHT:235G/M2</t>
  </si>
  <si>
    <t>EBT160354</t>
  </si>
  <si>
    <t>EBT160355</t>
  </si>
  <si>
    <t>EBT160356</t>
  </si>
  <si>
    <t>ART.EBT250149
COMP:76%VI 24%LI
WIDTH:145CM
WEIGHT:128G/M2</t>
  </si>
  <si>
    <t>ART.EBT250154
COMP:66%VI 34%LI
WIDTH:150CM
WEIGHT:157G/M2</t>
  </si>
  <si>
    <t>ART.EBT250185
COMP:100%VI
WIDTH:145CM
WEIGHT:193G/M2</t>
  </si>
  <si>
    <t>ART.EBT150048
COMP:80%PL 20%CO
WIDTH:150CM
WEIGHT:150G/M</t>
  </si>
  <si>
    <t>ART.EBT150077
COMP:95%VI 5%EA
WIDTH:135CM
WEIGHT:247G/M2</t>
  </si>
  <si>
    <t>ART.EBT150079
COMP:95%VI 5%EA
WIDTH:133CM
WEIGHT:236G/M2</t>
  </si>
  <si>
    <t>ART.EBT150091
COMP:100%CO
WIDTH:150CM
WEIGHT:415G/M2</t>
  </si>
  <si>
    <t>ART.EBT150103
COMP:43%PL 55%CO 2%PC 
WIDTH:58"
WEIGHT:305G/M2</t>
  </si>
  <si>
    <t>ART.EBT150150
COMP:100%VI
WIDTH:131CM
WEIGHT:117G/M2</t>
  </si>
  <si>
    <t>ART.EBT150156
COMP:100%VI
WIDTH:124CM
WEIGHT:112G/M2</t>
  </si>
  <si>
    <t>ART.EBT150243
COMP:F:63%PL 33%VI 4%EA G:97%PL 3%EA
WIDTH:143CM
WEIGHT:382G/M2</t>
  </si>
  <si>
    <t>ART.EBT150369
COMP:100%CO
WIDTH:130CM
WEIGHT:</t>
  </si>
  <si>
    <t>ART.EBT150399
COMP:47%PA 38%CO 15%VI
WIDTH:140CM
WEIGHT:130G/M</t>
  </si>
  <si>
    <t>ART.EBT150400
COMP:19.2%PA 24.3%CO 56.5%VI
WIDTH:54-56
WEIGHT:222G/M</t>
  </si>
  <si>
    <t>ART.EBT150402
COMP:30%PA 70%VI 
WIDTH:50/52"
WEIGHT:290G/M</t>
  </si>
  <si>
    <t>ART.EBT150466
COMP:50%PL40%AC10%NY
WIDTH:145CM
WEIGHT:280G/M2</t>
  </si>
  <si>
    <t>ART.EBT150480
COMP:44%PL 56%CO
WIDTH:54"
WEIGHT:285G/M2</t>
  </si>
  <si>
    <t>ART.EBT150502-A
COMP:G:100%PL F:100%PU EMB:100%PL
WIDTH:115CM
WEIGHT:</t>
  </si>
  <si>
    <t>ART.EBT150643
COMP:85%VI 15%PL
WIDTH:81"
WEIGHT:200G/M2</t>
  </si>
  <si>
    <t>ART.EBT150645
COMP:100%PL
WIDTH:58/60"
WEIGHT:280G/M2</t>
  </si>
  <si>
    <t>ART.EBT150647
COMP:F:100%PL 
G:95%POLY 5%EA
WIDTH:146CM
WEIGHT:362G/M2</t>
  </si>
  <si>
    <t>ART.EBT150788
COMP:G:100%VI EMB:100%VI
WIDTH:120CM
WEIGHT:</t>
  </si>
  <si>
    <t>ART.EBT150805
COMP:100%VI
WIDTH:46"47"
WEIGHT:215G/M2</t>
  </si>
  <si>
    <t>ART.EBT150878
COMP:95%PL 5%EA
WIDTH:150CM
WEIGHT:210-220g/m2</t>
  </si>
  <si>
    <t>ART.EBT150891
COMP:100%PL
WIDTH:57/58"
WEIGHT:207G/M2</t>
  </si>
  <si>
    <t>ART.EBT150895
COMP:100%PC
WIDTH:150CM
WEIGHT:980G/M2</t>
  </si>
  <si>
    <t>ART.EBT140102
COMP:100%PC
WIDTH:150CM
WEIGHT:1070G/M</t>
  </si>
  <si>
    <t>ART.EBT140243
COMP:F:95%PL 5%EA
G:84%NYLON 16%EA
WIDTH:145CM
WEIGHT:322G/M2</t>
  </si>
  <si>
    <t>ART.EBT140421
COMP:50%PL 49%CO 1%EA
WIDTH:56"
WEIGHT:160G/M2</t>
  </si>
  <si>
    <t>ART.EBT140439
COMP:100%VI
WIDTH:54"
WEIGHT:91G/M2</t>
  </si>
  <si>
    <t>ART.EBT140515
COMP:100%VI
WIDTH:59"
WEIGHT:119G/M2</t>
  </si>
  <si>
    <t>ART.EBT140516
COMP:10%L 90%CO
SOFT FINISH
WIDTH:140CM
WEIGHT:75-85G/M2</t>
  </si>
  <si>
    <t>ART.EBT140613
COMP:100%VI
WIDTH:58"
WEIGHT:167G/M2</t>
  </si>
  <si>
    <t>ART.EBT140614
COMP:100%VI
WIDTH:59"
WEIGHT:134G/M2</t>
  </si>
  <si>
    <t>ART.EBT140616-Print
COMP:100%VI
WIDTH:53/54"
WEIGHT:184/M2</t>
  </si>
  <si>
    <t>ART.EBT140624
COMP:100%VI
WIDTH:54"
WEIGHT:178G/M2</t>
  </si>
  <si>
    <t>ART.EBT140631
COMP:38%PL 61%CO 1%EA
WIDTH:57"
WEIGHT:255G/M2</t>
  </si>
  <si>
    <t>ART.EBT140670-JR
COMP:100%VI
WIDTH:53/54"
WEIGHT:123G/M2</t>
  </si>
  <si>
    <t>ART.EBT140673
COMP:100%VI
WIDTH:57/58"
WEIGHT:100G/M2</t>
  </si>
  <si>
    <t>ART.EBT140678
COMP:20%PU 80%PL
WIDTH:130CM
WEIGHT:270G/M2</t>
  </si>
  <si>
    <t>ART.EBT140684
COMP:100%VI
WIDTH:53/54"
WEIGHT:186G/M2</t>
  </si>
  <si>
    <t>ART.EBT140686
COMP:100%VI
WIDTH:53/54"
WEIGHT:137G/M2</t>
  </si>
  <si>
    <t>ART.EBT140687
COMP:100%VI
WIDTH:43/44"
WEIGHT:139G/M2</t>
  </si>
  <si>
    <t>ART.EBT140688
COMP:100%VI
WIDTH:53/54"
WEIGHT:130G/M2</t>
  </si>
  <si>
    <t>ART.EBT140689
COMP:100%VI
WIDTH:48/50"
WEIGHT:126G/M2</t>
  </si>
  <si>
    <t>ART.EBT140690
COMP:100%VI
WIDTH:53/54"
WEIGHT:150G/M2</t>
  </si>
  <si>
    <t>ART.EBT140691
COMP:100%VI
WIDTH:53/54"
WEIGHT:173G/M2</t>
  </si>
  <si>
    <t>ART.EBT140693
COMP:100%VI
WIDTH:53/54"
WEIGHT:143G/M2</t>
  </si>
  <si>
    <t>ART.EBT140696
COMP:100%VI
WIDTH:57/58"
WEIGHT:110G/M2</t>
  </si>
  <si>
    <t>ART.EBT140697
COMP:100%VI
WIDTH:49"
WEIGHT:140G/M2</t>
  </si>
  <si>
    <t>ART.EBT140698
COMP:100%VI
WIDTH:52/53"
WEIGHT:135G/M2</t>
  </si>
  <si>
    <t>ART.EBT140699
COMP:100%VI
WIDTH:59"
WEIGHT:135G/M2</t>
  </si>
  <si>
    <t>ART.EBT140700
COMP:100%VI
WIDTH:50"
WEIGHT:145G/M2</t>
  </si>
  <si>
    <t>ART.EBT140705
COMP:100%VI
WIDTH:52/53"
WEIGHT:135G/M2</t>
  </si>
  <si>
    <t>ART.EBT140706
COMP:100%VI
WIDTH:50"
WEIGHT:200G/M2</t>
  </si>
  <si>
    <t>ART.EBT140713
COMP:100%VI
WIDTH:135CM
WEIGHT:100G/M2</t>
  </si>
  <si>
    <t>ART.EBT140866
COMP:F:70%PL 30%VI
G:97%PL 3%EA
WIDTH:58/59"
WEIGHT:423G/M2</t>
  </si>
  <si>
    <t>ART.EBT140915
COMP:55%wool 33%PL12%PC
WIDTH:145CM
WEIGHT:380G/SM</t>
  </si>
  <si>
    <t>ART.EBT140937
COMP:99.5%PL 0.5%LUREX
WIDTH:57/58"
WEIGHT:150G/M2</t>
  </si>
  <si>
    <t>ART.EBTBRT705
COMP:100%PC
WIDTH:150CM
WEIGHT:1070G/M</t>
  </si>
  <si>
    <t>ART.EBT130913
COMP:100%PL
WIDTH:57/58"
WEIGHT:205G/M2</t>
  </si>
  <si>
    <t>ART.EBT150943
COMP:30%PL 70%PC
WIDTH:150cm
WEIGHT:860g/m</t>
  </si>
  <si>
    <t>ART.EBT130854
COMP:29%PA72%VI
WIDTH:56/57''
WEIGHT:130G/M2</t>
  </si>
  <si>
    <t>ART.EBT140198
COMP:F:100%PU G:100%PL
WIDTH:134CM
WEIGHT:235G/M2</t>
  </si>
  <si>
    <t>ART.EBT150502-B
COMP:G:100%PL F:100%PU EMB:100%PL
WIDTH:115CM
WEIGHT:</t>
  </si>
  <si>
    <t>ART.EBT150502-B
COMP:100%PL 100%PU
WIDTH:115CM
WEIGHT:</t>
  </si>
  <si>
    <t>ART.EBT250634
COMP:100%VI
WIDTH:132CM
WEIGHT:123G/M2</t>
  </si>
  <si>
    <t>ART.EBT250635
COMP:100%VI
WIDTH:140-142CM
WEIGHT:125G/M2</t>
  </si>
  <si>
    <t>ART.EBT250636
COMP:100%VI
WIDTH:138-140CM
WEIGHT:110G/M2</t>
  </si>
  <si>
    <t>ART.EBT250639
COMP:100%VI
WIDTH:126CM
WEIGHT:160G/M2</t>
  </si>
  <si>
    <t>ART.EBT250641
COMP:100%VI
WIDTH:135CM
WEIGHT:115-120G/M2</t>
  </si>
  <si>
    <t>ART.EBT151102
COMP:Lace:10%VI90%PA G:80%VI 20%WO
WIDTH:46"
WEIGHT:345G/M</t>
  </si>
  <si>
    <t>ART.EBT250708
COMP:21%PA 73%VI  6%PL
WIDTH:160CM
WEIGHT:115G/M2</t>
  </si>
  <si>
    <t>ART.EBT250709
COMP:21%PA 73%VI  6%PL 
WIDTH:160CM
WEIGHT:121G/M2</t>
  </si>
  <si>
    <t>ART.EBT250710
COMP:21%PA 73%VI 6%PL
WIDTH:160CM
WEIGHT:115G/M2</t>
  </si>
  <si>
    <t>ART.EBT250719
COMP:95%PL 5%EA
WIDTH:138CM
WEIGHT:260G/M2</t>
  </si>
  <si>
    <t xml:space="preserve">ART.EBT151268
COMP:59%PL 37%VI 4%EA
WIDTH:140cm
WEIGHT:260G/M2 </t>
  </si>
  <si>
    <t>ART.EBT140243 POLY
COMP:
F:96%PL 6%EA G:84%PL 16%EA
WIDTH:142CM
WEIGHT:315G/M2</t>
  </si>
  <si>
    <t>ART.EBT160011
COMP:42%CO 32%VI 22%PL 4%EA
WIDTH:130CM
WEIGHT:230G/M2</t>
  </si>
  <si>
    <t>ART.EBT160012
COMP:42%CO 32%VI 22%PL 4%EA
WIDTH:130CM
WEIGHT:230G/M2</t>
  </si>
  <si>
    <t>ART.EBT160013
COMP:42%CO 32%VI 22%PL 4%EA
WIDTH:130CM
WEIGHT:230G/M2</t>
  </si>
  <si>
    <t>ART.EBT160014
COMP:42%CO 32%VI 22%PL 4%EA
WIDTH:130CM
WEIGHT:230G/M2</t>
  </si>
  <si>
    <t>ART.EBT160015
COMP:42%CO 32%VI 22%PL 4%EA
WIDTH:130CM
WEIGHT:230G/M2</t>
  </si>
  <si>
    <t>ART.EBT160016
COMP:42%CO 32%VI 22%PL 4%EA
WIDTH:130CM
WEIGHT:230G/M2</t>
  </si>
  <si>
    <t>ART.EBT160043
COMP:F:65%PA35%CO;G:100%PL
WIDTH:135CM
WEIGHT:250G/M2</t>
  </si>
  <si>
    <t>ART.EBT151265
COMP:54%PL46%VI
WIDTH:142CM
WEIGHT:170G/M2</t>
  </si>
  <si>
    <t>ART.EBT151274
COMP:91%PL 9%EA
WIDTH:145CM
WEIGHT:260G/M2</t>
  </si>
  <si>
    <t>ART.EBT120026
COMP:100%PA
WIDTH:154CM  
WEIGHT:106G/M</t>
  </si>
  <si>
    <t>ART.EBT160049
COMP:EMB:100%CO G:100%PA
WIDTH:122CM
WEIGHT:</t>
  </si>
  <si>
    <t>ART.EBT10620-GY-coating
COMP:100%LINEN
WIDTH:55/56"
WEIGHT:200G/M2</t>
  </si>
  <si>
    <t>ART.EBTBRT995
COMP:F:95%PL 5%EA G:95%PL 5%EA
WIDTH:142CM
WEIGHT:440G/M2</t>
  </si>
  <si>
    <t>ART.EBT160050
COMP:10%WO80%PL10%OTHERS
WIDTH:144CM
WEIGHT:410G/M2</t>
  </si>
  <si>
    <t>ART.EBT160051
COMP:10%WO90%PL
WIDTH:144CM
WEIGHT:300G/M2</t>
  </si>
  <si>
    <t>ART.EBT160059
COMP:12%VI 79%PL 9%PA
WIDTH:137CM
WEIGHT:135G/M2</t>
  </si>
  <si>
    <t>ART.EBT101318
COMP:97%CO 3%EA
WIDTH:56/57"
WEIGHT:170G/M2</t>
  </si>
  <si>
    <t>ART.EBT250543
COMP:52%WO 10%WM 26%CO 12%PA
WIDTH:150cm
WEIGHT:580G/ML</t>
  </si>
  <si>
    <t>ART.EBT160060
COMP:100%PL
WIDTH:147CM
WEIGHT:308G/M2</t>
  </si>
  <si>
    <t>ART.EBT160062
COMP:100%PC
WIDTH:146CM
WEIGHT:931G/M</t>
  </si>
  <si>
    <t>ART.EBT160063
COMP:64%PL 33%VI 3%EA
WIDTH:54/55"
WEIGHT:310G/M2</t>
  </si>
  <si>
    <t>ART.EBT151224
COMP:F:100%PU G:90%PL 10%EA
WIDTH:132CM
WEIGHT:</t>
  </si>
  <si>
    <t>ART.EBT151289-JR
COMP:95%PL 5%EA
WIDTH:144CM
WEIGHT:340G/M2</t>
  </si>
  <si>
    <t>ART.EBT151289-380
COMP:95%PL 5%EA
WIDTH:144CM
WEIGHT:380G/M2</t>
  </si>
  <si>
    <t>ART.EBT151289
COMP:95%PL 5%EA
WIDTH:144CM
WEIGHT:340G/M2</t>
  </si>
  <si>
    <t>ART.EBT160035
COMP:G:95%PL 5%EA
WIDTH:128CM
WEIGHT:300G/M2</t>
  </si>
  <si>
    <t>ART.EBT160036
COMP:G:95%PL 5%EA
WIDTH:128CM
WEIGHT:300G/M2</t>
  </si>
  <si>
    <t>ART.EBT160064
COMP:61%PL 36%CO 3%EA
WIDTH:135cm
WEIGHT:180G/M2</t>
  </si>
  <si>
    <t>ART.EBT160065
COMP:61%PL 36%CO 3%EA
WIDTH:137cm
WEIGHT:180G/M2</t>
  </si>
  <si>
    <t>ART.EBT160069
COMP:40%PL 58%CO 2%EA
WIDTH:145CM
WEIGHT:215G/M2</t>
  </si>
  <si>
    <t>ART.EBT160070
COMP:70%CO 30%EA
WIDTH:140CM
WEIGHT:325G/M2</t>
  </si>
  <si>
    <t>ART.EBT120508
COMP:30%WO70%PL
WIDTH:58/59"
WEIGHT:290G/M</t>
  </si>
  <si>
    <t>ART.EBT160073
COMP:55%CO 45%PA
WIDTH:144CM
WEIGHT:158G/M2</t>
  </si>
  <si>
    <t>ART.EBT160074
COMP:55%CO 45%PA
WIDTH:144CM
WEIGHT:138G/M2</t>
  </si>
  <si>
    <t>ART.EBT160075
COMP:100%PA
WIDTH:142CM
WEIGHT:120G/M2</t>
  </si>
  <si>
    <t>ART.EBT140866-335
COMP:F:70%PL 30%VI
G:97%PL 3%EA
WIDTH:58/59"
WEIGHT:335G/M2</t>
  </si>
  <si>
    <t>ART.EBT160076
COMP:86%CO 14%PA
WIDTH:140CM
WEIGHT:178G/M2</t>
  </si>
  <si>
    <t>ART.EBT160077
COMP:100%PA
WIDTH:144CM
WEIGHT:45G/M2</t>
  </si>
  <si>
    <t>ART.EBT160078
COMP:100%PA
WIDTH:144CM
WEIGHT:34G/M2</t>
  </si>
  <si>
    <t>ART.EBT160081
COMP:100%PA
WIDTH:8CM
WEIGHT:</t>
  </si>
  <si>
    <t>ART.EBT160084
COMP:100%PL
WIDTH:125CM
WEIGHT:275G/M2</t>
  </si>
  <si>
    <t>ART.EBT160092
COMP:100%PL
WIDTH:125CM
WEIGHT:</t>
  </si>
  <si>
    <t>ART.EBT160093
COMP:100%PA
WIDTH:125CM
WEIGHT:</t>
  </si>
  <si>
    <t>ART.EBT160094
COMP:100%PA
WIDTH:125CM
WEIGHT:</t>
  </si>
  <si>
    <t>ART.EBT160095
COMP:100%PL
WIDTH:125CM
WEIGHT:</t>
  </si>
  <si>
    <t>ART.EBT160096
COMP:100%PL
WIDTH:125CM
WEIGHT:</t>
  </si>
  <si>
    <t>ART.EBT160089
COMP:82%CO 18%PA
WIDTH:140CM
WEIGHT:175G/M2</t>
  </si>
  <si>
    <t>ART.EBT160090
COMP:87%PL 10%VI 3%EA
WIDTH:145CM
WEIGHT:220G/M2</t>
  </si>
  <si>
    <t>ART.EBT160091
COMP:87%PL 10%VI 3%EA
WIDTH:145CM
WEIGHT:217G/M2</t>
  </si>
  <si>
    <t>ART.EBT160079
COMP:95%SE5%ME
WIDTH:138CM
WEIGHT:32G/M2</t>
  </si>
  <si>
    <t>ART.EBT160080
COMP:95%SE5%ME
WIDTH:138CM
WEIGHT:32G/M2</t>
  </si>
  <si>
    <t>ART.EBT160097
COMP:27%SE 50%CO23%ME
WIDTH:138CM
WEIGHT:49G/M2</t>
  </si>
  <si>
    <t>ART.EBT260049B
COMP:F:63%PL 33%VI 4%SP G:95%PL 5%EA 
WIDTH:144CM
WEIGHT:544G/M2</t>
  </si>
  <si>
    <t>ART.EBT260050
COMP:95%PA 5%EA
WIDTH:145CM
WEIGHT:220G/M2</t>
  </si>
  <si>
    <t>ART.EBT260051
COMP:90%PA 10%EA
WIDTH:142CM
WEIGHT:280G/M2</t>
  </si>
  <si>
    <t>ART.EBT260052
COMP:95%CO 5%EA
WIDTH:130CM
WEIGHT:286G/M2</t>
  </si>
  <si>
    <t>ART.EBT260053
COMP:94%CO 6%EA 
WIDTH:135CM
WEIGHT:268G/M2</t>
  </si>
  <si>
    <t>ART.EBT260054
COMP:86%PA 14%EA
WIDTH:140CM
WEIGHT:224G/M2</t>
  </si>
  <si>
    <t>ART.EBT260055
COMP:52%CO 44%VI 4%EA
WIDTH:130CM
WEIGHT:282G/M2</t>
  </si>
  <si>
    <t>ART.EBT260056
COMP:94%CO 6%EA
WIDTH:130CM
WEIGHT:280G/M2</t>
  </si>
  <si>
    <t>ART.EBT260057
COMP:94%CO 6%EA
WIDTH:138CM
WEIGHT:285G/M2</t>
  </si>
  <si>
    <t>ART.EBT260058
COMP:58%L 40%VI 2% EA  
WIDTH:112cm
WEIGHT:157G/M2</t>
  </si>
  <si>
    <t>ART.EBT260059
COMP:64%LINEN 36%CO 
WIDTH:57/58"
WEIGHT:317G/M2</t>
  </si>
  <si>
    <t>ART.EBT160105
COMP:96%PL 4%EA
WIDTH:145CM
WEIGHT:220G/M2</t>
  </si>
  <si>
    <t>ART.EBT260063
COMP:100%VI
WIDTH:57/58"
WEIGHT:85G/M2</t>
  </si>
  <si>
    <t>ART.EBT160106
COMP:F:65%C 35%PA G:100%PU
WIDTH:130CM
WEIGHT:210G/M2</t>
  </si>
  <si>
    <t xml:space="preserve">ART.EBT151268-GT
COMP:62%pPL 36%VI 2%EA
WIDTH:140cm
WEIGHT:255G/M2 </t>
  </si>
  <si>
    <t>ART.EBT160117
COMP:82%CO 18%PA
WIDTH:145CM
WEIGHT:108G/MS</t>
  </si>
  <si>
    <t>ART.EBT160118
COMP:95%PL 5%EA
WIDTH:148CM
WEIGHT:254G/M2</t>
  </si>
  <si>
    <t>ART.EBT160119
COMP:95%PL 5%EA
WIDTH:143CM
WEIGHT:280G/M2</t>
  </si>
  <si>
    <t>ART.EBT160120
COMP:85%PL 15%VI
WIDTH:154CM
WEIGHT:212G/M2</t>
  </si>
  <si>
    <t>ART.EBT160115
COMP:60%PA 40%VI
WIDTH:144CM
WEIGHT:165G/M2</t>
  </si>
  <si>
    <t>ART.EBT160113
COMP:100%PL
WIDTH:142CM
WEIGHT:80G/M2</t>
  </si>
  <si>
    <t>ART.EBT160122
COMP:98%PL 2%EA
WIDTH:145CM
WEIGHT:325G/M2</t>
  </si>
  <si>
    <t>ART.EBT160139
COMP:34.7%VI 34%PA 31.3CO
WIDTH:144CM
WEIGHT:235G/M</t>
  </si>
  <si>
    <t>ART.EBT160150
COMP:36.2%PA 32.1%VI  31.7%CO
WIDTH:140CM
WEIGHT:202G/M</t>
  </si>
  <si>
    <t>ART.EBT160151
COMP:58.8%VI 19.3%CO 21.9%PA
WIDTH:140CM
WEIGHT:250G/M</t>
  </si>
  <si>
    <t>ART.EBT160152
COMP:15.8%PA 66.7%VI 17.5%CO
WIDTH:140CM
WEIGHT:260G/M</t>
  </si>
  <si>
    <t>ART.EBT160153
COMP:51.1%PA 48.9%CO
WIDTH:145CM
WEIGHT:160G/M</t>
  </si>
  <si>
    <t>ART.EBT160154
COMP:22%PA 28%CO 50%PL
WIDTH:138CM
WEIGHT:229G/M</t>
  </si>
  <si>
    <t>ART.EBT160155
COMP:50.8%VI 29.3%CO 19.9%PA
WIDTH:135CM
WEIGHT:230G/M</t>
  </si>
  <si>
    <t>ART.EBT160156
COMP:56.8%CO  43.2%PA
WIDTH:135CM
WEIGHT:213G/M</t>
  </si>
  <si>
    <t>ART.EBT160157
COMP:61.3%PA 38.7%VI
WIDTH:145CM
WEIGHT:200G/M</t>
  </si>
  <si>
    <t>ART.EBT160158
COMP:41.8%PA   58.2%CO
WIDTH:130CM
WEIGHT:210G/M</t>
  </si>
  <si>
    <t>ART.EBT160163
COMP:100%PA
WIDTH:148CM
WEIGHT:165G/M</t>
  </si>
  <si>
    <t>ART.EBT160215
COMP:64.3%CO 26.6%PA 9.1%VI
WIDTH:138CM
WEIGHT:229G/M</t>
  </si>
  <si>
    <t>ART.EBT160231
COMP:G:100%VI  EMB:100%PL
WIDTH:100CM
WEIGHT:G:135G/M2</t>
  </si>
  <si>
    <t>ART.EBT160232
COMP:G:100%VI  EMB:100%PL
WIDTH:115CM
WEIGHT:G:135G/M2</t>
  </si>
  <si>
    <t>ART.EBT160235
COMP:F:95%PL 5%EA G:89%PA 11%EA
WIDTH:142CM
WEIGHT:350G/M2</t>
  </si>
  <si>
    <t>ART.EBT160237
COMP:F:97%CO 3%EA G:94%PL 6%EA
WIDTH:140CM
WEIGHT:449G/M2</t>
  </si>
  <si>
    <t>ART.EBT160249
COMP:94%PL 6%EA
WIDTH:145CM
WEIGHT:220G/M2</t>
  </si>
  <si>
    <t>ART.EBT160267
COMP:63%PL 34%VI 3%EA
WIDTH:140CM
WEIGHT:225G/M2</t>
  </si>
  <si>
    <t>ART.EBT160269
COMP:63%PL 34%VI 3%EA
WIDTH:140CM
WEIGHT:250G/M2</t>
  </si>
  <si>
    <t>ART.EBT160270
COMP:63%PL 34%VI 3%EA
WIDTH:140CM
WEIGHT:225G/M2</t>
  </si>
  <si>
    <t>ART.EBT160258
COMP:63%CO 22%PA 5%EA
WIDTH:140CM
WEIGHT:200G/M2</t>
  </si>
  <si>
    <t>ART.EBT9343
COMP:60%PL 34%VI 6%EA
WIDTH:141CM
WEIGHT:280-290G/M2</t>
  </si>
  <si>
    <t>ART.EBT10275
COMP:65%VI 30%PA 5%EA
WIDTH:146CM
WEIGHT:350G/M2</t>
  </si>
  <si>
    <t>ART.EBT06337
COMP:63%PL 33%VI 4%EA 
WIDTH:57/58"
WEIGHT:570G/M</t>
  </si>
  <si>
    <t>ART.EBT160299
COMP:94%PL 6%EA
WIDTH:140CM
WEIGHT:265G/M2</t>
  </si>
  <si>
    <t>ART.EBT160300
COMP:100% TENCEL
WIDTH:140CM
WEIGHT:187G/M2</t>
  </si>
  <si>
    <t>ART.EBT160301
COMP:78%VI 20%PL 2%EA
WIDTH:144CM
WEIGHT:250G/M2</t>
  </si>
  <si>
    <t>ART.EBT8352
COMP:64%Pl 34%VI 2%EA
WIDTH:57/58''
WEIGHT:380G/M</t>
  </si>
  <si>
    <t>ART.EBT260064
COMP:100%PL
WIDTH:145CM
WEIGHT:700G/M</t>
  </si>
  <si>
    <t>ART.EBT130508C
COMP:F:66%VI 30%PA4%EA G:100%PL
WIDTH:142CM
WEIGHT:416G/M2</t>
  </si>
  <si>
    <t>ART.EBT160296
COMP:90%AF 10%PC
WIDTH:150CM
WEIGHT:580G/M2</t>
  </si>
  <si>
    <t>ART.EBT160297
COMP:90%AF 10%PC
WIDTH:150CM
WEIGHT:580G/M2</t>
  </si>
  <si>
    <t>ART.EBT160298
COMP:85%PC 15%PL
WIDTH:150CM
WEIGHT:580G/M2</t>
  </si>
  <si>
    <t>ART.EBT160303
COMP:97%PL 3%EA
WIDTH:140CM
WEIGHT:180G/M2</t>
  </si>
  <si>
    <t>ART.EBT160305
COMP:F:20%WV 50%PL 20%PC 10%AF G:95%PL 5%EA
WIDTH:144CM
WEIGHT:662G/M2</t>
  </si>
  <si>
    <t>ART.EBT260067
COMP:100%PL
WIDTH:145CM
WEIGHT:580G/M2</t>
  </si>
  <si>
    <t>ART.EBT260167
COMP:100%VI
WIDTH:145CM
WEIGHT:197G/M2</t>
  </si>
  <si>
    <t>ART.EBT260167
COMP:100%VI
WIDTH:145CM
WEIGHT:190G/M2</t>
  </si>
  <si>
    <t>ART.EBT160312
COMP:F:97%CO 3%EA G:PL 65%VI 35%
WIDTH:136CM
WEIGHT:429G/M2</t>
  </si>
  <si>
    <t>ART.EBT160313
COMP:F:G:20%WV 50%PL 20%PC 10%AFG:94%PL 6%EA
WIDTH:146CM
WEIGHT:625G/M2</t>
  </si>
  <si>
    <t>ART.EBT160314
COMP:95%PL 5%EA
WIDTH:120CM
WEIGHT:368G/M2</t>
  </si>
  <si>
    <t>ART.EBT160317
COMP:95%PL 5%EA
WIDTH:130CM
WEIGHT:G:254G/M2</t>
  </si>
  <si>
    <t>ART.EBT160318
COMP:95%PL 5%EA
WIDTH:125CM
WEIGHT:G:254G/M2</t>
  </si>
  <si>
    <t>ART.EBT160125
COMP:100%PL
WIDTH:120CM
WEIGHT:225G/M2</t>
  </si>
  <si>
    <t>ART.EBT260179
COMP:100% CO 
WIDTH:125CM
WEIGHT:67G/M2</t>
  </si>
  <si>
    <t>ART.EBT120062
COMP:85%PA 15%EA
WIDTH:147CM
WEIGHT:240G/M2</t>
  </si>
  <si>
    <t>ART.EBT160330
COMP:F:95%PL 5%EA G:94%PL 6%EA
WIDTH:144CM
WEIGHT:460G/M2</t>
  </si>
  <si>
    <t>ART.EBT160331
COMP:100%PL
WIDTH:137CM
WEIGHT:370G/M2</t>
  </si>
  <si>
    <t>ART.EBT160332
COMP:100%PL
WIDTH:137CM
WEIGHT:380G/M2</t>
  </si>
  <si>
    <t>ART.EBT160333
COMP:98%PL 2%EA
WIDTH:142CM
WEIGHT:251G/M2</t>
  </si>
  <si>
    <t>ART.EBT160334
COMP:100%PL
WIDTH:128CM
WEIGHT:</t>
  </si>
  <si>
    <t>ART.EBT160335
COMP:100%PL
WIDTH:143CM
WEIGHT:374G/M2</t>
  </si>
  <si>
    <t>ART.EBT160336
COMP:95%PL 5%EA
WIDTH:110CM
WEIGHT:G:254G/M2</t>
  </si>
  <si>
    <t>ART.EBT160338
COMP:100%PL
WIDTH:125CM
WEIGHT:</t>
  </si>
  <si>
    <t>ART.EBT260185
COMP:95%PL 5%EA
WIDTH:145CM
WEIGHT:190G/M2</t>
  </si>
  <si>
    <t>ART.EBT260186
COMP:77%MODAL 23%PL
WIDTH:142CM
WEIGHT:136G/M2</t>
  </si>
  <si>
    <t>ART.EBT260187A
COMP:62%CO 32%PL 3%LI 2%VI
WIDTH:140CM
WEIGHT:320G/M2</t>
  </si>
  <si>
    <t>ART.EBT160340
COMP:100%PA
WIDTH:145CM
WEIGHT:</t>
  </si>
  <si>
    <t>ART.EBT160339
COMP:F:100%PL G:95%PL 5%EA
WIDTH:144CM
WEIGHT:310G/M2</t>
  </si>
  <si>
    <t>ART.EBT160347
COMP:100%PL
WIDTH:144CM
WEIGHT:260G/M2</t>
  </si>
  <si>
    <t>ART.EBT160349
COMP:F:100%PU G:97%PL 3%EA
WIDTH:58/60"
WEIGHT:</t>
  </si>
  <si>
    <t>ART.EBT160341
COMP: 100%MAC  
WIDTH:145CM
WEIGHT:900G/M</t>
  </si>
  <si>
    <t>ART.EBT160342
COMP: 25%MAC 75%PC
WIDTH:145CM
WEIGHT:900G/M</t>
  </si>
  <si>
    <t>ART.EBT160343
COMP:70%MAC 30%PC
WIDTH:145CM
WEIGHT:900G/M</t>
  </si>
  <si>
    <t>ART.EBT160344
COMP:100%PC
WIDTH:145CM
WEIGHT:900G/M</t>
  </si>
  <si>
    <t>ART.EBT150642
COMP:25%PA 75%CO
WIDTH:148CM
WEIGHT:135G/M2</t>
  </si>
  <si>
    <t>ART.EBT160046
COMP:100%PC
WIDTH:139CM
WEIGHT:200G/M2</t>
  </si>
  <si>
    <t>ART.EBT160047
COMP:20%WO 80%OTHER
WIDTH:139CM
WEIGHT:540G/M2</t>
  </si>
  <si>
    <t>ART.EBT160048 
COMP:20%WO 80%OTHER
WIDTH:139CM
WEIGHT:600G/M</t>
  </si>
  <si>
    <t>ART.EBT160048F
COMP:F:20%WO 80%OTHER G:FILM
WIDTH:139CM
WEIGHT:600G/M</t>
  </si>
  <si>
    <t>ART.EBT160045
COMP:F:100%POLY G:95%PL 5%EA
WIDTH:142CM
WEIGHT:440G/M2</t>
  </si>
  <si>
    <t>ART.EBT151266
COMP:F:SEQUIN G:60%PL 35%VI 5%EA
WIDTH:128CM 
WEIGHT:650G/M2</t>
  </si>
  <si>
    <t>ART.EBT160226
COMP:67%PL 30%VI 3%EA
WIDTH:140CM
WEIGHT:405G/M2</t>
  </si>
  <si>
    <t>ART.EBT160238
COMP:96%PL 4%EA
WIDTH:142CM
WEIGHT:155G/M2</t>
  </si>
  <si>
    <t>ART.EBT160239
COMP:96%PL 4%EA
WIDTH:142CM
WEIGHT:155G/M2</t>
  </si>
  <si>
    <t>ART.EBT160240
COMP:96%PL 4%EA
WIDTH:142CM
WEIGHT:195G/M2</t>
  </si>
  <si>
    <t>ART.EBT160241
COMP:96%PL 4%EA
WIDTH:142CM
WEIGHT:195G/M2</t>
  </si>
  <si>
    <t>ART.EBT160242
COMP:96%PL 4%EA
WIDTH:142CM
WEIGHT:175G/M2</t>
  </si>
  <si>
    <t>ART.EBT160243
COMP:96%PL 4%EA
WIDTH:142CM
WEIGHT:195G/M2</t>
  </si>
  <si>
    <t>ART.EBT160244
COMP:96%PL 4%EA
WIDTH:142CM
WEIGHT:155G/M2</t>
  </si>
  <si>
    <t>ART.EBT160245
COMP:96%PL 4%EA
WIDTH:142CM
WEIGHT:195G/M2</t>
  </si>
  <si>
    <t>ART.EBT160246
COMP:96%PL 4%EA
WIDTH:142CM
WEIGHT:175G/M2</t>
  </si>
  <si>
    <t>ART.EBT160293
COMP:95%PL 5%EA
WIDTH:150CM
WEIGHT:245G/M2</t>
  </si>
  <si>
    <t>ART.EBT160294
COMP:95%PL 5%EA
WIDTH:150CM
WEIGHT:270G/M2</t>
  </si>
  <si>
    <t>ART.EBT150244-475
COMP:F:95%PL 5%EA G:95%PL 5%EA
WIDTH:143CM
WEIGHT:475G/M2</t>
  </si>
  <si>
    <t>ART.EBT260114
COMP:45%WO 40%AC 10%PA 5%MH
WIDTH:145CM 
WEIGHT:360G/M2</t>
  </si>
  <si>
    <t>ART.EBT260122
COMP:100%PL
WIDTH:142CM
WEIGHT:190-200G/M2</t>
  </si>
  <si>
    <t>ART.EBT160328
COMP:95%PL 5%EA
WIDTH:142CM
WEIGHT:300G/M2</t>
  </si>
  <si>
    <t>ART.EBT160328
COMP:95%PL  5%EA
WIDTH:142CM
WEIGHT:300G/M2</t>
  </si>
  <si>
    <t>ART.EBT160329
COMP:G:95%PL 5%EA EMB:100%PL
WIDTH:135CM
WEIGHT:228G/M2</t>
  </si>
  <si>
    <t xml:space="preserve">ART.EBT260188
COMP:63% PL 33%VI 4%EA
WIDTH:57/58”
WEIGHT:330G/M2 </t>
  </si>
  <si>
    <t>ART.EBT260190
COMP:64%PL 34%VI 2%EA 
WIDTH:145CM
WEIGHT:258G/M2</t>
  </si>
  <si>
    <t>ART.EBT250040
COMP:100%PA TRIM(1PC=1.45M)
WIDTH:repeat:145CM
WEIGHT:</t>
  </si>
  <si>
    <t>ART.EBT250065
COMP:100%PA
WIDTH:WIDTH:145CM repeat:105-110CM
WEIGHT:60G/M2</t>
  </si>
  <si>
    <t>ART.EBT250066
COMP:100%PA
WIDTH:width:145CM repeat:140CM
WEIGHT:37G/M2</t>
  </si>
  <si>
    <t>ART.EBT151208
COMP:G:100%PL
WIDTH:124CM
WEIGHT:</t>
  </si>
  <si>
    <t>ART.EBT151209
COMP:G:100%PL
WIDTH:124CM
WEIGHT:</t>
  </si>
  <si>
    <t>ART.EBT151210
COMP:G:100%PA
WIDTH:124CM
WEIGHT:</t>
  </si>
  <si>
    <t>ART.EBT151211
COMP:G:100%PL
WIDTH:124CM
WEIGHT:</t>
  </si>
  <si>
    <t>ART.EBT160316
COMP:F:95%PL 5%EA G:100%PL
WIDTH:142CM
WEIGHT:255G/M2</t>
  </si>
  <si>
    <t>ART.EBT260178
COMP:64%PL 34%VI 2%EA
WIDTH:144CM
WEIGHT:230G/M2</t>
  </si>
  <si>
    <t>ART.EBT260180
COMP:55%CO 45%LI 
WIDTH:120CM
WEIGHT:92G/M2</t>
  </si>
  <si>
    <t>ART.EBT260181
COMP:25%PA 75%VI BURN out
WIDTH:136CM
WEIGHT:125G/M2</t>
  </si>
  <si>
    <t>ART.EBT160304
COMP:F:95% PL 5%EA G:60%PL 35%VI 5%EA
WIDTH:139CM
WEIGHT:385G/M2</t>
  </si>
  <si>
    <t>EBT160357</t>
  </si>
  <si>
    <t>EBT160352</t>
  </si>
  <si>
    <t>EBT160353</t>
  </si>
  <si>
    <t>EBT160295</t>
  </si>
  <si>
    <t>EBT160363</t>
  </si>
  <si>
    <t>ART.EBT160363
COMP:F:100%PU G:34%PA 66%CO
WIDTH:140CM
WEIGHT:184G/M2</t>
  </si>
  <si>
    <t>EBT160365</t>
  </si>
  <si>
    <t>EBT160366</t>
  </si>
  <si>
    <t>EBT160367</t>
  </si>
  <si>
    <t>ART.EBT160366
COMP: G:34%PA 66%CO
WIDTH:142CM
WEIGHT:122G/M2</t>
  </si>
  <si>
    <t>EBT250712-250</t>
  </si>
  <si>
    <t>EBT160360</t>
  </si>
  <si>
    <t>EBT160361</t>
  </si>
  <si>
    <t>EBT160362</t>
  </si>
  <si>
    <t>EBT160370</t>
  </si>
  <si>
    <t>EBT160358</t>
  </si>
  <si>
    <t>EBT160359</t>
  </si>
  <si>
    <t>EBT130346</t>
  </si>
  <si>
    <t>EBT120779B</t>
  </si>
  <si>
    <t>EBT130183B</t>
  </si>
  <si>
    <t>EBT260191</t>
  </si>
  <si>
    <t>EBT260192</t>
  </si>
  <si>
    <t>EBT260193</t>
  </si>
  <si>
    <t>EBT260194</t>
  </si>
  <si>
    <t>EBT260195</t>
  </si>
  <si>
    <t>EBT260196</t>
  </si>
  <si>
    <t>EBT260197</t>
  </si>
  <si>
    <t>EBT260198</t>
  </si>
  <si>
    <t>EBT260199</t>
  </si>
  <si>
    <t>EBT260200</t>
  </si>
  <si>
    <t>EBT260201</t>
  </si>
  <si>
    <t>EBT260202</t>
  </si>
  <si>
    <t>EBT260203</t>
  </si>
  <si>
    <t>EBT260204</t>
  </si>
  <si>
    <t>EBT260205</t>
  </si>
  <si>
    <t>EBT260206</t>
  </si>
  <si>
    <t>ART.EBT260191
COMP:95%PL 5%EA
WIDTH:148CM
WEIGHT:199G/M2</t>
  </si>
  <si>
    <t>ART.EBT260192
COMP:87.7%PL  12.3%EA
WIDTH:147CM
WEIGHT:400G/M2</t>
  </si>
  <si>
    <t>ART.EBT260193
COMP:94%PL 6%EA
WIDTH:142CM
WEIGHT:240G/M2</t>
  </si>
  <si>
    <t>ART.EBT260194
COMP:100%PL
WIDTH:142CM
WEIGHT:265G/M2</t>
  </si>
  <si>
    <t>ART.EBT260195
COMP:100%PL
WIDTH:140CM
WEIGHT:145G/M2</t>
  </si>
  <si>
    <t>ART.EBT260196
COMP:97%PL 3%EA
WIDTH:140CM
WEIGHT:90G/M2</t>
  </si>
  <si>
    <t>ART.EBT260197
COMP:100%PL
WIDTH:134CM
WEIGHT:224G/M2</t>
  </si>
  <si>
    <t>ART.EBT260198
COMP:95%PL 5%EA
WIDTH:165CM
WEIGHT:165G/M2</t>
  </si>
  <si>
    <t>ART.EBT260199
COMP:100%VI
WIDTH:127CM
WEIGHT:168G/M2</t>
  </si>
  <si>
    <t>ART.EBT260200
COMP:93%PL 7%EA
WIDTH:150CM
WEIGHT:294G/M2</t>
  </si>
  <si>
    <t>ART.EBT260201
COMP:97%VI 3%EA
WIDTH:140CM
WEIGHT:135G/M2</t>
  </si>
  <si>
    <t>ART.EBT260202
COMP:100%TE
WIDTH:144CM
WEIGHT:200G/M2</t>
  </si>
  <si>
    <t>ART.EBT260203
COMP:100%PL
WIDTH:142CM
WEIGHT:190G/M2</t>
  </si>
  <si>
    <t>ART.EBT260204
COMP:100%VI
WIDTH:148CM
WEIGHT:81G/M2</t>
  </si>
  <si>
    <t>ART.EBT260205
COMP: 55%vi 45%RAYON
WIDTH:135CM
WEIGHT:92G/M2</t>
  </si>
  <si>
    <t>ART.EBT260206
COMP:100%PL
WIDTH:142CM
WEIGHT:187G/M2</t>
  </si>
  <si>
    <t>EBT160108</t>
  </si>
  <si>
    <t>EBT160372</t>
  </si>
  <si>
    <t>EBT160373</t>
  </si>
  <si>
    <t>EBT160374</t>
  </si>
  <si>
    <t>ART.EBT160373
COMP:95%PL 5%EA
WIDTH:142CM
WEIGHT:332/M2</t>
  </si>
  <si>
    <t>ART.EBT160374
COMP:95%PL 5%EA
WIDTH:142CM
WEIGHT:380G/M2</t>
  </si>
  <si>
    <t>EBT151246</t>
  </si>
  <si>
    <t>EBT160364</t>
  </si>
  <si>
    <t>EBT160375</t>
  </si>
  <si>
    <t>EBT160376</t>
  </si>
  <si>
    <t>EBT160377</t>
  </si>
  <si>
    <t>ART.EBT130381
COMP:95%PL5%EA
WIDTH:152CM
WEIGHT:310-320G/M2</t>
  </si>
  <si>
    <t>ART.EBT260060
COMP:58%CO 39%PA 3%EA 
WIDTH:140CM
WEIGHT:240G/M2</t>
  </si>
  <si>
    <t>ART.EBT260061
COMP:64%CO 33%PA 3%EA
WIDTH:140CM
WEIGHT:204G/M2</t>
  </si>
  <si>
    <t>ART.EBT260062
COMP:58%CO 38%PA 4%EA
WIDTH:140CM
WEIGHT:200G/M2</t>
  </si>
  <si>
    <t>ART.EBT260063
COMP:100%VI  
WIDTH:142CM
WEIGHT:85G/M2</t>
  </si>
  <si>
    <t>ART.EBT260065
COMP:100%PL
WIDTH:145CM
WEIGHT:580G/M2</t>
  </si>
  <si>
    <t>ART.EBT260066
COMP:100%PL
WIDTH:145CM
WEIGHT:560G/M2</t>
  </si>
  <si>
    <t>ART.EBT260168
COMP:87%PA 13%EA
WIDTH:150CM
WEIGHT:250G/M2</t>
  </si>
  <si>
    <t>ART.EBT260169
COMP:F:98%PL 2%EA G:95%PL 5%EA
WIDTH:137CM
WEIGHT:500G/M2</t>
  </si>
  <si>
    <t>ART.EBT260170
COMP:F:98%PL 2%EA G:65%PL 35%VI
WIDTH:139CM
WEIGHT:408G/M2</t>
  </si>
  <si>
    <t>ART.EBT260171
COMP:F:71.5%PL 37.5%CO 2%EA G:95%PL 5%EA
WIDTH:140CM
WEIGHT:520G/M2</t>
  </si>
  <si>
    <t>ART.EBT260173
COMP:F:97%PL 3%SP G:65%PL 35%VI
WIDTH:158CM
WEIGHT:479G/M2</t>
  </si>
  <si>
    <t>ART.EBT260174
COMP:F:83%PL 17%VI G:95%PL 5%EA
WIDTH:148CM
WEIGHT:545G/M2</t>
  </si>
  <si>
    <t>ART.EBT260175
COMP:84%PA 16%EA
WIDTH:145CM
WEIGHT:214G/M2</t>
  </si>
  <si>
    <t>ART.EBT260176
COMP:F:100% PL EMB ,G:100%PL DOUBLE MESH 
WIDTH:125CM
WEIGHT:313G/M2</t>
  </si>
  <si>
    <t>ART.EBT260177
COMP:F:100% PL EMB ,G:100%PL DOUBLE MESH 
WIDTH:125CM
WEIGHT:339G/M2</t>
  </si>
  <si>
    <t>ART.EBT160376
COMP:95%PL 5%EA
WIDTH:144CM
WEIGHT:184G/M2</t>
  </si>
  <si>
    <t>ART.EBT160377
COMP:100%PL
WIDTH:144CM
WEIGHT:235G/M2</t>
  </si>
  <si>
    <t>EBT160379</t>
  </si>
  <si>
    <t>ART.EBT160379
COMP:100%PL
WIDTH:126CM
WEIGHT:</t>
  </si>
  <si>
    <t>ART.EBT140222
COMP:100%PL
WIDTH:150CM
WEIGHT:130G/M2</t>
  </si>
  <si>
    <t>ART.EBT140294
COMP:97%PL 3%EA
WIDTH:160CM
WEIGHT:310G/M2</t>
  </si>
  <si>
    <t>ART.EBT140503-SQ
COMP:93%PL 7%EA+sequins
WIDTH:130CM
WEIGHT:240G/M2</t>
  </si>
  <si>
    <t>ART.EBT140503-HX
COMP:93%PL7%EA
WIDTH:145CM
WEIGHT:240G/M2</t>
  </si>
  <si>
    <t>ART.EBT140554
改推140993,
140994,
150748
COMP:68%VI 28%N 4%EA
WIDTH:59"/60"
WEIGHT:400G/M2</t>
  </si>
  <si>
    <t>ART.EBT160354
COMP:100%PL
WIDTH:142CM
WEIGHT:260G/M2</t>
  </si>
  <si>
    <t>ART.EBT160355
COMP:100%PL
WIDTH:142CM
WEIGHT:235G/M2</t>
  </si>
  <si>
    <t>ART.EBT160356
COMP:100%PL
WIDTH:142CM
WEIGHT:134G/M2</t>
  </si>
  <si>
    <t>ART.EBT160357
COMP:95%PL 5%EA
WIDTH:144CM
WEIGHT:85G/M2</t>
  </si>
  <si>
    <t>ART.EBT160352
COMP:100%VI
WIDTH:140CM
WEIGHT:125G/M2</t>
  </si>
  <si>
    <t>ART.EBT160353
COMP:100%VI
WIDTH:140CM
WEIGHT:125G/M2</t>
  </si>
  <si>
    <t>ART.EBT160295
COMP:100%PL
WIDTH:122CM
WEIGHT:</t>
  </si>
  <si>
    <t>ART.EBT160365
COMP:G:59%PL 41%CO
WIDTH:57/58"
WEIGHT:178G/M2</t>
  </si>
  <si>
    <t>ART.EBT160367
COMP:G:34%PA 66%CO
WIDTH:142CM
WEIGHT:127G/M2</t>
  </si>
  <si>
    <t>ART.EBT160361
COMP:F:100%PU G:59%PL 41%CO
WIDTH:140CM
WEIGHT:241G/M2</t>
  </si>
  <si>
    <t>ART.EBT160362
COMP:F:100%PU G:100%CO
WIDTH:142CM
WEIGHT:160G/M2</t>
  </si>
  <si>
    <t>ART.EBT250712-250
COMP:90%PL 10%EA
WIDTH:145CM
WEIGHT:250G/M2</t>
  </si>
  <si>
    <t>ART.EBT160370
COMP:97%PL 3%EA
WIDTH:143CM
WEIGHT:262G/M2</t>
  </si>
  <si>
    <t>ART.EBT160358
COMP:100%VI
WIDTH:139CM
WEIGHT:170G/M2</t>
  </si>
  <si>
    <t>ART.EBT160359
COMP:G:100%PL EMB:100%CO
WIDTH:128CM
WEIGHT:180G/M2</t>
  </si>
  <si>
    <t>ART.EBT130346
COMP:F:64%PL 34%VI 2%EA
G:64%PL 33%VI 3%EA
WIDTH:134CM
WEIGHT:470G/M2</t>
  </si>
  <si>
    <t>ART.EBT120779B
COMP:F:70CO 30PA G:95%PL 5%EA
WIDTH:133CM
WEIGHT:</t>
  </si>
  <si>
    <t>ART.EBT130183B
COMP:G:100%PL F:80%CO 20%PA
WIDTH:140CM
WEIGHT:180G/M2</t>
  </si>
  <si>
    <t>ART.EBT160108
COMP:F: 65%PA  35%VI G: 100%PL 
WIDTH: 135CM 
WEIGHT:</t>
  </si>
  <si>
    <t>ART.EBT160372
COMP:F:85% PA 15%EA 
G:95%PL 5%EA
WIDTH:140CM
WEIGHT:360G/M2</t>
  </si>
  <si>
    <t>ART.EBT151246
COMP:100%PL
WIDTH:125CM
WEIGHT:</t>
  </si>
  <si>
    <t>ART.EBT160364
COMP:100%PL
WIDTH:139CM 
WEIGHT:215G/M2</t>
  </si>
  <si>
    <t>ART.EBT160375
COMP:100%PL
WIDTH:144CM
WEIGHT:209G/M2</t>
  </si>
  <si>
    <t>EBT150174</t>
  </si>
  <si>
    <t>EBT150463</t>
  </si>
  <si>
    <t>EBT150644-DN</t>
  </si>
  <si>
    <t>EBT140222</t>
  </si>
  <si>
    <t>EBT140503-SQ</t>
  </si>
  <si>
    <t>EBT140554
改推140993,
140994,
150748</t>
  </si>
  <si>
    <t>EBT140678</t>
  </si>
  <si>
    <t>EBTBRT756</t>
  </si>
  <si>
    <t>EBTBRT737</t>
  </si>
  <si>
    <t>EBTBETBRT756</t>
  </si>
  <si>
    <t>EBTBETBRT737</t>
  </si>
  <si>
    <t>EBT150014</t>
  </si>
  <si>
    <t>EBT150671-A</t>
  </si>
  <si>
    <t>EBT151024</t>
  </si>
  <si>
    <t>EBT91364</t>
  </si>
  <si>
    <t>EBT120835-PT</t>
  </si>
  <si>
    <t>EBT150502B-PS</t>
  </si>
  <si>
    <t>EBT150875-Print</t>
  </si>
  <si>
    <t>EBTBRT995-Print</t>
  </si>
  <si>
    <t>EBT150621-PS</t>
  </si>
  <si>
    <t>EBT150674-DN</t>
  </si>
  <si>
    <t>EBT120691</t>
  </si>
  <si>
    <t>EBT120582</t>
  </si>
  <si>
    <t>EBT160048</t>
  </si>
  <si>
    <t>EBT250543</t>
  </si>
  <si>
    <t>EBT151289-JR</t>
  </si>
  <si>
    <t>EBT151289</t>
  </si>
  <si>
    <t>EBT160070</t>
  </si>
  <si>
    <t>EBT140866-335</t>
  </si>
  <si>
    <t>EBT160106</t>
  </si>
  <si>
    <t>EBT160230</t>
  </si>
  <si>
    <t>EBT160268</t>
  </si>
  <si>
    <t>EBT160270</t>
  </si>
  <si>
    <t>EBT9343</t>
  </si>
  <si>
    <t>EBT10275</t>
  </si>
  <si>
    <t>EBT6337</t>
  </si>
  <si>
    <t>ART.EBT260047
COMP:100%POLY
WIDTH:137CM
WEIGHT:180G/M2</t>
    <phoneticPr fontId="51" type="noConversion"/>
  </si>
  <si>
    <t>ART.EBT260046
COMP:100%PL
WIDTH:137CM
WEIGHT:164G/M2</t>
    <phoneticPr fontId="51" type="noConversion"/>
  </si>
  <si>
    <t>EBT160380</t>
  </si>
  <si>
    <t>EBT160381</t>
  </si>
  <si>
    <t>EBT160382</t>
  </si>
  <si>
    <t>EBT160383</t>
  </si>
  <si>
    <t>EBT160384</t>
  </si>
  <si>
    <t>EBT160385</t>
  </si>
  <si>
    <t>EBT160386</t>
  </si>
  <si>
    <t>EBT160387</t>
  </si>
  <si>
    <t>EBT160388</t>
  </si>
  <si>
    <t>EBT160389</t>
  </si>
  <si>
    <t>EBT160390</t>
  </si>
  <si>
    <t>EBT160391</t>
  </si>
  <si>
    <t>ART.EBT160380
COMP:100%PL
WIDTH:150CM
WEIGHT:220G/M2</t>
  </si>
  <si>
    <t>ART.EBT160381
COMP:100%PL
WIDTH:128CM
WEIGHT:</t>
  </si>
  <si>
    <t>ART.EBT160382
COMP:100%PL
WIDTH:128CM
WEIGHT:</t>
  </si>
  <si>
    <t>ART.EBT160383
COMP:100%PL
WIDTH:128CM
WEIGHT:</t>
  </si>
  <si>
    <t>ART.EBT160384
COMP:100%PL
WIDTH:128CM
WEIGHT:</t>
  </si>
  <si>
    <t>ART.EBT160385
COMP:100%PL
WIDTH:128CM
WEIGHT:</t>
  </si>
  <si>
    <t>ART.EBT160386
COMP:100%PL
WIDTH:128CM
WEIGHT:</t>
  </si>
  <si>
    <t>ART.EBT160387
COMP:100%PA
WIDTH:128CM
WEIGHT:</t>
  </si>
  <si>
    <t>ART.EBT160388
COMP:100%PL
WIDTH:128CM
WEIGHT:</t>
  </si>
  <si>
    <t>ART.EBT160389
COMP:100%PL
WIDTH:128CM
WEIGHT:</t>
  </si>
  <si>
    <t>ART.EBT160390
COMP:100%PL
WIDTH:128CM
WEIGHT:</t>
  </si>
  <si>
    <t>ART.EBT160391
COMP:100%PL
WIDTH:128CM
WEIGHT:</t>
  </si>
  <si>
    <t>ART.EBT160392
COMP:61%PL 11%CO 28%VI
WIDTH:134CM
WEIGHT:295G/M2　</t>
  </si>
  <si>
    <t>EBT120201</t>
  </si>
  <si>
    <t>EBT160392</t>
    <phoneticPr fontId="51" type="noConversion"/>
  </si>
  <si>
    <t>EBT250742</t>
    <phoneticPr fontId="51" type="noConversion"/>
  </si>
  <si>
    <t>EBT130738</t>
  </si>
  <si>
    <t>EBT130344</t>
  </si>
  <si>
    <t>EBT120416</t>
  </si>
  <si>
    <t>ART.EBT130352
COMP:G:100%PL SEQUINS:PU
WIDTH:126CM
WEIGHT:</t>
  </si>
  <si>
    <t>ART.EBT130738
COMP:100%PL
WIDTH:134CM
WEIGHT:385G/M2</t>
  </si>
  <si>
    <t>ART.EBT130344
COMP:G:100%N
WIDTH:135CM
WEIGHT:</t>
  </si>
  <si>
    <t>EBT130352</t>
    <phoneticPr fontId="51" type="noConversion"/>
  </si>
  <si>
    <t>ART.EBT260187B
COMP:62%CO 32%PL 3%LI 2%VI
WIDTH:140CM
WEIGHT:340G/M2</t>
    <phoneticPr fontId="51" type="noConversion"/>
  </si>
  <si>
    <t xml:space="preserve">
info@ebtex.com.cn</t>
    <phoneticPr fontId="51" type="noConversion"/>
  </si>
  <si>
    <t>EBT160393</t>
  </si>
  <si>
    <t>ART.EBT160393
COMP:G:96%PL 4%EA F:100%PU
WIDTH:144CM
WEIGHT:290G/M2</t>
    <phoneticPr fontId="51" type="noConversion"/>
  </si>
  <si>
    <t>ART.EBT120416
COMP:100%VI+PEC SEQUINS
WIDTH:132CM
WEIGHT:</t>
    <phoneticPr fontId="51" type="noConversion"/>
  </si>
  <si>
    <t>EBT160368</t>
  </si>
  <si>
    <t>EBT160369</t>
  </si>
  <si>
    <t>ART.EBT160369
COMP:100%PL
WIDTH:137CM
WEIGHT:68G/M2</t>
    <phoneticPr fontId="51" type="noConversion"/>
  </si>
  <si>
    <t>EBT160394</t>
  </si>
  <si>
    <t>ART.EBT160394
COMP:63%PL 31%VI 6%EA
WIDTH:144CM
WEIGHT:220G/M2</t>
    <phoneticPr fontId="51" type="noConversion"/>
  </si>
  <si>
    <t>EBT160395</t>
  </si>
  <si>
    <t>EBT160396</t>
  </si>
  <si>
    <t>ART.EBT160395
COMP:97%PL3%EA
WIDTH:147CM
WEIGHT:180G/M2</t>
  </si>
  <si>
    <t>ART.EBT160396
COMP:36%CO61%PL3%EA
WIDTH:147CM
WEIGHT:270G/M2</t>
  </si>
  <si>
    <t>EBT120201-PS</t>
  </si>
  <si>
    <t>ART.EBT120201-PS
COMP:90%PL 5%SP
WIDTH:130CM
WEIGHT:280G/M2</t>
    <phoneticPr fontId="51" type="noConversion"/>
  </si>
  <si>
    <t xml:space="preserve">Shipping Sample
</t>
    <phoneticPr fontId="51" type="noConversion"/>
  </si>
  <si>
    <t>EBT CODE</t>
    <phoneticPr fontId="51" type="noConversion"/>
  </si>
  <si>
    <t>数字编号</t>
    <phoneticPr fontId="51" type="noConversion"/>
  </si>
  <si>
    <t>其他内容，只能在成分不是很长的情况下填一行</t>
    <phoneticPr fontId="51" type="noConversion"/>
  </si>
  <si>
    <t>FOB</t>
  </si>
  <si>
    <t>报价信息</t>
    <phoneticPr fontId="51" type="noConversion"/>
  </si>
  <si>
    <t>SHA</t>
    <phoneticPr fontId="51" type="noConversion"/>
  </si>
  <si>
    <t>EBT160398</t>
  </si>
  <si>
    <t>EBT160399</t>
  </si>
  <si>
    <t>ART.EBT160398
COMP:74%VI 22%PA 4%EA
WIDTH:142CM
WEIGHT:250G/M2</t>
  </si>
  <si>
    <t>ART.EBT160399
COMP:69%CO 27%PL 4%EA
WIDTH:140CM
WEIGHT:221G/M2</t>
  </si>
  <si>
    <t>EBT120804</t>
  </si>
  <si>
    <t>ART.EBT120804
COMP:100%LI
WIDTH:146CM
WEIGHT:175GSM</t>
    <phoneticPr fontId="51" type="noConversion"/>
  </si>
  <si>
    <t>EBT160401</t>
  </si>
  <si>
    <t>EBT160402</t>
  </si>
  <si>
    <t>EBT160403</t>
  </si>
  <si>
    <t>ART.EBT160401
COMP:95%LI 5%PU
WIDTH:142CM
WEIGHT:295G/M2</t>
  </si>
  <si>
    <t>ART.EBT160402
COMP:100% LI
WIDTH:130CM
WEIGHT:170G/M2</t>
  </si>
  <si>
    <t>ART.EBT160403
COMP:55%RA 45%CO
WIDTH:144CM
WEIGHT:165G/M2</t>
  </si>
  <si>
    <t>EBT160400</t>
  </si>
  <si>
    <t>ART.EBT160400
COMP:G:95%PL 5%EA F:100%PU
WIDTH:144CM
WEIGHT:288G/M2</t>
  </si>
  <si>
    <t>EBT160404</t>
  </si>
  <si>
    <t>EBT160405</t>
  </si>
  <si>
    <t>EBT160406</t>
  </si>
  <si>
    <t>EBT160407</t>
  </si>
  <si>
    <t>ART.EBT160404
COMP:100%PL
WIDTH:144CM
WEIGHT:207G/M2</t>
  </si>
  <si>
    <t>ART.EBT160405
COMP:100%PL
WIDTH:155CM
WEIGHT:150G/M2</t>
  </si>
  <si>
    <t>ART.EBT160406
COMP:93%PL 7%EA
WIDTH:155CM
WEIGHT:183G/M2</t>
  </si>
  <si>
    <t>ART.EBT160407
COMP:93%PL 7%EA
WIDTH:155CM
WEIGHT:169G/M2</t>
  </si>
  <si>
    <t>ART.EBT160319
COMP:95%PL 5%EA
WIDTH:127CM
WEIGHT:G:254G/M2</t>
    <phoneticPr fontId="51" type="noConversion"/>
  </si>
  <si>
    <t>EBT160408</t>
  </si>
  <si>
    <t>ART.EBT160408
COMP:45%PU 55%VI
WIDTH:135CM
WEIGHT:0.6MM</t>
  </si>
  <si>
    <t>EBT160409</t>
  </si>
  <si>
    <t>EBT160410</t>
  </si>
  <si>
    <t>EBT160411</t>
  </si>
  <si>
    <t>EBT160412</t>
  </si>
  <si>
    <t>EBT160413</t>
  </si>
  <si>
    <t>ART.EBT160409
COMP:100%VI
WIDTH:142CM
WEIGHT:175G/M2</t>
  </si>
  <si>
    <t>ART.EBT160410
COMP:100%VI
WIDTH:142CM
WEIGHT:150G/M2</t>
  </si>
  <si>
    <t>ART.EBT160411
COMP:100%VI
WIDTH:142CM
WEIGHT:155G/M2</t>
  </si>
  <si>
    <t>ART.EBT160412
COMP:100%VI
WIDTH:142CM
WEIGHT:155G/M2</t>
  </si>
  <si>
    <t>ART.EBT160413
COMP:100%VI
WIDTH:142CM
WEIGHT:163G/M2</t>
  </si>
  <si>
    <t>EBT160414</t>
  </si>
  <si>
    <t>EBT160415</t>
  </si>
  <si>
    <t>EBT160416</t>
    <phoneticPr fontId="51" type="noConversion"/>
  </si>
  <si>
    <t>ART.EBT160415
COMP:100%PL
WIDTH:126CM
WEIGHT:250G/M2</t>
    <phoneticPr fontId="51" type="noConversion"/>
  </si>
  <si>
    <t>ART.EBT160416
COMP:100%PL
WIDTH:126CM
WEIGHT:270G/M2</t>
    <phoneticPr fontId="51" type="noConversion"/>
  </si>
  <si>
    <t>EBT160417</t>
  </si>
  <si>
    <t>ART.EBT160417
COMP:100%PL
WIDTH:45CM/side
WEIGHT:</t>
  </si>
  <si>
    <t>EBT160397</t>
  </si>
  <si>
    <t>ART.EBT160397
COMP:100%PL
WIDTH:145CM
WEIGHT:183G/M2</t>
  </si>
  <si>
    <t>EBT160418</t>
  </si>
  <si>
    <t>EBT160419</t>
  </si>
  <si>
    <t>EBT160420</t>
  </si>
  <si>
    <t>ART.EBT160418
COMP:100%PL
WIDTH:142CM
WEIGHT:180G/M2</t>
  </si>
  <si>
    <t>ART.EBT160419
COMP:95%PL 5%EA
WIDTH:142CM
WEIGHT:225G/M2</t>
  </si>
  <si>
    <t>ART.EBT160420
COMP:100%PL
WIDTH:140CM
WEIGHT:260G/M2</t>
  </si>
  <si>
    <t>EBT101068</t>
  </si>
  <si>
    <t>EBT111441</t>
  </si>
  <si>
    <t>ART.EBT111441
COMP:100%PA
WIDTH:148CM
WEIGHT:57G/M2</t>
  </si>
  <si>
    <t>ART.EBT101068
COMP:52%PL48%PA
WIDTH:57/58"
WEIGHT:110G/M2</t>
    <phoneticPr fontId="51" type="noConversion"/>
  </si>
  <si>
    <t>EBT260248</t>
  </si>
  <si>
    <t>ART.EBT260248
COMP:97%PL 3%EA
WIDTH:155CM
WEIGHT:310G/M2</t>
  </si>
  <si>
    <t>EBT140142</t>
    <phoneticPr fontId="51" type="noConversion"/>
  </si>
  <si>
    <t>ART.EBT140142
COMP:EMB:100%CO
G:100%LI
WIDTH:57"
WEIGHT:GOUND:135G/M2</t>
    <phoneticPr fontId="51" type="noConversion"/>
  </si>
  <si>
    <t>EBT140141</t>
    <phoneticPr fontId="51" type="noConversion"/>
  </si>
  <si>
    <t>EBT140141-JR</t>
    <phoneticPr fontId="51" type="noConversion"/>
  </si>
  <si>
    <t>EBT160437</t>
  </si>
  <si>
    <t>EBT160439</t>
  </si>
  <si>
    <t>ART.EBT160437
COMP:F:85%VI 15%PA G:95%PL 5%EA
WIDTH:142CM
WEIGHT:480G/M2</t>
  </si>
  <si>
    <t>ART.EBT160439
COMP:F:85%VI 15%PA G:95%PL 5%EA
WIDTH:142CM
WEIGHT:410G/M2</t>
  </si>
  <si>
    <t>ART.EBT150872
COMP:F:95%PL 5%EA
G:95%PL 5%EA
WIDTH:142CM
WEIGHT:440G/M2</t>
    <phoneticPr fontId="51" type="noConversion"/>
  </si>
  <si>
    <t>EBT150872-370</t>
    <phoneticPr fontId="51" type="noConversion"/>
  </si>
  <si>
    <t>ART.EBT150872-370
COMP:F:95%PL 5%EA
G:95%PL 5%EA
WIDTH:142CM
WEIGHT:370G/M2</t>
    <phoneticPr fontId="51" type="noConversion"/>
  </si>
  <si>
    <t>EBT160421</t>
  </si>
  <si>
    <t>EBT160422</t>
  </si>
  <si>
    <t>EBT160423</t>
  </si>
  <si>
    <t>EBT160424</t>
  </si>
  <si>
    <t>EBT160425</t>
  </si>
  <si>
    <t>EBT160426</t>
  </si>
  <si>
    <t>EBT160427</t>
  </si>
  <si>
    <t>EBT160428</t>
  </si>
  <si>
    <t>EBT160430</t>
  </si>
  <si>
    <t>EBT160431</t>
  </si>
  <si>
    <t>EBT160432</t>
  </si>
  <si>
    <t>EBT160433</t>
  </si>
  <si>
    <t>EBT160434</t>
  </si>
  <si>
    <t>EBT160435</t>
  </si>
  <si>
    <t>EBT160436</t>
  </si>
  <si>
    <t>ART.EBT160436
COMP:F:75%VI 25%PA G:95%PL 5%EA
WIDTH:124CM
WEIGHT:410G/M2</t>
  </si>
  <si>
    <t>ART.EBT160437
COMP:F:85%VI 15%PA G:95%PL 5%EA
WIDTH: 142CM
WEIGHT:480G/M2</t>
  </si>
  <si>
    <t>ART.EBT150875
COMP:F:95%PL 5%EA
G:95%PL 5%EA
WIDTH:142CM
WEIGHT:450G/M2</t>
    <phoneticPr fontId="51" type="noConversion"/>
  </si>
  <si>
    <t>EBT160429</t>
  </si>
  <si>
    <t>EBT160438</t>
  </si>
  <si>
    <t>ART.EBT160429
COMP:F:99%PL 1%EA G:90%PL 10%EA
WIDTH:142CM
WEIGHT:280G/M2</t>
  </si>
  <si>
    <t>ART.EBT160438
COMP:F:99%PL 1%EA G:95%PL 5%EA
WIDTH:142CM
WEIGHT:427G/M2</t>
  </si>
  <si>
    <t>ART.EBT160421
COMP:F:100%PL G:90%PL 10%EA
WIDTH:142CM
WEIGHT:389G/M2</t>
    <phoneticPr fontId="51" type="noConversion"/>
  </si>
  <si>
    <t>ART.EBT160422
COMP:F:100%PL G:90%PL 10%EA
WIDTH:142CM
WEIGHT:390G/M2</t>
    <phoneticPr fontId="51" type="noConversion"/>
  </si>
  <si>
    <t>ART.EBT160428
COMP:F:85%VI 15%PA G:90%PL 10%EA
WIDTH:142CM
WEIGHT:360G/M2</t>
    <phoneticPr fontId="51" type="noConversion"/>
  </si>
  <si>
    <t>ART.EBT160426
COMP:F:100%PL G:90%PL 10%EA
WIDTH:142CM
WEIGHT:390G/M2</t>
    <phoneticPr fontId="51" type="noConversion"/>
  </si>
  <si>
    <t>ART.EBT160425
COMP:F:95%PL 5%EA G:90%PL 10%EA
WIDTH:142CM
WEIGHT:415G/M2</t>
    <phoneticPr fontId="51" type="noConversion"/>
  </si>
  <si>
    <t>ART.EBT160424
COMP:F:100%PL G:90%PL 10%EA
WIDTH:142CM
WEIGHT:380G/M2</t>
    <phoneticPr fontId="51" type="noConversion"/>
  </si>
  <si>
    <t>ART.EBT160423
COMP:F:100%PL G:90%PL 10%EA
WIDTH:142CM
WEIGHT:410G/M2</t>
    <phoneticPr fontId="51" type="noConversion"/>
  </si>
  <si>
    <t>ART.EBT160427
COMP:F:75%VI 25%PA G:90%PL 10%EA
WIDTH:124CM
WEIGHT:283G/M2</t>
    <phoneticPr fontId="51" type="noConversion"/>
  </si>
  <si>
    <t>ART.EBT160430
COMP:F:100%PL G:95%PL 5%EA
WIDTH:142CM
WEIGHT:280G/M2</t>
    <phoneticPr fontId="51" type="noConversion"/>
  </si>
  <si>
    <t>ART.EBT160431
COMP:F:100%PL G:95%PL 5%EA
WIDTH:142CM
WEIGHT:528G/M2</t>
    <phoneticPr fontId="51" type="noConversion"/>
  </si>
  <si>
    <t>ART.EBT160433
COMP:F:100%PL G:95%PL 5%EA
WIDTH:142CM
WEIGHT:512G/M2</t>
    <phoneticPr fontId="51" type="noConversion"/>
  </si>
  <si>
    <t>ART.EBT160434
COMP:F:95%PL 5%EA G:95%PL 5%EA
WIDTH:142CM
WEIGHT:557G/M2</t>
    <phoneticPr fontId="51" type="noConversion"/>
  </si>
  <si>
    <t>ART.EBT160435
COMP:F:100%PL G:95%PL 5%EA
WIDTH:142CM
WEIGHT:520G/M2</t>
    <phoneticPr fontId="51" type="noConversion"/>
  </si>
  <si>
    <t>EBT160371</t>
  </si>
  <si>
    <t>ART.EBT160371
COMP:100%PA
WIDTH:144CM
WEIGHT:47G/M2</t>
  </si>
  <si>
    <t>EBT260207</t>
  </si>
  <si>
    <t>EBT260208</t>
  </si>
  <si>
    <t>EBT260209</t>
  </si>
  <si>
    <t>EBT260210</t>
  </si>
  <si>
    <t>EBT260211</t>
  </si>
  <si>
    <t>EBT260212</t>
  </si>
  <si>
    <t>EBT260213</t>
  </si>
  <si>
    <t>EBT260214</t>
  </si>
  <si>
    <t>EBT260215</t>
  </si>
  <si>
    <t>EBT260216</t>
  </si>
  <si>
    <t>EBT260217</t>
  </si>
  <si>
    <t>EBT260218</t>
  </si>
  <si>
    <t>EBT260219</t>
  </si>
  <si>
    <t>EBT260220</t>
  </si>
  <si>
    <t>EBT260221</t>
  </si>
  <si>
    <t>EBT260222</t>
  </si>
  <si>
    <t>EBT260223</t>
  </si>
  <si>
    <t>EBT260224</t>
  </si>
  <si>
    <t>EBT260225</t>
  </si>
  <si>
    <t>EBT260226</t>
  </si>
  <si>
    <t>EBT260227</t>
  </si>
  <si>
    <t>EBT260228</t>
  </si>
  <si>
    <t>EBT260229</t>
  </si>
  <si>
    <t>EBT260230</t>
  </si>
  <si>
    <t>EBT260231</t>
  </si>
  <si>
    <t>EBT260232</t>
  </si>
  <si>
    <t>EBT260233</t>
  </si>
  <si>
    <t>EBT260234</t>
  </si>
  <si>
    <t>EBT260235</t>
  </si>
  <si>
    <t>EBT260236</t>
  </si>
  <si>
    <t>EBT260237</t>
  </si>
  <si>
    <t>EBT260238</t>
  </si>
  <si>
    <t>EBT260239</t>
  </si>
  <si>
    <t>EBT260240</t>
  </si>
  <si>
    <t>EBT260241</t>
  </si>
  <si>
    <t>EBT260244</t>
  </si>
  <si>
    <t>EBT260245</t>
  </si>
  <si>
    <t>EBT260246</t>
  </si>
  <si>
    <t>EBT260247</t>
  </si>
  <si>
    <t>ART.EBT260207
COMP:100%VI
WIDTH:149CM
WEIGHT:143G/M2</t>
  </si>
  <si>
    <t>ART.EBT260208
COMP:98%VI 2%EA
WIDTH:135CM
WEIGHT:85G/M2</t>
  </si>
  <si>
    <t>ART.EBT260209
COMP:97%VI 3% EA
WIDTH:135CM
WEIGHT:135G/M2</t>
  </si>
  <si>
    <t>ART.EBT260210
COMP:98%VI 2%EA
WIDTH:135CM
WEIGHT:110G/M2</t>
  </si>
  <si>
    <t>ART.EBT260211
COMP:98%VI 2%EA
WIDTH:125CM
WEIGHT:110G/M2</t>
  </si>
  <si>
    <t>ART.EBT260212
COMP:100%VI
WIDTH:145CM
WEIGHT:130G/M2</t>
  </si>
  <si>
    <t>ART.EBT260213
COMP:100%VI
WIDTH:145CM
WEIGHT:130G/M2</t>
  </si>
  <si>
    <t>ART.EBT260214
COMP:100%VI
WIDTH:143CM
WEIGHT:120G/M2</t>
  </si>
  <si>
    <t>ART.EBT260215
COMP:100%VI
WIDTH:145CM
WEIGHT:155G/M2</t>
  </si>
  <si>
    <t>ART.EBT260216
COMP:100%VI
WIDTH:145CM
WEIGHT:117G/M2</t>
  </si>
  <si>
    <t>ART.EBT260217
COMP:100%VI
WIDTH:146CM
WEIGHT:143G/M2</t>
  </si>
  <si>
    <t>ART.EBT260218
COMP:100%VI
WIDTH:142CM
WEIGHT:135G/M2</t>
  </si>
  <si>
    <t>ART.EBT260219
COMP:100%VI
WIDTH:145CM
WEIGHT:90G/M2</t>
  </si>
  <si>
    <t>ART.EBT260220
COMP:97%PL 3%EA
WIDTH:140CM
WEIGHT:296G/M2</t>
  </si>
  <si>
    <t>ART.EBT260221
COMP:100%VI
WIDTH:140CM
WEIGHT:85G/M2</t>
  </si>
  <si>
    <t>ART.EBT260222
COMP:100%VI 
WIDTH:136CM
WEIGHT:88G/M2</t>
  </si>
  <si>
    <t>ART.EBT260223
COMP:100%VI 
WIDTH:137CM
WEIGHT:77G/M2</t>
  </si>
  <si>
    <t>ART.EBT260224
COMP:100%VI 
WIDTH:137CM
WEIGHT:77G/M2</t>
  </si>
  <si>
    <t>ART.EBT260225
COMP:100%VI 
WIDTH:137CM
WEIGHT:121G/M2</t>
  </si>
  <si>
    <t>ART.EBT260226
COMP:100%VI 
WIDTH:137CM
WEIGHT:125G/M2</t>
  </si>
  <si>
    <t>ART.EBT260227
COMP:100%VI 
WIDTH:137CM
WEIGHT:136G/M2</t>
  </si>
  <si>
    <t>ART.EBT260228
COMP:100%VI 
WIDTH:137CM
WEIGHT:140G/M2</t>
  </si>
  <si>
    <t>ART.EBT260229
COMP:100%VI 
WIDTH:137CM
WEIGHT:86G/M2</t>
  </si>
  <si>
    <t>ART.EBT260230
COMP:100%VI 
WIDTH:137CM
WEIGHT:84G/M2</t>
  </si>
  <si>
    <t>ART.EBT260231
COMP:100%VI 
WIDTH:137CM
WEIGHT:168G/M2</t>
  </si>
  <si>
    <t>ART.EBT260232
COMP:100%VI 
WIDTH:137CM
WEIGHT:125G/M2</t>
  </si>
  <si>
    <t>ART.EBT260233
COMP:100%VI 
WIDTH:137CM
WEIGHT:125G/M2</t>
  </si>
  <si>
    <t>ART.EBT260234
COMP:100%VI 
WIDTH:137CM
WEIGHT:130G/M2</t>
  </si>
  <si>
    <t>ART.EBT260235
COMP:100%VI 
WIDTH:137CM
WEIGHT:125G/M2</t>
  </si>
  <si>
    <t>ART.EBT260236
COMP:100%VI 
WIDTH:137CM
WEIGHT:130G/M2</t>
  </si>
  <si>
    <t>ART.EBT260237
COMP:100%VI 
WIDTH:137CM
WEIGHT:125G/M2</t>
  </si>
  <si>
    <t>ART.EBT260238
COMP:100%VI 
WIDTH:137CM
WEIGHT:125G/M2</t>
  </si>
  <si>
    <t>ART.EBT260239
COMP:97%VI 3%EA
WIDTH:135CM 
WEIGHT:200G/M2</t>
  </si>
  <si>
    <t>ART.EBT260241
COMP: 74%VI 26%SE  
WIDTH:139cm
WEIGHT:70G/M2(16MM)</t>
  </si>
  <si>
    <t>ART.EBT260244
COMP:53%VI 22%WO 25%PA
WIDTH:125CM
WEIGHT:150G/M2</t>
  </si>
  <si>
    <t>ART.EBT260245
COMP:53%VI 22%WO 25%PA
WIDTH:125CM
WEIGHT:155G/M2</t>
  </si>
  <si>
    <t xml:space="preserve">ART.EBT260246
COMP:97%VI 3%EA
WIDTH:138CM
WEIGHT:280G/M2 </t>
  </si>
  <si>
    <t>ART.EBT260247
COMP:80%MOD 20%PL
WIDTH:145CM
WEIGHT:182G/M2</t>
  </si>
  <si>
    <t>EBT160458</t>
  </si>
  <si>
    <t>EBT160459</t>
  </si>
  <si>
    <t>EBT160460</t>
  </si>
  <si>
    <t>EBT160461</t>
  </si>
  <si>
    <t>EBT160462</t>
  </si>
  <si>
    <t>ART.EBT160458
COMP:F: 96%PL 4%EA
WIDTH:142CM
WEIGHT:530G/M2</t>
  </si>
  <si>
    <t>ART.EBT160459
COMP:95%PL 5%EA
WIDTH:142CM
WEIGHT:530G/M2</t>
  </si>
  <si>
    <t>ART.EBT160460
COMP:100%PL
WIDTH:142CM
WEIGHT:330G/M2</t>
  </si>
  <si>
    <t>ART.EBT160461
COMP:100%PL
WIDTH:142CM
WEIGHT:540G/M2</t>
  </si>
  <si>
    <t>ART.EBT160462
COMP:95%PL 5%EA
WIDTH:142CM
WEIGHT:580G/M2</t>
  </si>
  <si>
    <t>EBT160456</t>
  </si>
  <si>
    <t>EBT160457</t>
  </si>
  <si>
    <t>ART.EBT160457
COMP:F:70%PL 27%VI 3%EA G:95%PL 5%EA
WIDTH:142CM
WEIGHT:540G/M2</t>
  </si>
  <si>
    <t>EBT160441</t>
  </si>
  <si>
    <t>EBT160442</t>
  </si>
  <si>
    <t>EBT160443</t>
  </si>
  <si>
    <t>EBT160445</t>
  </si>
  <si>
    <t>EBT160447</t>
  </si>
  <si>
    <t>EBT160449</t>
  </si>
  <si>
    <t>EBT160452</t>
  </si>
  <si>
    <t>EBT160453</t>
  </si>
  <si>
    <t>EBT160455</t>
  </si>
  <si>
    <t>EBT160451</t>
  </si>
  <si>
    <t>EBT160440</t>
  </si>
  <si>
    <t>ART.EBT160441
COMP:100%PL
WIDTH:142CM
WEIGHT:100G/M2</t>
  </si>
  <si>
    <t>ART.EBT160442
COMP:100%PL
WIDTH:142CM
WEIGHT:120G/M2</t>
  </si>
  <si>
    <t>ART.EBT160443
COMP:100%PL
WIDTH:142CM
WEIGHT:150G/M2</t>
  </si>
  <si>
    <t>ART.EBT160445
COMP:100%PL
WIDTH:140CM
WEIGHT:235G/M2</t>
  </si>
  <si>
    <t>ART.EBT160447
COMP:100%PL
WIDTH:140CM
WEIGHT:220G/M2</t>
  </si>
  <si>
    <t>ART.EBT160449
COMP:100%PL
WIDTH:140CM
WEIGHT:235G/M2</t>
  </si>
  <si>
    <t>ART.EBT160452
COMP:100%PL
WIDTH:142CM
WEIGHT:145G/M2</t>
  </si>
  <si>
    <t>ART.EBT160453
COMP:100%PL
WIDTH:142CM
WEIGHT:440G/M2</t>
  </si>
  <si>
    <t>ART.EBT160455
COMP:100%PL
WIDTH:142CM
WEIGHT:290G/M2</t>
  </si>
  <si>
    <t>ART.EBT160451
COMP:100%PL
WIDTH:140CM
WEIGHT:215G/M2</t>
  </si>
  <si>
    <t>EBT160444</t>
  </si>
  <si>
    <t>ART.EBT160444
COMP:70%PL 28%VI 2%EA
WIDTH:140CM
WEIGHT:330G/M2</t>
    <phoneticPr fontId="51" type="noConversion"/>
  </si>
  <si>
    <t>EBT160446</t>
  </si>
  <si>
    <t>ART.EBT160446
COMP:93%PL 7%EA
WIDTH:144CM
WEIGHT:229G/M2</t>
  </si>
  <si>
    <t>EBT260255</t>
  </si>
  <si>
    <t>EBT260256</t>
  </si>
  <si>
    <t>EBT260257</t>
  </si>
  <si>
    <t>EBT260258</t>
  </si>
  <si>
    <t>ART.EBT260255
COMP:30%PL70%CO 
WIDTH:142CM
WEIGHT:300G/M2</t>
  </si>
  <si>
    <t>ART.EBT260256
COMP:87%CO 13%PC
WIDTH:145CM
WEIGHT:248G/M2</t>
  </si>
  <si>
    <t>ART.EBT260257
COMP:50%CO 50%PL
WIDTH:142CM
WEIGHT:270G/M2</t>
  </si>
  <si>
    <t>ART.EBT260258
COMP:57%PL 25%PC 18%CO
WIDTH:142CM
WEIGHT:305G/M2</t>
  </si>
  <si>
    <t>EBT160450</t>
  </si>
  <si>
    <t>EBT160463</t>
  </si>
  <si>
    <t>EBT160464</t>
  </si>
  <si>
    <t>EBT160465</t>
  </si>
  <si>
    <t>ART.EBT160463
COMP:65%CO 35%VI
WIDTH:145CM 
WEIGHT:130G/M2</t>
  </si>
  <si>
    <t>ART.EBT150080
COMP:62%PL 38%CO
WIDTH:143CM
WEIGHT:225G/M2</t>
    <phoneticPr fontId="51" type="noConversion"/>
  </si>
  <si>
    <t>EBT160454</t>
  </si>
  <si>
    <t>EBT151207FOIL</t>
  </si>
  <si>
    <t>EBT150369FOIL-1</t>
  </si>
  <si>
    <t>EBT150369FOIL-2</t>
  </si>
  <si>
    <t>EBT150882FOIL-1</t>
  </si>
  <si>
    <t>EBT150882FOIL-2</t>
  </si>
  <si>
    <t>ART.EBT160454
COMP:95%PL 5%EA
WIDTH:144CM
WEIGHT:190G/M2</t>
    <phoneticPr fontId="51" type="noConversion"/>
  </si>
  <si>
    <t>ART.EBT160465
COMP:65%CO 35%VI
WIDTH:145CM 
WEIGHT:155G/M2</t>
    <phoneticPr fontId="51" type="noConversion"/>
  </si>
  <si>
    <t>ART.EBT160464
COMP:65%CO 35%VI
WIDTH:145CM 
WEIGHT:155G/M2</t>
    <phoneticPr fontId="51" type="noConversion"/>
  </si>
  <si>
    <t>ART.EBT150882FOIL-1
COMP:100%CO
WIDTH:135CM
WEIGHT:150G/M2</t>
    <phoneticPr fontId="51" type="noConversion"/>
  </si>
  <si>
    <t>ART.EBT150369FOIL-2
COMP:100%CO
WIDTH:130CM
WEIGHT:</t>
    <phoneticPr fontId="51" type="noConversion"/>
  </si>
  <si>
    <t>EBT160466</t>
  </si>
  <si>
    <t>THIS ITEM IS ALSO AVAILABLE
AT OUR ITALIAN WAREHOUSE
WITH MINIMUM 300 M PER COLOR
AND LEADTIME 3 WEEKS EX.ITALY.
FOR MORE INFORMATIONS PLEASE
CONTACT INFO@BERTINISRL.COM</t>
    <phoneticPr fontId="51" type="noConversion"/>
  </si>
  <si>
    <t>ART.EBT160466
COMP:F:98%PL 2%EA G:96%PL 4%EA
WIDTH:142CM
WEIGHT:442</t>
    <phoneticPr fontId="51" type="noConversion"/>
  </si>
  <si>
    <t>EBT260242</t>
  </si>
  <si>
    <t>EBT260243</t>
  </si>
  <si>
    <t>ART.EBT260242
COMP:49%VI 39%VI 9%WO 3%EA
WIDTH:136CM
WEIGHT:285G/M2</t>
  </si>
  <si>
    <t>ART.EBT260243
COMP:25%PA 57%CO 11%PL 3%MET 4%SP
WIDTH:146CM
WEIGHT:170G/M2</t>
  </si>
  <si>
    <t>ART.EBT160440
COMP:100%PA
WIDTH:145CM
WEIGHT:53G/M2</t>
    <phoneticPr fontId="51" type="noConversion"/>
  </si>
  <si>
    <t>ART.EBT160450
COMP:80%PL 16%VI 4%EA
WIDTH:154CM
WEIGHT:367G/M2</t>
    <phoneticPr fontId="51" type="noConversion"/>
  </si>
  <si>
    <t>$</t>
  </si>
  <si>
    <t>EBT120009</t>
  </si>
  <si>
    <t>EBT120269</t>
  </si>
  <si>
    <t>ART.EBT120009
COMP:21%WO 37%PL 42%CO
WIDTH:170CM
WEIGHT:250G/M2</t>
    <phoneticPr fontId="51" type="noConversion"/>
  </si>
  <si>
    <t>ART.EBT120269
COMP:100%PL
WIDTH:57/58"
WEIGHT:77-79G/M2</t>
    <phoneticPr fontId="51" type="noConversion"/>
  </si>
  <si>
    <t>EBT160470</t>
  </si>
  <si>
    <t>ART.EBT160470
COMP:F:100%PU G:100%PL
WIDTH:140CM
WEIGHT:352G/M2</t>
  </si>
  <si>
    <t>EBT160469</t>
  </si>
  <si>
    <t>EBT160468</t>
  </si>
  <si>
    <t>EBT160471</t>
  </si>
  <si>
    <t>EBT160471-B</t>
  </si>
  <si>
    <t>ART.EBT160468
COMP:F:93%PL 7%EA G:93%PL 7%EA
WIDTH:142CM
WEIGHT:420G/M2</t>
  </si>
  <si>
    <t>ART.EBT160471
COMP:95%PL 5%EA
WIDTH:144CM
WEIGHT:210G/M2</t>
  </si>
  <si>
    <t>ART.EBT160471-B
COMP:95%PL 5%EA
WIDTH:140CM
WEIGHT:425G/M2</t>
  </si>
  <si>
    <t>ART.EBT160469
COMP:F:100%PL G:100%PU
WIDTH:136CM
WEIGHT:95G/M2</t>
    <phoneticPr fontId="51" type="noConversion"/>
  </si>
  <si>
    <t>EBT160472</t>
  </si>
  <si>
    <t>ART.EBT160472
COMP:100%PL
WIDTH:144CM
WEIGHT:136G/M2</t>
  </si>
  <si>
    <t>EBT130154</t>
  </si>
  <si>
    <t>ART.EBT130154
COMP:100%PA
WIDTH:150CM
WEIGHT:160G/M2</t>
  </si>
  <si>
    <t>EBT130048</t>
  </si>
  <si>
    <t>ART.EBT130048
COMP:47%PL 30%CO 16%VI 7%ME
WIDTH:56"
WEIGHT:254G/M2</t>
    <phoneticPr fontId="51" type="noConversion"/>
  </si>
  <si>
    <t>EBT160467</t>
  </si>
  <si>
    <t>ART.EBT160467
COMP:69%PL 26%VI 5%MET
WIDTH:144CM
WEIGHT:224G/M2</t>
  </si>
  <si>
    <t>EBT160473</t>
  </si>
  <si>
    <t>EBT160474</t>
  </si>
  <si>
    <t>EBT160475</t>
  </si>
  <si>
    <t>EBT160476</t>
  </si>
  <si>
    <t>EBT160477</t>
  </si>
  <si>
    <t>EBT160478</t>
  </si>
  <si>
    <t>ART.EBT160473
COMP:100%PL
WIDTH:142CM
WEIGHT:230G/M2</t>
  </si>
  <si>
    <t>ART.EBT160474
COMP:100%PL
WIDTH:142CM
WEIGHT:440G/M2</t>
  </si>
  <si>
    <t>ART.EBT160475
COMP:F:100%PL G:95%PL 5%EA
WIDTH:142CM
WEIGHT:370G/M2</t>
  </si>
  <si>
    <t>ART.EBT160476
COMP:100%PL
WIDTH:142CM
WEIGHT:440G/M2</t>
  </si>
  <si>
    <t>ART.EBT160477
COMP:F:63%PL 33%VI 4%EA G:100%PL
WIDTH:142CM
WEIGHT:440G/M2</t>
  </si>
  <si>
    <t>ART.EBT160478
COMP:79%PL 18%VI 5%EA
WIDTH:144CM
WEIGHT:205G/M2</t>
  </si>
  <si>
    <t>EBT160480</t>
  </si>
  <si>
    <t>EBT160480-B</t>
  </si>
  <si>
    <t>EBT160481</t>
  </si>
  <si>
    <t>EBT160481-B</t>
  </si>
  <si>
    <t>EBT160482</t>
  </si>
  <si>
    <t>ART.EBT160480
COMP:95%PL 5%EA
WIDTH:140CM
WEIGHT:116G/M2</t>
  </si>
  <si>
    <t>ART.EBT160480-B
COMP:95%PL 5%EA
WIDTH:138CM
WEIGHT:390G/M2</t>
  </si>
  <si>
    <t>ART.EBT160481
COMP:95%PL 5%EA
WIDTH:144CM
WEIGHT:190G/M2</t>
  </si>
  <si>
    <t>ART.EBT160481-B
COMP:95%PL 5%EA
WIDTH:142CM
WEIGHT:390G/M2</t>
  </si>
  <si>
    <t>ART.EBT160482
COMP:100%PL
WIDTH:144CM
WEIGHT:110G/M2</t>
  </si>
  <si>
    <t>EBT160454-B</t>
  </si>
  <si>
    <t>EBT160483</t>
  </si>
  <si>
    <t>ART.EBT160454-B
COMP:95%PL 5%EA
WIDTH:142CM
WEIGHT:418G/M2</t>
  </si>
  <si>
    <t>ART.EBT160483
COMP:F:97%PL 3%EA G:95%PL 5%EA
WIDTH:140CM
WEIGHT:388G/M2</t>
  </si>
  <si>
    <t>EBT160484</t>
  </si>
  <si>
    <t>EBT160485</t>
  </si>
  <si>
    <t>EBT160486</t>
  </si>
  <si>
    <t>EBT160487</t>
  </si>
  <si>
    <t>EBT160488</t>
  </si>
  <si>
    <t>EBT160489</t>
  </si>
  <si>
    <t>EBT160490</t>
  </si>
  <si>
    <t>EBT160491</t>
  </si>
  <si>
    <t>EBT160492</t>
  </si>
  <si>
    <t>EBT160493</t>
  </si>
  <si>
    <t>ART.EBT160484
COMP:100%PL
WIDTH:125CM
WEIGHT:210G/M2</t>
  </si>
  <si>
    <t>ART.EBT160485
COMP:95%VI 5%EA
WIDTH:125CM
WEIGHT:430G/M2</t>
  </si>
  <si>
    <t>ART.EBT160486
COMP:92%PL 8%EA
WIDTH:125CM
WEIGHT:300G/M2</t>
  </si>
  <si>
    <t>ART.EBT160487
COMP:92%PL 8%EA
WIDTH:125CM
WEIGHT:300G/M2</t>
  </si>
  <si>
    <t>ART.EBT160488
COMP:92%PL 8%EA
WIDTH:125CM
WEIGHT:405G/M2</t>
  </si>
  <si>
    <t>ART.EBT160489
COMP:92%PL 8%EA
WIDTH:125CM
WEIGHT:408G/M2</t>
  </si>
  <si>
    <t>ART.EBT160490
COMP:95%VI 5%EA
WIDTH:125CM
WEIGHT:610G/M2</t>
  </si>
  <si>
    <t>ART.EBT160491
COMP:95%VI 5%EA
WIDTH:125CM
WEIGHT:620G/M2</t>
  </si>
  <si>
    <t>ART.EBT160492
COMP:95%VI 5%EA
WIDTH:125CM
WEIGHT:690G/M2</t>
  </si>
  <si>
    <t>ART.EBT160493
COMP:100%PL
WIDTH:125CM
WEIGHT:</t>
  </si>
  <si>
    <t>EBT160470-LM</t>
  </si>
  <si>
    <t>ART.EBT160470-LM
COMP:100%PL
WIDTH:140CM
WEIGHT:410G/M2</t>
    <phoneticPr fontId="51" type="noConversion"/>
  </si>
  <si>
    <t>EBT160482-GT</t>
  </si>
  <si>
    <t>EBT160494</t>
  </si>
  <si>
    <t>ART.EBT160482-GT
COMP:100%PL
WIDTH:144CM
WEIGHT:110G/M2</t>
    <phoneticPr fontId="51" type="noConversion"/>
  </si>
  <si>
    <t>ART.EBT160494
COMP:100%PL
WIDTH:144CM
WEIGHT:130G/M2</t>
    <phoneticPr fontId="51" type="noConversion"/>
  </si>
  <si>
    <t>EBT160495</t>
  </si>
  <si>
    <t>EBT160496</t>
  </si>
  <si>
    <t>EBT160497</t>
  </si>
  <si>
    <t>ART.EBT160495
COMP:88%PL 12%EA
WIDTH:144CM
WEIGHT:220G/M2</t>
  </si>
  <si>
    <t>ART.EBT160496
COMP:94%PL 6%EA
WIDTH:144CM
WEIGHT:270G/M2</t>
  </si>
  <si>
    <t>ART.EBT160497
COMP:100%PL
WIDTH: 142CM
WEIGHT:84G/M2</t>
  </si>
  <si>
    <t>ART.EBT160346
COMP:100%PL
WIDTH:140CM
WEIGHT:125-130G/M2</t>
    <phoneticPr fontId="51" type="noConversion"/>
  </si>
  <si>
    <t>EBT160498</t>
  </si>
  <si>
    <t>EBT160499</t>
  </si>
  <si>
    <t>EBT160500</t>
  </si>
  <si>
    <t>ART.EBT160498
COMP:F:100%PL G:100%PL
WIDTH:125CM
WEIGHT:</t>
  </si>
  <si>
    <t>ART.EBT160499
COMP:F:100%PL G:100%PL
WIDTH:125CM
WEIGHT:</t>
  </si>
  <si>
    <t>ART.EBT160500
COMP:F:100%PL G:100%PL
WIDTH:115CM
WEIGHT:</t>
  </si>
  <si>
    <t>ART.EBT160498
COMP:F:100%PL G:100%PL
WIDTH:125CM
WEIGHT:</t>
    <phoneticPr fontId="51" type="noConversion"/>
  </si>
  <si>
    <t>ART.EBT160499
COMP:F:100%PL G:100%PL
WIDTH:125CM
WEIGHT:</t>
    <phoneticPr fontId="51" type="noConversion"/>
  </si>
  <si>
    <t>ART.EBT160500
COMP:F:100%PL G:100%PL
WIDTH:115CM
WEIGHT:</t>
    <phoneticPr fontId="51" type="noConversion"/>
  </si>
  <si>
    <t>EBT160505</t>
  </si>
  <si>
    <t>EBT160506</t>
  </si>
  <si>
    <t>EBT160507</t>
  </si>
  <si>
    <t>EBT160508</t>
  </si>
  <si>
    <t>ART.EBT160505
COMP:F:95% PL 5%EA
G:95%PL 5%EA
WIDTH: 142CM
WEIGHT:490G/M2</t>
  </si>
  <si>
    <t>ART.EBT160508
COMP:F:100%PL 
G:95%PL 5%EA
WIDTH: 142CM
WEIGHT:360G/M2</t>
  </si>
  <si>
    <t>EBT160509</t>
  </si>
  <si>
    <t>EBT160510</t>
  </si>
  <si>
    <t>EBT160511</t>
  </si>
  <si>
    <t>ART.EBT160510
COMP:F:100%PU G:100%PL
WIDTH:132CM
WEIGHT:416G/M2</t>
  </si>
  <si>
    <t>ART.EBT160511
COMP:F:100%PU G:100%PL
WIDTH:132CM
WEIGHT:355G/M2</t>
  </si>
  <si>
    <t>ART.EBT160509
COMP:F:100%PU G:100%PL
WIDTH:132CM
WEIGHT:253G/M2</t>
    <phoneticPr fontId="51" type="noConversion"/>
  </si>
  <si>
    <t>EBT160501</t>
  </si>
  <si>
    <t>EBT160502</t>
  </si>
  <si>
    <t>EBT160503</t>
  </si>
  <si>
    <t>EBT160504</t>
  </si>
  <si>
    <t>ART.EBT160501
COMP:50%PL 50%PU
WIDTH:135CM
WEIGHT:456G/M2</t>
  </si>
  <si>
    <t>ART.EBT160502
COMP:50%PL 50%PU
WIDTH:135CM
WEIGHT:485G/M2</t>
  </si>
  <si>
    <t>ART.EBT160504
COMP:F:60%PL 40%WO G:95%PL 5%EA
WIDTH:142CM
WEIGHT:612G/M2</t>
  </si>
  <si>
    <t>ART.EBT160506
COMP:F:79%PL 16%VI 5%EA
G: 100%PL
WIDTH: 142CM
WEIGHT:365G/M2</t>
    <phoneticPr fontId="51" type="noConversion"/>
  </si>
  <si>
    <t>ART.EBT160456
COMP:F:79%PL 16%VI 5%EA
G:95%PL 5%EA
WIDTH:142CM
WEIGHT:445G/M2</t>
    <phoneticPr fontId="51" type="noConversion"/>
  </si>
  <si>
    <t>ART.EBT160507
COMP:F:79%PL 16%VI 5%EA
G:100%PL
WIDTH: 142CM
WEIGHT:330G/M2</t>
    <phoneticPr fontId="51" type="noConversion"/>
  </si>
  <si>
    <t>EBT160479</t>
    <phoneticPr fontId="51" type="noConversion"/>
  </si>
  <si>
    <t>ART.EBT160479
COMP:100%CO
WIDTH:127CM
WEIGHT:</t>
    <phoneticPr fontId="51" type="noConversion"/>
  </si>
  <si>
    <t>ART.EBT160503
COMP:F:100%PL G:100%PL
WIDTH:132CM
WEIGHT:300G/M2</t>
  </si>
  <si>
    <t>EBT160512</t>
  </si>
  <si>
    <t>EBT160513</t>
  </si>
  <si>
    <t>EBT160514</t>
  </si>
  <si>
    <t>EBT160515</t>
  </si>
  <si>
    <t>ART.EBT160512
COMP:F:100%PU G:100%PL
WIDTH:135CM
WEIGHT:</t>
  </si>
  <si>
    <t>ART.EBT160513
COMP:F:100%PU G:100%PL
WIDTH:135CM
WEIGHT:</t>
  </si>
  <si>
    <t>ART.EBT160514
COMP:F:100%PU G:90%PL 10%CO
WIDTH:135CM
WEIGHT:</t>
  </si>
  <si>
    <t>ART.EBT160515
COMP:F:100%PU G:90%PL 10%CO
WIDTH:135CM
WEIGHT:</t>
  </si>
  <si>
    <t>EBT91364-M</t>
    <phoneticPr fontId="51" type="noConversion"/>
  </si>
  <si>
    <t>ART.EBT91364-M
COMP:100%PU+100%PL
WIDTH:135CM</t>
    <phoneticPr fontId="51" type="noConversion"/>
  </si>
  <si>
    <t>EBT160516</t>
  </si>
  <si>
    <t>ART.EBT160516
COMP:100%PL
WIDTH: 110CM
WEIGHT:</t>
  </si>
  <si>
    <t>EBT160518</t>
  </si>
  <si>
    <t>EBT160519</t>
  </si>
  <si>
    <t>EBT160520</t>
  </si>
  <si>
    <t>EBT160521</t>
  </si>
  <si>
    <t>EBT160522</t>
  </si>
  <si>
    <t>EBT160523</t>
  </si>
  <si>
    <t>EBT160524</t>
  </si>
  <si>
    <t>ART.EBT160518
COMP:84%PL 15%VI 1%EA
WIDTH:135CM
WEIGHT:240G/M2</t>
  </si>
  <si>
    <t>ART.EBT160519
COMP:69%PL 29%CO 2%EA
WIDTH:140CM
WEIGHT:205G/M2</t>
  </si>
  <si>
    <t>ART.EBT160520
COMP:75%PL 24%CO 1%EA
WIDTH:135CM
WEIGHT:265G/M2</t>
  </si>
  <si>
    <t>ART.EBT160521
COMP:50%PL 48%VI 2%EA
WIDTH:135CM
WEIGHT:243G/M2</t>
  </si>
  <si>
    <t>ART.EBT160522
COMP:43%PL 56%CO 1%EA
WIDTH:139CM
WEIGHT:255G/M2</t>
  </si>
  <si>
    <t>ART.EBT160523
COMP:60%CO 39%PA 1%EA
WIDTH:140CM
WEIGHT:180G/M2</t>
  </si>
  <si>
    <t>ART.EBT160524
COMP:60%CO 39%PA 1%EA
WIDTH:140CM
WEIGHT:180G/M2</t>
  </si>
  <si>
    <t>EBT160517</t>
  </si>
  <si>
    <t>ART.EBT160517
COMP:75%PL 24%CO 1%EA
WIDTH:135CM
WEIGHT:245G/M2</t>
    <phoneticPr fontId="51" type="noConversion"/>
  </si>
  <si>
    <t>EBT160525</t>
  </si>
  <si>
    <t>EBT160526</t>
  </si>
  <si>
    <t>ART.EBT160525
COMP:70%SE 20%VI 10%ME
WIDTH:130CM
WEIGHT:</t>
  </si>
  <si>
    <t>ART.EBT160526
COMP:55%SE 45%CO 
WIDTH:130CM
WEIGHT:</t>
  </si>
  <si>
    <t>EBT160527</t>
  </si>
  <si>
    <t>ART.EBT160527
COMP:70%PL 28%VI 2%EA
WIDTH:140CM
WEIGHT:244G/M2</t>
  </si>
  <si>
    <t>EBT160541</t>
  </si>
  <si>
    <t>EBT160529</t>
  </si>
  <si>
    <t>EBT160530</t>
  </si>
  <si>
    <t>EBT160531</t>
  </si>
  <si>
    <t>EBT160532</t>
  </si>
  <si>
    <t>EBT160533</t>
  </si>
  <si>
    <t>EBT160534</t>
  </si>
  <si>
    <t>EBT160535</t>
  </si>
  <si>
    <t>EBT160536</t>
  </si>
  <si>
    <t>EBT160537</t>
  </si>
  <si>
    <t>EBT160538</t>
  </si>
  <si>
    <t>EBT160539</t>
  </si>
  <si>
    <t>EBT160540</t>
  </si>
  <si>
    <t>ART.EBT160541
COMP:80%SE 20%VI
WIDTH:130CM
WEIGHT:</t>
  </si>
  <si>
    <t>ART.EBT160529
COMP:95%PL 5%EA
WIDTH:140CM
WEIGHT:450G/M2</t>
  </si>
  <si>
    <t>ART.EBT160530
COMP:100%PL
WIDTH:140CM
WEIGHT:485G/M2</t>
  </si>
  <si>
    <t>ART.EBT160531
COMP:95%PL 5%EA
WIDTH:140CM
WEIGHT:495G/M2</t>
  </si>
  <si>
    <t>ART.EBT160532
COMP:100%PL
WIDTH:140CM
WEIGHT:388G/M2</t>
  </si>
  <si>
    <t>ART.EBT160533
COMP:97%PL 3%EA
WIDTH:140CM
WEIGHT:275G/M2</t>
  </si>
  <si>
    <t>ART.EBT160534
COMP:95%PL 5%EA
WIDTH:140CM
WEIGHT:445G/M2</t>
  </si>
  <si>
    <t>ART.EBT160535
COMP:F:100%PA G:50%PU 50%PL
WIDTH:135CM
WEIGHT:305G/M2</t>
    <phoneticPr fontId="51" type="noConversion"/>
  </si>
  <si>
    <t>ART.EBT160536
COMP:F:100%PU G:100%PL
WIDTH:140CM
WEIGHT:140G/M2</t>
    <phoneticPr fontId="51" type="noConversion"/>
  </si>
  <si>
    <t>ART.EBT160537
COMP:F:100%PA G:50%PU 50%PL
WIDTH:135CM
WEIGHT:222G/M2</t>
    <phoneticPr fontId="51" type="noConversion"/>
  </si>
  <si>
    <t>ART.EBT160538
COMP:100%PL
WIDTH:140CM
WEIGHT:439G/M2</t>
    <phoneticPr fontId="51" type="noConversion"/>
  </si>
  <si>
    <t>ART.EBT160539
COMP:100%PL
WIDTH:140CM
WEIGHT:427G/M2</t>
    <phoneticPr fontId="51" type="noConversion"/>
  </si>
  <si>
    <t>ART.EBT160540
COMP:100%PL
WIDTH:140CM
WEIGHT:330G/M2</t>
    <phoneticPr fontId="51" type="noConversion"/>
  </si>
  <si>
    <t>EBT160542</t>
  </si>
  <si>
    <t>EBT160448</t>
  </si>
  <si>
    <t>ART.EBT160448
COMP:100%CO
WIDTH:128CM
WEIGHT:</t>
    <phoneticPr fontId="51" type="noConversion"/>
  </si>
  <si>
    <t>EBT160543</t>
  </si>
  <si>
    <t>EBT160544</t>
  </si>
  <si>
    <t>EBT160545</t>
  </si>
  <si>
    <t>ART.EBT160543
COMP:99%CO 1%EA
WIDTH:142CM
WEIGHT:220G/M2</t>
    <phoneticPr fontId="51" type="noConversion"/>
  </si>
  <si>
    <t>ART.EBT160544
COMP:99%CO 1%EA
WIDTH:134CM
WEIGHT:190G/M2</t>
    <phoneticPr fontId="51" type="noConversion"/>
  </si>
  <si>
    <t>ART.EBT160545
COMP:99%CO 1%EA
WIDTH:129CM
WEIGHT:200G/M2</t>
    <phoneticPr fontId="51" type="noConversion"/>
  </si>
  <si>
    <t>EBT160546</t>
  </si>
  <si>
    <t>EBT160547</t>
  </si>
  <si>
    <t>EBT160548</t>
  </si>
  <si>
    <t>ART.EBT160546
COMP:97%PL 3%EA
WIDTH:142CM
WEIGHT:422G/M2</t>
  </si>
  <si>
    <t>ART.EBT160547
COMP:98%PL 2%EA
WIDTH:142CM
WEIGHT:363G/M2</t>
  </si>
  <si>
    <t>ART.EBT160548
COMP:94%PL 6%EA
WIDTH:142CM
WEIGHT:393G/M2</t>
  </si>
  <si>
    <t>EBT160549</t>
  </si>
  <si>
    <t>EBT160550</t>
  </si>
  <si>
    <t>EBT160551</t>
  </si>
  <si>
    <t>EBT160552</t>
  </si>
  <si>
    <t>EBT160553</t>
  </si>
  <si>
    <t>EBT160554</t>
  </si>
  <si>
    <t>EBT160555</t>
  </si>
  <si>
    <t>EBT160556</t>
  </si>
  <si>
    <t>EBT160557</t>
  </si>
  <si>
    <t>EBT160558</t>
  </si>
  <si>
    <t>EBT160559</t>
  </si>
  <si>
    <t>EBT160560</t>
  </si>
  <si>
    <t>EBT160561</t>
  </si>
  <si>
    <t>ART.EBT160549
COMP:F:100%PU G:85%PL 15%EA
WIDTH:135CM
WEIGHT:287G/M2</t>
  </si>
  <si>
    <t>ART.EBT160550
COMP:F:100%PU G:100%VI
WIDTH:135CM
WEIGHT:300G/M2</t>
  </si>
  <si>
    <t>ART.EBT160551
COMP:F:100%PU G:100%PL 
WIDTH:135CM
WEIGHT:236G/M2</t>
  </si>
  <si>
    <t>ART.EBT160552
COMP:F:100%PU G:100%PL 
WIDTH:135CM
WEIGHT:303G/M2</t>
  </si>
  <si>
    <t>ART.EBT160553
COMP:F:100%PU G:90%PL 10%CO
WIDTH:135CM
WEIGHT:384G/M2</t>
  </si>
  <si>
    <t>ART.EBT160554
COMP:F:100%PU G:100%PL 
WIDTH:135CM
WEIGHT:357G/M2</t>
  </si>
  <si>
    <t>ART.EBT160556
COMP:F:100%PU G:85%VI 15%PL 
WIDTH:135CM
WEIGHT:322G/M2</t>
  </si>
  <si>
    <t>ART.EBT160557
COMP:F:100%PU G:100%VI
WIDTH:135CM
WEIGHT:345G/M2</t>
  </si>
  <si>
    <t>ART.EBT160558
COMP:F:100%PU G:100%VI
WIDTH:135CM
WEIGHT:321G/M2</t>
  </si>
  <si>
    <t>ART.EBT160559
COMP:F:100%PU G:100%PL 
WIDTH:135CM
WEIGHT:347G/M2</t>
  </si>
  <si>
    <t>ART.EBT160560
COMP:F:100%PU G:100%PL 
WIDTH:135CM
WEIGHT:265G/M2</t>
  </si>
  <si>
    <t>ART.EBT160561
COMP:F:100%PU G:100%PL 
WIDTH:135CM
WEIGHT:310G/M2</t>
  </si>
  <si>
    <t>EBT160563</t>
  </si>
  <si>
    <t>EBT160564</t>
  </si>
  <si>
    <t>ART.EBT160563
COMP:F:97%CO 3%EA G:100%PL
WIDTH: 140CM
WEIGHT:340G/M2</t>
  </si>
  <si>
    <t>ART.EBT160564
COMP:F:100%CO G:100%PL
WIDTH: 142CM
WEIGHT:385G/M2</t>
  </si>
  <si>
    <t>EBT160562</t>
  </si>
  <si>
    <t>EBT160565</t>
  </si>
  <si>
    <t>ART.EBT160565
COMP:71%CO 14%PL 11%PC 4%VI
WIDTH: 140CM
WEIGHT:315G/M2</t>
  </si>
  <si>
    <t>ART.EBT160562
COMP:95%PL 5%VI
WIDTH:144CM
WEIGHT:400G/M2</t>
    <phoneticPr fontId="51" type="noConversion"/>
  </si>
  <si>
    <t>EBT160088</t>
  </si>
  <si>
    <t>ART.EBT160088
COMP:100%PL
WIDTH:125CM
WEIGHT:</t>
    <phoneticPr fontId="51" type="noConversion"/>
  </si>
  <si>
    <t>EBT160566</t>
  </si>
  <si>
    <t>EBT160567</t>
  </si>
  <si>
    <t>ART.EBT160566
COMP:53%PL 44%CO 3%EA
WIDTH:144CM
WEIGHT:240G/M2</t>
  </si>
  <si>
    <t>ART.EBT160567
COMP:89%PL 8%VI 3%EA
WIDTH:144CM
WEIGHT:230G/M2</t>
  </si>
  <si>
    <t>EBT160568</t>
  </si>
  <si>
    <t>EBT160569</t>
  </si>
  <si>
    <t>EBT160570</t>
  </si>
  <si>
    <t>ART.EBT160568
COMP:G:100%PA EMB:100%PL
WIDTH:128CM
WEIGHT:143G/M2</t>
  </si>
  <si>
    <t>ART.EBT160569
COMP:97%PL 3%EA
WIDTH:142CM
WEIGHT:120G/M2</t>
  </si>
  <si>
    <t>ART.EBT160570
COMP:97%PL 3%EA
WIDTH:142CM
WEIGHT:120G/M2</t>
  </si>
  <si>
    <t>EBT160572</t>
  </si>
  <si>
    <t>EBT160573</t>
  </si>
  <si>
    <t>EBT160574</t>
  </si>
  <si>
    <t>EBT160575</t>
  </si>
  <si>
    <t>EBT160576</t>
  </si>
  <si>
    <t>ART.EBT160572
COMP:62%CO 35%PL 3%EA
WIDTH:133CM
WEIGHT:256/GM2</t>
  </si>
  <si>
    <t>ART.EBT160573
COMP:51%CO 46%PL 3%EA
WIDTH:144CM
WEIGHT:286G/M2</t>
  </si>
  <si>
    <t>ART.EBT160574
COMP:52%CO 45%PL 3%EA
WIDTH:132CM
WEIGHT:268G/M2</t>
  </si>
  <si>
    <t>ART.EBT160575
COMP:62%CO 35%PL 3%EA
WIDTH:142CM
WEIGHT:222G/M2</t>
  </si>
  <si>
    <t>ART.EBT160576
COMP:46%PL 51%VI 3%EA
WIDTH:144CM
WEIGHT:294G/M2</t>
  </si>
  <si>
    <t>EBT160571</t>
  </si>
  <si>
    <t>ART.EBT160571
COMP:100%PL
WIDTH:128CM
WEIGHT:215G/M2</t>
  </si>
  <si>
    <t>EBT160531-1</t>
  </si>
  <si>
    <t>EBT160533-1</t>
  </si>
  <si>
    <t>EBT160536-1</t>
  </si>
  <si>
    <t>ART.EBT160531-1
COMP:95%PL 5%EA
WIDTH:140CM
WEIGHT:472G/M2</t>
  </si>
  <si>
    <t>ART.EBT160533-1
COMP:97%PL 3%EA
WIDTH:140CM
WEIGHT:350G/M2</t>
  </si>
  <si>
    <t>ART.EBT160536-1
COMP:F:100%PU G:100%PL
WIDTH:140CM
WEIGHT:174G/M2</t>
  </si>
  <si>
    <t>EBT160577</t>
  </si>
  <si>
    <t>ART.EBT160577
COMP:F:100%PU G:95%CO 5%EA
WIDTH:137CM
WEIGHT:298G/M2</t>
    <phoneticPr fontId="51" type="noConversion"/>
  </si>
  <si>
    <t>EBT160580</t>
  </si>
  <si>
    <t>EBT160581</t>
  </si>
  <si>
    <t>EBT160582</t>
  </si>
  <si>
    <t>EBT160583</t>
  </si>
  <si>
    <t>EBT160584</t>
  </si>
  <si>
    <t>EBT160585</t>
  </si>
  <si>
    <t>ART.EBT160585
COMP:100%PL
WIDTH:125CM
WEIGHT:</t>
  </si>
  <si>
    <t>ART.EBT160580
COMP:100%PL
WIDTH:125CM
WEIGHT:</t>
    <phoneticPr fontId="51" type="noConversion"/>
  </si>
  <si>
    <t>ART.EBT160581
COMP:100%PL
WIDTH:125CM
WEIGHT:</t>
    <phoneticPr fontId="51" type="noConversion"/>
  </si>
  <si>
    <t>ART.EBT160582
COMP:90%PA 10%EA
WIDTH:125CM
WEIGHT:</t>
    <phoneticPr fontId="51" type="noConversion"/>
  </si>
  <si>
    <t>ART.EBT160583
COMP:100%PL
WIDTH:114CM
WEIGHT:</t>
    <phoneticPr fontId="51" type="noConversion"/>
  </si>
  <si>
    <t>ART.EBT160584
COMP:100%PL
WIDTH:125CM
WEIGHT:</t>
    <phoneticPr fontId="51" type="noConversion"/>
  </si>
  <si>
    <t>EBT160586</t>
  </si>
  <si>
    <t>EBT160587</t>
  </si>
  <si>
    <t>ART.EBT160586
COMP:75%CO 17%PL 8%VI
WIDTH:140CM
WEIGHT:215G/M2</t>
  </si>
  <si>
    <t>ART.EBT160587
COMP:55%CO 45%LI
WIDTH:140CM
WEIGHT:270G/M2</t>
  </si>
  <si>
    <t>EBT160578</t>
  </si>
  <si>
    <t>ART.EBT160578
COMP:88%PL 12%PA
WIDTH:158cm
WEIGHT:205G/M2</t>
  </si>
  <si>
    <t>EBT160588</t>
  </si>
  <si>
    <t>EBT160589</t>
  </si>
  <si>
    <t>EBT160590</t>
  </si>
  <si>
    <t>EBT160591</t>
  </si>
  <si>
    <t>EBT160592</t>
  </si>
  <si>
    <t>EBT160593</t>
  </si>
  <si>
    <t>EBT160594</t>
  </si>
  <si>
    <t>ART.EBT160588
COMP:100%PL
WIDTH:126CM
WEIGHT:</t>
  </si>
  <si>
    <t>ART.EBT160589
COMP:100%PL
WIDTH:126CM
WEIGHT:</t>
  </si>
  <si>
    <t>ART.EBT160590
COMP:100%PL
WIDTH:126CM
WEIGHT:</t>
  </si>
  <si>
    <t>ART.EBT160591
COMP:100%PL
WIDTH:126CM
WEIGHT:</t>
  </si>
  <si>
    <t>ART.EBT160592
COMP:100%PL
WIDTH:126CM
WEIGHT:</t>
  </si>
  <si>
    <t>ART.EBT160593
COMP:100%PL
WIDTH:126CM
WEIGHT:</t>
  </si>
  <si>
    <t>ART.EBT160594
COMP:100%PL
WIDTH:126CM
WEIGHT:</t>
  </si>
  <si>
    <t>EBT160595</t>
  </si>
  <si>
    <t>EBT160597</t>
  </si>
  <si>
    <t>EBT160598</t>
  </si>
  <si>
    <t>EBT160599</t>
  </si>
  <si>
    <t>EBT160600</t>
  </si>
  <si>
    <t>EBT160601</t>
  </si>
  <si>
    <t>EBT160562B</t>
  </si>
  <si>
    <t>ART.EBT160562B
COMP:F:95%PL 5%VI G:100%PL
WIDTH:142CM
WEIGHT:470G/M2</t>
    <phoneticPr fontId="51" type="noConversion"/>
  </si>
  <si>
    <t>EBT160605</t>
  </si>
  <si>
    <t>EBT160602</t>
  </si>
  <si>
    <t>EBT160603</t>
  </si>
  <si>
    <t>EBT160604</t>
  </si>
  <si>
    <t>ART.EBT160604
COMP:94%PL 6%EA
WIDTH:143CM
WEIGHT:630G/M2</t>
    <phoneticPr fontId="51" type="noConversion"/>
  </si>
  <si>
    <t>ART.EBT160603
COMP:92%PL 8%EA
WIDTH:143CM
WEIGHT:490G/M2</t>
    <phoneticPr fontId="51" type="noConversion"/>
  </si>
  <si>
    <t>ART.EBT160602
COMP:100%PL
WIDTH:143CM
WEIGHT:470G/M2</t>
    <phoneticPr fontId="51" type="noConversion"/>
  </si>
  <si>
    <t>ART.EBT160605
COMP:100%PL
WIDTH:142CM
WEIGHT:230G/M2</t>
    <phoneticPr fontId="51" type="noConversion"/>
  </si>
  <si>
    <t>ART.EBT160601
COMP:F:60%PL 40%WO G:100%PL
WIDTH:140CM
WEIGHT:500G/M2</t>
    <phoneticPr fontId="51" type="noConversion"/>
  </si>
  <si>
    <t>ART.EBT160600
COMP:F:95%PL 5%VI G:100%PL
WIDTH:142CM
WEIGHT:639G/M2</t>
    <phoneticPr fontId="51" type="noConversion"/>
  </si>
  <si>
    <t>ART.EBT160599
COMP:F:47%PL 35%WO 10%AF 8%AC G:100%PL
WIDTH:142CM
WEIGHT:580G/M2</t>
    <phoneticPr fontId="51" type="noConversion"/>
  </si>
  <si>
    <t>ART.EBT160598
COMP:F:80%PL 5%WO 15%AF G:100%PL
WIDTH:137CM
WEIGHT:500G/M2</t>
    <phoneticPr fontId="51" type="noConversion"/>
  </si>
  <si>
    <t>ART.EBT160597
COMP:F:70%PL 30%WO G:100%PL
WIDTH:142CM
WEIGHT:520G/M2</t>
    <phoneticPr fontId="51" type="noConversion"/>
  </si>
  <si>
    <t>EBT260291</t>
  </si>
  <si>
    <t>EBT260249</t>
  </si>
  <si>
    <t>EBT260250</t>
  </si>
  <si>
    <t>EBT260251</t>
  </si>
  <si>
    <t>EBT260252</t>
  </si>
  <si>
    <t>EBT260253</t>
  </si>
  <si>
    <t>EBT260254</t>
  </si>
  <si>
    <t>EBT260259</t>
  </si>
  <si>
    <t>EBT260260</t>
  </si>
  <si>
    <t>EBT260261</t>
  </si>
  <si>
    <t>EBT260262</t>
  </si>
  <si>
    <t>EBT260263</t>
  </si>
  <si>
    <t>EBT260264</t>
  </si>
  <si>
    <t>EBT260265</t>
  </si>
  <si>
    <t>EBT260266</t>
  </si>
  <si>
    <t>EBT260267</t>
  </si>
  <si>
    <t>EBT260268</t>
  </si>
  <si>
    <t>EBT260269</t>
  </si>
  <si>
    <t>EBT260270</t>
  </si>
  <si>
    <t>EBT260271</t>
  </si>
  <si>
    <t>EBT260272</t>
  </si>
  <si>
    <t>EBT260273</t>
  </si>
  <si>
    <t>EBT260274</t>
  </si>
  <si>
    <t>EBT260275</t>
  </si>
  <si>
    <t>EBT260276</t>
  </si>
  <si>
    <t>EBT260277</t>
  </si>
  <si>
    <t>EBT260278</t>
  </si>
  <si>
    <t>EBT260279</t>
  </si>
  <si>
    <t>EBT260280</t>
  </si>
  <si>
    <t>EBT260281</t>
  </si>
  <si>
    <t>EBT260282</t>
  </si>
  <si>
    <t>EBT260283</t>
  </si>
  <si>
    <t>EBT260284</t>
  </si>
  <si>
    <t>EBT260285</t>
  </si>
  <si>
    <t>EBT260286</t>
  </si>
  <si>
    <t>EBT260287</t>
  </si>
  <si>
    <t>EBT260288</t>
  </si>
  <si>
    <t>EBT260289</t>
  </si>
  <si>
    <t>EBT260290</t>
  </si>
  <si>
    <t>EBT260292</t>
  </si>
  <si>
    <t>ART.EBT160595
COMP:F:80%PL 20%WO G:100%PL
WIDTH:CW:139CM
WEIGHT:440G/M2</t>
    <phoneticPr fontId="51" type="noConversion"/>
  </si>
  <si>
    <t>ART.EBT260251
COMP:100%PA
WIDTH:145CM
WEIGHT:53G/M2</t>
  </si>
  <si>
    <t>ART.EBT260252
COMP:100%PA
WIDTH:145CM
WEIGHT:48G/M2</t>
  </si>
  <si>
    <t>ART.EBT260253
COMP:100%PA
WIDTH:150CM
WEIGHT:</t>
  </si>
  <si>
    <t>ART.EBT260254
COMP:100%PA
WIDTH:150CM
WEIGHT:48G/M2</t>
  </si>
  <si>
    <t>ART.EBT260259
COMP:47%VI 50% RAYON 3%EA
WIDTH:146CM
WEIGHT:270G/M2</t>
  </si>
  <si>
    <t>ART.EBT260260
COMP:F:30%WO 70%OTHER G:100%PL YOYO 
WIDTH:145cm
WEIGHT:540G/M2</t>
  </si>
  <si>
    <t>ART.EBT260261
COMP:100%PL
WIDTH:145CM
WEIGHT:150G/M2</t>
  </si>
  <si>
    <t>ART.EBT260262
COMP:94%PL 6%EA
WIDTH:145CM
WEIGHT:280G/M2</t>
  </si>
  <si>
    <t>ART.EBT260263
COMP:94%PL 6%EA
WIDTH:145CM
WEIGHT:280G/M2</t>
  </si>
  <si>
    <t>ART.EBT260264
COMP:94%PL 6%EA
WIDTH:145CM
WEIGHT:300G/M2</t>
  </si>
  <si>
    <t>ART.EBT260265
COMP:39%NY 38%VI 17%PL 6%EA
WIDTH:150CM
WEIGHT:300G/M2</t>
  </si>
  <si>
    <t>ART.EBT260266
COMP:39%NY 38%VI 17%PL 6%EA
WIDTH:150CM
WEIGHT:420G/M2</t>
  </si>
  <si>
    <t>ART.EBT260267
COMP:57%VI 22%PL 18%PA 3%EA
WIDTH:150CM
WEIGHT:420G/M2</t>
  </si>
  <si>
    <t>ART.EBT260267
COMP:57%VI 22%PL 18%PA 3%EA
WIDTH:150CM
WEIGHT:410G/M2</t>
  </si>
  <si>
    <t>ART.EBT260268
COMP:63%PL 33%VI 4%EA
WIDTH:138CM
WEIGHT:312G/M2</t>
  </si>
  <si>
    <t>ART.EBT260269
COMP:63%PL 33%VI 4%EA
WIDTH:134CM
WEIGHT:335G/M2</t>
  </si>
  <si>
    <t>ART.EBT260270
COMP:50%VI 50%PA
WIDTH:144CM
WEIGHT:85G/M2</t>
  </si>
  <si>
    <t>ART.EBT260271
COMP:50%VI 50%PA
WIDTH:144CM
WEIGHT:130G/M2</t>
  </si>
  <si>
    <t>ART.EBT260272
COMP:50%VI 50%PA
WIDTH:144CM
WEIGHT:150G/M2</t>
  </si>
  <si>
    <t>ART.EBT260273
COMP:20%WO 66%CO 8%PL 5%PC 1%EA
WIDTH:154CM
WEIGHT:376G/M2</t>
  </si>
  <si>
    <t>ART.EBT260274
COMP:95%PL 5%EA
WIDTH:145CM
WEIGHT:280G/M2</t>
  </si>
  <si>
    <t>ART.EBT260275
COMP:100%PL
WIDTH:150CM
WEIGHT:287G/M2</t>
  </si>
  <si>
    <t>ART.EBT260276
COMP: 88%PL 12%EA
WIDTH:147CM
WEIGHT:394G/M2</t>
  </si>
  <si>
    <t>ART.EBT260277
COMP:74%VI 24%RAYON 2%EA
WIDTH:140CM
WEIGHT:260G/M2</t>
  </si>
  <si>
    <t>ART.EBT260278
COMP:100%VI
WIDTH:140CM
WEIGHT:265G/M2</t>
  </si>
  <si>
    <t>ART.EBT260279
COMP:97%PL 3%EA
WIDTH:152CM
WEIGHT:250G/M2</t>
  </si>
  <si>
    <t>ART.EBT260280
COMP:50%WO 50%PL
WIDTH:142CM
WEIGHT:513G/M2</t>
  </si>
  <si>
    <t>ART.EBT260281
COMP:50%WO 50%PL
WIDTH:150CM
WEIGHT:520G/M2</t>
  </si>
  <si>
    <t>ART.EBT260282
COMP:50%WO 50%VI
WIDTH:150CM
WEIGHT:480G/M2</t>
  </si>
  <si>
    <t>ART.EBT260283
COMP:30%WO 70%PL
WIDTH:144CM
WEIGHT:800G/M</t>
  </si>
  <si>
    <t>ART.EBT260284
COMP:50%WO 50%PL
WIDTH:145CM
WEIGHT:500G/M2</t>
  </si>
  <si>
    <t>ART.EBT260285
COMP:30%WO 70%PL
WIDTH:145CM
WEIGHT:500G/M2</t>
  </si>
  <si>
    <t>ART.EBT260287
COMP:40%WO 60%OTHER
WIDTH:150CM
WEIGHT:750G/M</t>
  </si>
  <si>
    <t>ART.EBT260288
COMP:40%WO 60%OTHER
WIDTH:150CM
WEIGHT:750G/M</t>
  </si>
  <si>
    <t>ART.EBT260289
COMP:35%WO 65%VI
WIDTH:150CM
WEIGHT:720G/M</t>
  </si>
  <si>
    <t>ART.EBT260290
COMP:97%CO 3%EA
WIDTH:53/54"
WEIGHT:340G/M2</t>
  </si>
  <si>
    <t>ART.EBT260291
COMP:61%MODAL 39%PL
WIDTH:142CM
WEIGHT:225G/M2</t>
  </si>
  <si>
    <t>ART.EBT260292
COMP:84%PA 16%EA
WIDTH:139CM
WEIGHT:260G/M2</t>
  </si>
  <si>
    <t>ART.EBT260249
COMP:54%CO 30%PL 16%VI 
WIDTH:143CM 
WEIGHT:305G/M2</t>
    <phoneticPr fontId="51" type="noConversion"/>
  </si>
  <si>
    <t>ART.EBT260250
COMP:100%PA
WIDTH:145CM
WEIGHT:58G/M2</t>
    <phoneticPr fontId="51" type="noConversion"/>
  </si>
  <si>
    <t>EBT160607</t>
  </si>
  <si>
    <t>EBT160608</t>
  </si>
  <si>
    <t>ART.EBT160607
COMP:50%PL 48%CO 2%EA
WIDTH:124CM
WEIGHT:320G/M2</t>
    <phoneticPr fontId="51" type="noConversion"/>
  </si>
  <si>
    <t>ART.EBT160608
COMP:F:100%PU G:95%PL 5%EA
WIDTH:142CM
WEIGHT:175G/M2</t>
    <phoneticPr fontId="51" type="noConversion"/>
  </si>
  <si>
    <t>EBT160606</t>
  </si>
  <si>
    <t>ART.EBT160606
COMP:100%CO
WIDTH:125CM
WEIGHT:</t>
    <phoneticPr fontId="51" type="noConversion"/>
  </si>
  <si>
    <t>EBT160609</t>
  </si>
  <si>
    <t>EBT160610</t>
  </si>
  <si>
    <t>ART.EBT160609
COMP:100%PL
WIDTH: 125CM
WEIGHT:</t>
  </si>
  <si>
    <t>ART.EBT160610
COMP:100%PL
WIDTH: 125CM
WEIGHT:</t>
  </si>
  <si>
    <t>EBT160611</t>
  </si>
  <si>
    <t>EBT160612</t>
  </si>
  <si>
    <t>ART.EBT160611
COMP:100%PL
WIDTH: 128CM
WEIGHT:</t>
    <phoneticPr fontId="51" type="noConversion"/>
  </si>
  <si>
    <t>ART.EBT160612
COMP:100%PL
WIDTH: 128CM
WEIGHT:</t>
    <phoneticPr fontId="51" type="noConversion"/>
  </si>
  <si>
    <t>ART.EBT140354
COMP:100%PL
WIDTH:52"
WEIGHT:315G/SM</t>
    <phoneticPr fontId="51" type="noConversion"/>
  </si>
  <si>
    <t>EBT160378</t>
  </si>
  <si>
    <t>EBT160579</t>
  </si>
  <si>
    <t>EBT160037</t>
  </si>
  <si>
    <t>EBT160613</t>
  </si>
  <si>
    <t>ART.EBT160378
COMP:96%VI 4%EA
WIDTH:145CM
WEIGHT:345G/M2</t>
  </si>
  <si>
    <t>ART.EBT160579
COMP:75%PA 25%VI
WIDTH:120CM
WEIGHT:</t>
  </si>
  <si>
    <t>ART.EBT160037
COMP:95%PL 5%EA
WIDTH:145CM
WEIGHT:250G/M2</t>
  </si>
  <si>
    <t>ART.EBT160613
COMP:100%PL
WIDTH: 127CM
WEIGHT:460G/M2</t>
  </si>
  <si>
    <t>EBT120505</t>
  </si>
  <si>
    <t>ART.EBT120505
COMP:49.1%PA 50.9%CO
WIDTH:56"/58"
WEIGHT:165G/M</t>
  </si>
  <si>
    <t>EBT160615</t>
  </si>
  <si>
    <t>EBT160616</t>
  </si>
  <si>
    <t>EBT160617</t>
  </si>
  <si>
    <t>EBT160618</t>
  </si>
  <si>
    <t>EBT160619</t>
  </si>
  <si>
    <t>EBT160620</t>
  </si>
  <si>
    <t>ART.EBT160615
COMP:95%TENCEL 5%EA
WIDTH:142CM
WEIGHT:170G/M2</t>
  </si>
  <si>
    <t>ART.EBT160616
COMP:100%PL
WIDTH:142CM
WEIGHT:175G/M2</t>
  </si>
  <si>
    <t>ART.EBT160617
COMP:58%MODAL 42%VI
WIDTH:126CM
WEIGHT:150G/M2</t>
  </si>
  <si>
    <t>ART.EBT160618
COMP:72%MODAL 28%PL
WIDTH:142CM
WEIGHT:115G/M2</t>
  </si>
  <si>
    <t>ART.EBT160619
COMP:100%PL
WIDTH:142CM
WEIGHT:95G/M2</t>
  </si>
  <si>
    <t>ART.EBT160620
COMP:95%PL 5%EA
WIDTH:142CM
WEIGHT:195G/M2</t>
  </si>
  <si>
    <t>EBT160614</t>
  </si>
  <si>
    <t>ART.EBT160614
COMP:100%PL
WIDTH:125CM
WEIGHT:</t>
  </si>
  <si>
    <t>EBT160621</t>
  </si>
  <si>
    <t>EBT160622</t>
  </si>
  <si>
    <t>ART.EBT160621
COMP:37%PL 59%CO 4%EA
WIDTH:142cm
WEIGHT:230G/M2</t>
  </si>
  <si>
    <t>ART.EBT160622
COMP:47%PL 50%CO 3%EA
WIDTH:142cm
WEIGHT:230G/M2</t>
  </si>
  <si>
    <t>EBT160640</t>
  </si>
  <si>
    <t>EBT160641</t>
  </si>
  <si>
    <t>EBT160642</t>
  </si>
  <si>
    <t>EBT160643</t>
  </si>
  <si>
    <t>EBT160644</t>
  </si>
  <si>
    <t>EBT160623</t>
  </si>
  <si>
    <t>EBT160624</t>
  </si>
  <si>
    <t>EBT160625</t>
  </si>
  <si>
    <t>EBT160626</t>
  </si>
  <si>
    <t>EBT160627</t>
  </si>
  <si>
    <t>EBT160628</t>
  </si>
  <si>
    <t>EBT160629</t>
  </si>
  <si>
    <t>EBT160630</t>
  </si>
  <si>
    <t>EBT160631</t>
  </si>
  <si>
    <t>EBT160632</t>
  </si>
  <si>
    <t>EBT160633</t>
  </si>
  <si>
    <t>EBT160634</t>
  </si>
  <si>
    <t>EBT160635</t>
  </si>
  <si>
    <t>EBT160636</t>
  </si>
  <si>
    <t>EBT160637</t>
  </si>
  <si>
    <t>EBT160638</t>
  </si>
  <si>
    <t>EBT160639</t>
  </si>
  <si>
    <t>ART.EBT160640
COMP:47%PL 31%CO 20%PC 2%ME
WIDTH:137CM
WEIGHT:275G/M2</t>
  </si>
  <si>
    <t>ART.EBT160641
COMP:41%PL 43%CO 16%VI
WIDTH:134CM
WEIGHT:270G/M2</t>
  </si>
  <si>
    <t>ART.EBT160642
COMP:74%PL 26%CO
WIDTH:134CM
WEIGHT:305G/M2</t>
  </si>
  <si>
    <t>ART.EBT160643
COMP:80%CO 20%PL
WIDTH:140CM
WEIGHT:320G/M2</t>
  </si>
  <si>
    <t>ART.EBT160644
COMP:59%CO 41%PL
WIDTH:139CM
WEIGHT:290G/M3</t>
  </si>
  <si>
    <t>ART.EBT160623
COMP:100%PL
WIDTH:126CM
WEIGHT:</t>
  </si>
  <si>
    <t>ART.EBT160624
COMP:100%PL
WIDTH:126CM
WEIGHT:</t>
  </si>
  <si>
    <t>ART.EBT160625
COMP:100%PL
WIDTH:126CM
WEIGHT:</t>
  </si>
  <si>
    <t>ART.EBT160626
COMP:100%PL
WIDTH:126CM
WEIGHT:</t>
  </si>
  <si>
    <t>ART.EBT160627
COMP:100%PL
WIDTH:126CM
WEIGHT:</t>
  </si>
  <si>
    <t>ART.EBT160628
COMP:100%PL
WIDTH:126CM
WEIGHT:</t>
  </si>
  <si>
    <t>ART.EBT160629
COMP:100%PL
WIDTH:126CM
WEIGHT:</t>
  </si>
  <si>
    <t>ART.EBT160630
COMP:100%PL
WIDTH:126CM
WEIGHT:</t>
  </si>
  <si>
    <t>ART.EBT160631
COMP:100%PL
WIDTH:126CM
WEIGHT:</t>
  </si>
  <si>
    <t>ART.EBT160632
COMP:100%PL
WIDTH:126CM
WEIGHT:</t>
  </si>
  <si>
    <t>ART.EBT160633
COMP:100%PL
WIDTH:126CM
WEIGHT:</t>
  </si>
  <si>
    <t>ART.EBT160634
COMP:100%PL
WIDTH:126CM
WEIGHT:</t>
  </si>
  <si>
    <t>ART.EBT160635
COMP:100%PL
WIDTH:126CM
WEIGHT:</t>
  </si>
  <si>
    <t>ART.EBT160636
COMP:100%PL
WIDTH:126CM
WEIGHT:</t>
  </si>
  <si>
    <t>ART.EBT160637
COMP:100%PL
WIDTH:126CM
WEIGHT:</t>
  </si>
  <si>
    <t>ART.EBT160638
COMP:100%PL
WIDTH:126CM
WEIGHT:</t>
  </si>
  <si>
    <t>ART.EBT160639
COMP:100%PL
WIDTH:126CM
WEIGHT:</t>
  </si>
  <si>
    <t>EBT160528</t>
  </si>
  <si>
    <t>EBT160645</t>
  </si>
  <si>
    <t>EBT160646</t>
  </si>
  <si>
    <t>EBT160647</t>
  </si>
  <si>
    <t>ART.EBT160528
COMP:100%PL
WIDTH:126CM
WEIGHT:</t>
  </si>
  <si>
    <t>ART.EBT160645
COMP:100%PL
WIDTH:126CM
WEIGHT:</t>
  </si>
  <si>
    <t>ART.EBT160646
COMP:100%PL
WIDTH:126CM
WEIGHT:</t>
  </si>
  <si>
    <t>ART.EBT160647
COMP:100%PL
WIDTH:126CM
WEIGHT:</t>
  </si>
  <si>
    <t>EBT160648</t>
  </si>
  <si>
    <t>EBT160649</t>
  </si>
  <si>
    <t>EBT160650</t>
  </si>
  <si>
    <t>ART.EBT160648
COMP:100%PL
WIDTH:125CM
WEIGHT:107G/M2</t>
  </si>
  <si>
    <t>ART.EBT160649
COMP:65%PL 33%VI 2%EA
WIDTH:137CM
WEIGHT:390G/M2</t>
  </si>
  <si>
    <t>EBT160651</t>
  </si>
  <si>
    <t>ART.EBT160650
COMP:68%PL 30%VI 2%EA
WIDTH:137CM
WEIGHT:419G/M2</t>
    <phoneticPr fontId="51" type="noConversion"/>
  </si>
  <si>
    <t>ART.EBT160651
COMP:100%PA
WIDTH:137CM
WEIGHT:350G/M2</t>
    <phoneticPr fontId="51" type="noConversion"/>
  </si>
  <si>
    <t>EBT260293</t>
  </si>
  <si>
    <t>EBT260294</t>
  </si>
  <si>
    <t>EBT260295</t>
  </si>
  <si>
    <t>EBT260296</t>
  </si>
  <si>
    <t>EBT260297</t>
  </si>
  <si>
    <t>EBT260298</t>
  </si>
  <si>
    <t>EBT260299</t>
  </si>
  <si>
    <t>EBT260301</t>
  </si>
  <si>
    <t>EBT260302</t>
  </si>
  <si>
    <t>EBT260303</t>
  </si>
  <si>
    <t>EBT260304</t>
  </si>
  <si>
    <t>EBT260305</t>
  </si>
  <si>
    <t>EBT260306</t>
  </si>
  <si>
    <t>EBT260307</t>
  </si>
  <si>
    <t>EBT260308</t>
  </si>
  <si>
    <t>EBT260309</t>
  </si>
  <si>
    <t>EBT260312</t>
  </si>
  <si>
    <t>ART.EBT260293
COMP:97% CO 3% EA 
WIDTH:140CM
WEIGHT:230G/M2</t>
  </si>
  <si>
    <t>ART.EBT260294
COMP:97% CO 3% EA
WIDTH:140CM
WEIGHT:213G/M2</t>
  </si>
  <si>
    <t>ART.EBT260295
COMP:48%PA 42%CO 10%EA
WIDTH:137CM
WEIGHT:245G/M2</t>
  </si>
  <si>
    <t>ART.EBT260296
COMP:97% CO 3% EA
WIDTH:130CM
WEIGHT:220G/M2</t>
  </si>
  <si>
    <t>ART.EBT260297
COMP:40%PA 60%CO
WIDTH:141CM
WEIGHT:150G/M2</t>
  </si>
  <si>
    <t>ART.EBT260298
COMP:100%PL
WIDTH:157CM
WEIGHT:148G/M2</t>
  </si>
  <si>
    <t>ART.EBT260299
COMP:70%PL 30%CO
WIDTH:145CM
WEIGHT:200G/M2</t>
  </si>
  <si>
    <t>ART.EBT260301
COMP:53%PL 22%PA 25%MET
WIDTH:142CM
WEIGHT:67G/M2</t>
  </si>
  <si>
    <t>ART.EBT260302
COMP: 79%PL 21%PA
WIDTH:142CM
WEIGHT:128G/M2</t>
  </si>
  <si>
    <t>ART.EBT260303
COMP:100%PL
WIDTH:142CM
WEIGHT:152G/M2</t>
  </si>
  <si>
    <t>ART.EBT260304
COMP: 75%PL 25%CO
WIDTH:142CM
WEIGHT:193G/M2</t>
  </si>
  <si>
    <t>ART.EBT260305
COMP:42%PL 40%CO 18%MET
WIDTH:142CM
WEIGHT:140G/M2</t>
  </si>
  <si>
    <t>ART.EBT260306
COMP:100%PL
WIDTH:142CM
WEIGHT:183G/M2</t>
  </si>
  <si>
    <t>ART.EBT260307
COMP:52%VI 30%ME T18%PA
WIDTH:142CM
WEIGHT:135G/M2</t>
  </si>
  <si>
    <t>ART.EBT260308
COMP:63%PL 22%CO 15%MET
WIDTH:145CM
WEIGHT:158G/M2</t>
  </si>
  <si>
    <t>ART.EBT260309
COMP:66%PL 31%CO 1%MET
WIDTH:142CM
WEIGHT:190G/M2</t>
  </si>
  <si>
    <t>ART.EBT260312
COMP:70%PL 30%VI
WIDTH:142CM
WEIGHT:180G/M2</t>
  </si>
  <si>
    <t>EBT260311</t>
  </si>
  <si>
    <t>EBT260310</t>
  </si>
  <si>
    <t>ART.EBT260310
COMP:F:10%WO 90%PL  G:100%PL
WIDTH:145CM
WEIGHT:628G/M2</t>
  </si>
  <si>
    <t>ART.EBT260311
COMP:F:30%WO 70% OTHER  G:100%PL
WIDTH:147CM
WEIGHT:617G/M2</t>
  </si>
  <si>
    <t>EBT160652</t>
  </si>
  <si>
    <t>ART.EBT160652
COMP:F: 100%PL G: 95%PL 5%EA
WIDTH:142CM
WEIGHT:430G/M2</t>
  </si>
  <si>
    <t>ART.EBT160542
COMP:F:100%PU G:95%CO 5%EA
WIDTH:137CM
WEIGHT:286G/M2</t>
    <phoneticPr fontId="51" type="noConversion"/>
  </si>
  <si>
    <t>EBT160653</t>
  </si>
  <si>
    <t>EBT160654</t>
  </si>
  <si>
    <t>EBT160655</t>
  </si>
  <si>
    <t>EBT160656</t>
  </si>
  <si>
    <t>ART.EBT160653
COMP:100%CO
WIDTH:120CM
WEIGHT:</t>
  </si>
  <si>
    <t>ART.EBT160654
COMP:100%PL
WIDTH:120CM
WEIGHT:</t>
  </si>
  <si>
    <t>ART.EBT160655
COMP:100%CO
WIDTH:120CM
WEIGHT:</t>
  </si>
  <si>
    <t>ART.EBT160656
COMP:100%PL
WIDTH:120CM
WEIGHT:</t>
  </si>
  <si>
    <t>EBT140609-H Bonding</t>
  </si>
  <si>
    <t>ART.EBT140609-H Bonding
COMP:95%PL 5%EA
WIDTH: 142CM
WEIGHT:290/M2</t>
    <phoneticPr fontId="51" type="noConversion"/>
  </si>
  <si>
    <t>EBT160657</t>
  </si>
  <si>
    <t>EBT160658</t>
  </si>
  <si>
    <t>EBT130548</t>
  </si>
  <si>
    <t>ART.EBT160657
COMP:95%PL 5%EA
WIDTH:150CM
WEIGHT:390G/M2</t>
  </si>
  <si>
    <t>ART.EBT160658
COMP:95%PL 5%EA
WIDTH:160CM
WEIGHT:446G/M2</t>
  </si>
  <si>
    <t>ART.EBT130548
COMP:15%R 80%PL 5%SP
WIDTH:160CM
WEIGHT:380G/M2</t>
  </si>
  <si>
    <t>EBT160665</t>
  </si>
  <si>
    <t>ART.EBT160665
COMP:100%PL
WIDTH:126CM
WEIGHT:</t>
  </si>
  <si>
    <t>EBT160666</t>
  </si>
  <si>
    <t>EBT160667</t>
  </si>
  <si>
    <t>EBT160668</t>
  </si>
  <si>
    <t>ART.EBT160666
COMP:20%WO 80%PL
WIDTH:142CM
WEIGHT:1200G/M</t>
  </si>
  <si>
    <t>ART.EBT160667
COMP:40%WO 60%PL
WIDTH:142CM
WEIGHT:450G/M</t>
  </si>
  <si>
    <t>ART.EBT160668
COMP:30%WO 15%PC 55%PL
WIDTH:142CM
WEIGHT:640G/M</t>
  </si>
  <si>
    <t>EBT160670</t>
  </si>
  <si>
    <t>ART.EBT160670
COMP:30%WO 40%PL 30%VI
WIDTH:156CM
WEIGHT:420G/M2</t>
    <phoneticPr fontId="51" type="noConversion"/>
  </si>
  <si>
    <t>EBT160672</t>
  </si>
  <si>
    <t>EBT160671</t>
  </si>
  <si>
    <t>ART.EBT160672
COMP:65%PA  35%VI 
WIDTH:130CM
WEIGHT:</t>
    <phoneticPr fontId="51" type="noConversion"/>
  </si>
  <si>
    <t>ART.EBT160671
COMP:100%CO
WIDTH:136CM
WEIGHT:175G/M2</t>
    <phoneticPr fontId="51" type="noConversion"/>
  </si>
  <si>
    <t>EBT120417-FJ</t>
  </si>
  <si>
    <t>ART.EBT120417-FJ
COMP:96%R4%SP+PEC SEQUINS
WIDTH:130CM
WEIGHT:</t>
    <phoneticPr fontId="51" type="noConversion"/>
  </si>
  <si>
    <t>EBT160674</t>
  </si>
  <si>
    <t>EBT160673</t>
  </si>
  <si>
    <t>ART.EBT160673
COMP:F:65%PA 36%VI G:95%PL 5%EA
WIDTH:134CM
WEIGHT:440G/M2</t>
  </si>
  <si>
    <t>ART.EBT160674
COMP:95%PL 5%EA
WIDTH:144CM
WEIGHT:270G/M2</t>
    <phoneticPr fontId="51" type="noConversion"/>
  </si>
  <si>
    <t>EBT160675</t>
  </si>
  <si>
    <t>ART.EBT160675
COMP:100%PL
WIDTH: 128CM
WEIGHT:</t>
  </si>
  <si>
    <t>EBT160676</t>
  </si>
  <si>
    <t>ART.EBT160676
COMP:F:100%PU G:100%PL
WIDTH:134CM
WEIGHT:249G/M2</t>
    <phoneticPr fontId="51" type="noConversion"/>
  </si>
  <si>
    <t>EBT160677</t>
  </si>
  <si>
    <t>ART.EBT160677
COMP:96%PL 4%EA
WIDTH:143CM
WEIGHT:120G/M2</t>
    <phoneticPr fontId="51" type="noConversion"/>
  </si>
  <si>
    <t>EBT160678</t>
  </si>
  <si>
    <t>EBT160679</t>
  </si>
  <si>
    <t>EBT160680</t>
  </si>
  <si>
    <t>EBT160681</t>
  </si>
  <si>
    <t>EBT160682</t>
  </si>
  <si>
    <t>EBT160683</t>
  </si>
  <si>
    <t>EBT160684</t>
  </si>
  <si>
    <t>EBT160685</t>
  </si>
  <si>
    <t>EBT160686</t>
  </si>
  <si>
    <t>EBT160687</t>
  </si>
  <si>
    <t>EBT160688</t>
  </si>
  <si>
    <t>ART.EBT160679
COMP:100%PL
WIDTH:128CM
WEIGHT:</t>
  </si>
  <si>
    <t>ART.EBT160680
COMP:100%PL
WIDTH:128CM
WEIGHT:</t>
  </si>
  <si>
    <t>ART.EBT160681
COMP:100%PL
WIDTH:128CM
WEIGHT:</t>
  </si>
  <si>
    <t>ART.EBT160682
COMP:100%PL
WIDTH:128CM
WEIGHT:</t>
  </si>
  <si>
    <t>ART.EBT160683
COMP:100%PL
WIDTH:128CM
WEIGHT:</t>
  </si>
  <si>
    <t>ART.EBT160684
COMP:100%PL
WIDTH:128CM
WEIGHT:</t>
  </si>
  <si>
    <t>ART.EBT160685
COMP:100%PL
WIDTH:128CM
WEIGHT:</t>
  </si>
  <si>
    <t>ART.EBT160686
COMP:100%PL
WIDTH:128CM
WEIGHT:</t>
  </si>
  <si>
    <t>ART.EBT160687
COMP:100%PL
WIDTH:128CM
WEIGHT:</t>
  </si>
  <si>
    <t>ART.EBT160688
COMP:100%PL
WIDTH:128CM
WEIGHT:</t>
  </si>
  <si>
    <t>ART.EBT160678
COMP:100%PL
WIDTH:128CM
WEIGHT:</t>
    <phoneticPr fontId="51" type="noConversion"/>
  </si>
  <si>
    <t>EBT160691</t>
  </si>
  <si>
    <t>EBT160692</t>
  </si>
  <si>
    <t>EBT160693</t>
  </si>
  <si>
    <t>EBT160694</t>
  </si>
  <si>
    <t>EBT160695</t>
  </si>
  <si>
    <t>EBT160689</t>
  </si>
  <si>
    <t>ART.EBT160691
COMP:100%CO
WIDTH:140CM
WEIGHT:348G/M2</t>
  </si>
  <si>
    <t>ART.EBT160692
COMP:97%CO 3%EA
WIDTH:137CM
WEIGHT:242G/M2</t>
  </si>
  <si>
    <t>ART.EBT160693
COMP:98%CO 2%EA
WIDTH:144CM
WEIGHT:270G/M2</t>
  </si>
  <si>
    <t>ART.EBT160694
COMP:97%CO 3%EA
WIDTH:144CM
WEIGHT:295G/M2</t>
  </si>
  <si>
    <t>ART.EBT160695
COMP:100%CO
WIDTH:140CM
WEIGHT:264G/M2</t>
  </si>
  <si>
    <t>ART.EBT160689
COMP:95%PL 5%EA
WIDTH:142CM
WEIGHT:220G/M2</t>
  </si>
  <si>
    <t>Same F as EBT141034
#2</t>
  </si>
  <si>
    <t>Same F as EBT150666
1#</t>
  </si>
  <si>
    <t>Same F as EBT150666
2#</t>
  </si>
  <si>
    <t>Same F as EBT150666
3#</t>
  </si>
  <si>
    <t xml:space="preserve">
PI:</t>
  </si>
  <si>
    <t xml:space="preserve">
Color:</t>
  </si>
  <si>
    <t xml:space="preserve">
Date:</t>
  </si>
  <si>
    <t xml:space="preserve">
Color:2001 black</t>
  </si>
  <si>
    <t xml:space="preserve">
PI NO.:IHZ160114BS </t>
  </si>
  <si>
    <t>EBT250553</t>
    <phoneticPr fontId="51" type="noConversion"/>
  </si>
  <si>
    <t>EBT160659</t>
  </si>
  <si>
    <t>EBT160660</t>
  </si>
  <si>
    <t>EBT160661</t>
  </si>
  <si>
    <t>EBT160662</t>
  </si>
  <si>
    <t>EBT160663</t>
  </si>
  <si>
    <t>EBT160664</t>
  </si>
  <si>
    <t>EBT160690</t>
  </si>
  <si>
    <t>ART.EBT250553
COMP:F:95%PL 5%EA G:96.6%PL 3.4%EA
WIDTH:144CM
WEIGHT:460G/M2</t>
  </si>
  <si>
    <t>ART.EBT160659
COMP:100%CO
WIDTH:120CM
WEIGHT:</t>
  </si>
  <si>
    <t>ART.EBT160660
COMP:100%PL
WIDTH:120CM
WEIGHT:</t>
  </si>
  <si>
    <t>ART.EBT160661
COMP:100%PL
WIDTH:120CM
WEIGHT:</t>
  </si>
  <si>
    <t>ART.EBT160662
COMP:100%PL
WIDTH:120CM
WEIGHT:</t>
  </si>
  <si>
    <t>ART.EBT160663
COMP:100%PL
WIDTH:120CM
WEIGHT:</t>
  </si>
  <si>
    <t>ART.EBT160664
COMP:100%CO
WIDTH:120CM
WEIGHT:</t>
  </si>
  <si>
    <t>ART.EBT160690
COMP:F:35%PA 35%CO 30%VI G:95%PL 5%EA
WIDTH:140CM
WEIGHT:410G/M2</t>
  </si>
  <si>
    <t>EBT160696</t>
  </si>
  <si>
    <t>ART.EBT160696
COMP:100%PL
WIDTH:142CM
WEIGHT:72G/M2</t>
    <phoneticPr fontId="51" type="noConversion"/>
  </si>
  <si>
    <t>EBT160697</t>
  </si>
  <si>
    <t>EBT160698</t>
  </si>
  <si>
    <t>EBT160699</t>
  </si>
  <si>
    <t>EBT160700</t>
  </si>
  <si>
    <t>ART.EBT160697
COMP:71%CO 29%PL
WIDTH:140CM
WEIGHT:205G/M2</t>
  </si>
  <si>
    <t>ART.EBT160698
COMP:51%PC 49%PL
WIDTH:140CM
WEIGHT:280G/M2</t>
  </si>
  <si>
    <t>ART.EBT160699
COMP:88%PL 12%CO
WIDTH:137CM
WEIGHT:285G/M2</t>
  </si>
  <si>
    <t>ART.EBT160700
COMP:64%PC 36%PL
WIDTH:140CM
WEIGHT:285G/M2</t>
  </si>
  <si>
    <t>EBT160701</t>
  </si>
  <si>
    <t>EBT160702</t>
  </si>
  <si>
    <t>EBT160703</t>
  </si>
  <si>
    <t>ART.EBT160701
COMP: 80%VI 20%PA
WIDTH:139CM
WEIGHT:195G/M2</t>
  </si>
  <si>
    <t>ART.EBT160702
COMP:100%PL
WIDTH:139CM
WEIGHT:115G/M2</t>
  </si>
  <si>
    <t>ART.EBT160703
COMP:70%MODAL 30%PL
WIDTH:140CM
WEIGHT:105G/M2</t>
  </si>
  <si>
    <t>ART.EBT160310
COMP:F:93%PL 7%EA G:93%PA 7%EA
WIDTH:142CM
WEIGHT:330G/M2</t>
    <phoneticPr fontId="51" type="noConversion"/>
  </si>
  <si>
    <t>ART.EBT160311
COMP:F:93%PL 7%EA G:93%PA 7%EA
WIDTH:142CM
WEIGHT:390G/M2</t>
    <phoneticPr fontId="51" type="noConversion"/>
  </si>
  <si>
    <t>1W6</t>
  </si>
  <si>
    <t>EBT130759</t>
  </si>
  <si>
    <t>EBT260313</t>
  </si>
  <si>
    <t>EBT260314</t>
  </si>
  <si>
    <t>EBT260315</t>
  </si>
  <si>
    <t>EBT260317</t>
  </si>
  <si>
    <t>EBT260318</t>
  </si>
  <si>
    <t>EBT260319</t>
  </si>
  <si>
    <t>EBT260320</t>
  </si>
  <si>
    <t>EBT260321</t>
  </si>
  <si>
    <t>EBT260322</t>
  </si>
  <si>
    <t>EBT260323</t>
  </si>
  <si>
    <t>EBT260324</t>
  </si>
  <si>
    <t>EBT260325</t>
  </si>
  <si>
    <t>EBT260326</t>
  </si>
  <si>
    <t>EBT260327</t>
  </si>
  <si>
    <t>EBT260328</t>
  </si>
  <si>
    <t>EBT260329</t>
  </si>
  <si>
    <t>EBT260330</t>
  </si>
  <si>
    <t>EBT260331</t>
  </si>
  <si>
    <t>EBT260332</t>
  </si>
  <si>
    <t>EBT260333</t>
  </si>
  <si>
    <t>EBT260334</t>
  </si>
  <si>
    <t>EBT260335</t>
  </si>
  <si>
    <t>EBT260336</t>
  </si>
  <si>
    <t>EBT260337</t>
  </si>
  <si>
    <t>EBT260338</t>
  </si>
  <si>
    <t>EBT260339</t>
  </si>
  <si>
    <t>EBT260340</t>
  </si>
  <si>
    <t>EBT260341</t>
  </si>
  <si>
    <t>EBT260342</t>
  </si>
  <si>
    <t>EBT260343</t>
  </si>
  <si>
    <t>EBT260344</t>
  </si>
  <si>
    <t>EBT260345</t>
  </si>
  <si>
    <t>EBT260346</t>
  </si>
  <si>
    <t>EBT260347</t>
  </si>
  <si>
    <t>EBT260348</t>
  </si>
  <si>
    <t>EBT260349</t>
  </si>
  <si>
    <t>EBT260350</t>
  </si>
  <si>
    <t>EBT260351</t>
  </si>
  <si>
    <t>EBT260352</t>
  </si>
  <si>
    <t>EBT260353</t>
  </si>
  <si>
    <t>EBT260354</t>
  </si>
  <si>
    <t>EBT260355</t>
  </si>
  <si>
    <t>EBT260356</t>
  </si>
  <si>
    <t>EBT260357</t>
  </si>
  <si>
    <t>EBT260358</t>
  </si>
  <si>
    <t>EBT260359</t>
  </si>
  <si>
    <t>EBT260360</t>
  </si>
  <si>
    <t>EBT260361</t>
  </si>
  <si>
    <t>EBT260362</t>
  </si>
  <si>
    <t>EBT260363</t>
  </si>
  <si>
    <t>EBT260364</t>
  </si>
  <si>
    <t>EBT260365</t>
  </si>
  <si>
    <t>EBT260366</t>
  </si>
  <si>
    <t>EBT260367</t>
  </si>
  <si>
    <t>EBT260368</t>
  </si>
  <si>
    <t>EBT260369</t>
  </si>
  <si>
    <t>EBT260370</t>
  </si>
  <si>
    <t>EBT260371</t>
  </si>
  <si>
    <t>EBT260372</t>
  </si>
  <si>
    <t>EBT260373</t>
  </si>
  <si>
    <t>EBT260374</t>
  </si>
  <si>
    <t>EBT260375</t>
  </si>
  <si>
    <t>EBT260376</t>
  </si>
  <si>
    <t>EBT260377</t>
  </si>
  <si>
    <t>EBT260378</t>
  </si>
  <si>
    <t>EBT260379</t>
  </si>
  <si>
    <t>EBT260380</t>
  </si>
  <si>
    <t>EBT260381</t>
  </si>
  <si>
    <t>EBT260382</t>
  </si>
  <si>
    <t>EBT260383</t>
  </si>
  <si>
    <t>EBT260384</t>
  </si>
  <si>
    <t>EBT260385</t>
  </si>
  <si>
    <t>EBT260386</t>
  </si>
  <si>
    <t>EBT260387</t>
  </si>
  <si>
    <t>EBT260388</t>
  </si>
  <si>
    <t>EBT260389</t>
  </si>
  <si>
    <t>EBT260390</t>
  </si>
  <si>
    <t>EBT260391</t>
  </si>
  <si>
    <t>EBT260392</t>
  </si>
  <si>
    <t>EBT260393</t>
  </si>
  <si>
    <t>EBT260394</t>
  </si>
  <si>
    <t>EBT260395</t>
  </si>
  <si>
    <t>EBT260396</t>
  </si>
  <si>
    <t>EBT260397</t>
  </si>
  <si>
    <t>EBT260398</t>
  </si>
  <si>
    <t>EBT260399</t>
  </si>
  <si>
    <t>EBT260400</t>
  </si>
  <si>
    <t>EBT260401</t>
  </si>
  <si>
    <t>EBT260402</t>
  </si>
  <si>
    <t>EBT260403</t>
  </si>
  <si>
    <t>EBT260404</t>
  </si>
  <si>
    <t>EBT260405</t>
  </si>
  <si>
    <t>EBT260406</t>
  </si>
  <si>
    <t>EBT260407</t>
  </si>
  <si>
    <t>EBT260408</t>
  </si>
  <si>
    <t>EBT260409</t>
  </si>
  <si>
    <t>EBT260410</t>
  </si>
  <si>
    <t>EBT260411</t>
  </si>
  <si>
    <t>EBT260412</t>
  </si>
  <si>
    <t>EBT260413</t>
  </si>
  <si>
    <t>EBT260414</t>
  </si>
  <si>
    <t>EBT260415</t>
  </si>
  <si>
    <t>EBT260416</t>
  </si>
  <si>
    <t>EBT260417</t>
  </si>
  <si>
    <t>EBT260418</t>
  </si>
  <si>
    <t>EBT260419</t>
  </si>
  <si>
    <t>EBT260420</t>
  </si>
  <si>
    <t>EBT260421</t>
  </si>
  <si>
    <t>ART.EBT130759
COMP:96%PL 4%EA
WIDTH:57/58''
WEIGHT:260G/M2</t>
  </si>
  <si>
    <t>ART.EBT260313
COMP:100%PL
WIDTH:117CM
WEIGHT:160G/M2</t>
  </si>
  <si>
    <t>ART.EBT260315
COMP:42%PL 43%CO 10%MTL 5%EA
WIDTH:142CM
WEIGHT:215G/M2</t>
  </si>
  <si>
    <t>ART.EBT260317
COMP:42%PL 43%CO 10%MTL 5%EA
WIDTH:143CM
WEIGHT:230G/M2</t>
  </si>
  <si>
    <t>ART.EBT260318
COMP:42%PL 43%CO 10%MTL 5%EA
WIDTH:148CM
WEIGHT:205G/M2</t>
  </si>
  <si>
    <t>ART.EBT260319
COMP:99%PL 1%EA
WIDTH:145CM
WEIGHT:110G/M2</t>
  </si>
  <si>
    <t>ART.EBT260320
COMP:95%PL 5% EA DOBBY
WIDTH:152CM 
WEIGHT:210-220G/M2</t>
  </si>
  <si>
    <t>ART.EBT260321
COMP:94%PL 6%EA
WIDTH:150CM
WEIGHT:240G/M2</t>
  </si>
  <si>
    <t>ART.EBT260322
COMP:100%VI  
WIDTH:132CM
WEIGHT:92G/M2</t>
  </si>
  <si>
    <t>ART.EBT260323
COMP:95%PL 5%EA
WIDTH:145CM
WEIGHT:460G/M2</t>
  </si>
  <si>
    <t>ART.EBT260324
COMP:35%PA 65%VI
WIDTH:138CM
WEIGHT:</t>
  </si>
  <si>
    <t>ART.EBT260325
COMP:60%VI 40%PL
WIDTH:151CM
WEIGHT:198G/M2</t>
  </si>
  <si>
    <t>ART.EBT260326
COMP:25%PA 75%VI
WIDTH:107CM
WEIGHT:66G/M2</t>
  </si>
  <si>
    <t>ART.EBT260327
COMP:46%PL 38%PA 16%EA
WIDTH:150CM
WEIGHT:</t>
  </si>
  <si>
    <t>ART.EBT260328
COMP:25%PA 75%VI
WIDTH:138CM
WEIGHT:88G/M2</t>
  </si>
  <si>
    <t>ART.EBT260329
COMP:91%PL 9%EA
WIDTH:148CM
WEIGHT:330G/M2</t>
  </si>
  <si>
    <t>ART.EBT260330
COMP:48.5%PL 45%CO 6.5%MET
WIDTH:170CM
WEIGHT:195G/M2</t>
  </si>
  <si>
    <t>ART.EBT260331
COMP:70%MODAL 30%PL
WIDTH:150CM
WEIGHT:145G/M2</t>
  </si>
  <si>
    <t>ART.EBT260332
COMP:100%TENCEL
WIDTH:142cm
WEIGHT:145G/M2</t>
  </si>
  <si>
    <t>ART.EBT260333
COMP:100%VI
WIDTH:138CM
WEIGHT:155G/M2</t>
  </si>
  <si>
    <t>ART.EBT260334
COMP:52%VI 48%RAYON
WIDTH:150CM
WEIGHT:90-95G/M2</t>
  </si>
  <si>
    <t>ART.EBT260335
COMP:100%PL
WIDTH:145CM
WEIGHT:173G/M2</t>
  </si>
  <si>
    <t>ART.EBT260336
COMP:71.5%%CO 28.5%PL
WIDTH:132CM
WEIGHT:408G/M2</t>
  </si>
  <si>
    <t>ART.EBT260337
COMP:80%PL 14%LUREX 6%EA
WIDTH:140CM
WEIGHT:205G/M2</t>
  </si>
  <si>
    <t>ART.EBT260338
COMP:100%PL
WIDTH:142CM
WEIGHT:313G/M2</t>
  </si>
  <si>
    <t>ART.EBT260339
COMP:72%PL 26%VI 2%EA
WIDTH:142CM
WEIGHT:250G/M2</t>
  </si>
  <si>
    <t>ART.EBT260340
COMP:80%PL 18%VI 2%EA
WIDTH:142CM
WEIGHT:260G/M2</t>
  </si>
  <si>
    <t>ART.EBT260341
COMP:85%PL 13%VI 2%EA
WIDTH:142CM
WEIGHT:290G/M2</t>
  </si>
  <si>
    <t>ART.EBT260342
COMP:71%PL 27%VI 2%EA
WIDTH:142CM
WEIGHT:230G/M2</t>
  </si>
  <si>
    <t>ART.EBT260343
COMP:25%PA 75%VI
WIDTH:135CM
WEIGHT:164G/M2</t>
  </si>
  <si>
    <t>ART.EBT260344
COMP:10%LUREX 25%PA 65%VI
WIDTH:133CM
WEIGHT:155G/M2</t>
  </si>
  <si>
    <t>ART.EBT260345
COMP:87%PL 8%VI 5%EA
WIDTH:145CM
WEIGHT:255G/M2</t>
  </si>
  <si>
    <t>ART.EBT260346
COMP:34%PL 55%VI 9%PA 2%EA
WIDTH:140CM
WEIGHT:277G/M2</t>
  </si>
  <si>
    <t>ART.EBT260347
COMP:68%PL 29%VI 3%EA
WIDTH:140CM
WEIGHT:230G/M2</t>
  </si>
  <si>
    <t>ART.EBT260348
COMP:75%PL 23%VI 2%EA
WIDTH:144CM
WEIGHT:360G/M2</t>
  </si>
  <si>
    <t>ART.EBT260349
COMP:77%PL 20%VI 3%EA
WIDTH:144CM
WEIGHT:280G/M2</t>
  </si>
  <si>
    <t>ART.EBT260350
COMP:82%PL 14%VI 4%EA
WIDTH:144CM
WEIGHT:330G/M2</t>
  </si>
  <si>
    <t>ART.EBT260351
COMP:64%PL 32%VI 4%EA
WIDTH:144CM
WEIGHT:350G/M2</t>
  </si>
  <si>
    <t>ART.EBT260352
COMP:69%PL 29%VI 2%EA
WIDTH:144CM
WEIGHT:400G/M2</t>
  </si>
  <si>
    <t>ART.EBT260353
COMP:88%PL 8%VI 4%EA
WIDTH:145CM
WEIGHT:473G/M2</t>
  </si>
  <si>
    <t>ART.EBT260354
COMP:67%PL 28%VI 5%EA
WIDTH:145CM
WEIGHT:353G/M2</t>
  </si>
  <si>
    <t>ART.EBT260355
COMP:78%PL 16%VI 6%EA
WIDTH:145CM
WEIGHT:285G/M2</t>
  </si>
  <si>
    <t>ART.EBT260356
COMP:70%PL 28%VI 2%EA
WIDTH:140CM
WEIGHT:365G/M2</t>
  </si>
  <si>
    <t>ART.EBT260357
COMP:80%PL 18%VI 2%EA
WIDTH:145CM
WEIGHT:365G/M2</t>
  </si>
  <si>
    <t>ART.EBT260358
COMP:77%PL 18%VI 5%EA
WIDTH:145CM
WEIGHT:340G/M2</t>
  </si>
  <si>
    <t>ART.EBT260359
COMP:10%VI 90%PL
WIDTH:148CM
WEIGHT:486G/M2</t>
  </si>
  <si>
    <t>ART.EBT260360
COMP:59%PL 37%VI 4%EA
WIDTH:152CM
WEIGHT:413G/M2</t>
  </si>
  <si>
    <t>ART.EBT260361
COMP:66%PL 32%VI 2%EA
WIDTH:144CM
WEIGHT:240G/M2</t>
  </si>
  <si>
    <t>ART.EBT260362
COMP:66%PL 32%VI 2%EA
WIDTH:144CM
WEIGHT:240G/M2</t>
  </si>
  <si>
    <t>ART.EBT260363
COMP:66%PL 32%VI 2%EA
WIDTH:144CM
WEIGHT:240G/M2</t>
  </si>
  <si>
    <t>ART.EBT260364
COMP:68%PL 28%VI 4%EA
WIDTH:144CM
WEIGHT:310G/M2</t>
  </si>
  <si>
    <t>ART.EBT260365
COMP:66%PL 32%VI 2%EA
WIDTH:144CM
WEIGHT:240G/M2</t>
  </si>
  <si>
    <t>ART.EBT260366
COMP:66%PL 32%VI 2%EA
WIDTH:144CM
WEIGHT:240G/M2</t>
  </si>
  <si>
    <t>ART.EBT260367
COMP:77%PL 19%VI 4%EA
WIDTH:144CM
WEIGHT:290G/M2</t>
  </si>
  <si>
    <t>ART.EBT260368
COMP:89%PL 10%CO 1%MET
WIDTH:144CM
WEIGHT:295G/M2</t>
  </si>
  <si>
    <t>ART.EBT260369
COMP:97%PL 3%EA
WIDTH:140CM
WEIGHT:310G/M2</t>
  </si>
  <si>
    <t>ART.EBT260370
COMP:100%PL
WIDTH:140CM
WEIGHT:260G/M2</t>
  </si>
  <si>
    <t>ART.EBT260371
COMP:95%PL 5%EA
WIDTH:144CM
WEIGHT:330G/M2</t>
  </si>
  <si>
    <t>ART.EBT260372
COMP:66%PL 32%VI 2%EA
WIDTH:144CM
WEIGHT:240G/M2</t>
  </si>
  <si>
    <t>ART.EBT260373
COMP:90%PL 8%VI 2%EA
WIDTH:144CM
WEIGHT:225G/M2</t>
  </si>
  <si>
    <t>ART.EBT260374
COMP:91%PL 9%EA
WIDTH:140CM
WEIGHT:192G/M2</t>
  </si>
  <si>
    <t>ART.EBT260375
COMP:100%PL
WIDTH:137CM
WEIGHT:234G/M2</t>
  </si>
  <si>
    <t>ART.EBT260376
COMP:91%CO 9%PA
WIDTH:142CM
WEIGHT:240G/M2</t>
  </si>
  <si>
    <t>ART.EBT260377
COMP:100%PL
WIDTH:144CM
WEIGHT:150G/M2</t>
  </si>
  <si>
    <t>ART.EBT260378
COMP:46%NL 35%PL 19%MET
WIDTH:143CM
WEIGHT:170G/M2</t>
  </si>
  <si>
    <t>ART.EBT260379
COMP:75%PL 25%VI
WIDTH:164CM
WEIGHT:235G/M2</t>
  </si>
  <si>
    <t>ART.EBT260380
COMP:50%PL 50%VI
WIDTH:146CM
WEIGHT:175G/M2</t>
  </si>
  <si>
    <t>ART.EBT260381
COMP:45%PL 55%VI
WIDTH:145CM
WEIGHT:190G/M2</t>
  </si>
  <si>
    <t>ART.EBT260382
COMP:63%CO 37%PL
WIDTH:133CM
WEIGHT:270G/M2</t>
  </si>
  <si>
    <t>ART.EBT260383
COMP:82%CO 18%PL
WIDTH:145CM
WEIGHT:320G/M2</t>
  </si>
  <si>
    <t>ART.EBT260384
COMP:47%AC 53%PL
WIDTH:140CM
WEIGHT:260G/M2</t>
  </si>
  <si>
    <t>ART.EBT260385
COMP:64%CO 36%PL
WIDTH:159CM
WEIGHT:260G/M2</t>
  </si>
  <si>
    <t>ART.EBT260386
COMP:46%PL 38%PA 16%EA
WIDTH:150CM
WEIGHT:205G/M2</t>
  </si>
  <si>
    <t>ART.EBT260387
COMP:88%PL 12%PA
WIDTH:159CM
WEIGHT:193G/M2</t>
  </si>
  <si>
    <t>ART.EBT260388
COMP:100%PL
WIDTH:148CM
WEIGHT:215G/M2</t>
  </si>
  <si>
    <t>ART.EBT260389
COMP:81%PL 15%CO 4%MET
WIDTH:145CM
WEIGHT:206G/M2</t>
  </si>
  <si>
    <t>ART.EBT260390
COMP:80%CO 20%PL
WIDTH:142CM
WEIGHT:358G/M2</t>
  </si>
  <si>
    <t>ART.EBT260391
COMP:63%VI 32%PL 5%MET
WIDTH:143CM
WEIGHT:250G/M2</t>
  </si>
  <si>
    <t>ART.EBT260392
COMP:88%PL 10%CO 2%EA
WIDTH:145CM
WEIGHT:360G/M2</t>
  </si>
  <si>
    <t>ART.EBT260393
COMP:57%PL 25%AC 18%CO
WIDTH:142CM
WEIGHT:305G/M2</t>
  </si>
  <si>
    <t>ART.EBT260394
COMP:66%PL 34%CO
WIDTH:166CM
WEIGHT:212G/M2 </t>
  </si>
  <si>
    <t>ART.EBT260395
COMP:96%PL 4%EA
WIDTH:144CM
WEIGHT:257G/M2</t>
  </si>
  <si>
    <t>ART.EBT260396
COMP:32%PL 58%VI 10%LUREX
WIDTH:137CM
WEIGHT:215G/M2</t>
  </si>
  <si>
    <t>ART.EBT260397
COMP:10%LUREX 25%PA 65%VI
WIDTH:140CM
WEIGHT:109G/M2</t>
  </si>
  <si>
    <t>ART.EBT260398
COMP:73%CO 27%PL
WIDTH:142CM
WEIGHT:195G/M2</t>
  </si>
  <si>
    <t>ART.EBT260399
COMP:100%PL
WIDTH:140CM
WEIGHT:112G/M2</t>
  </si>
  <si>
    <t>ART.EBT260400
COMP:100%PL
WIDTH:140CM
WEIGHT:121G/M2</t>
  </si>
  <si>
    <t>ART.EBT260401
COMP:100%PL
WIDTH:144CM
WEIGHT:115G/M2</t>
  </si>
  <si>
    <t>ART.EBT260402
COMP:100%PL
WIDTH:144CM
WEIGHT:99G/M2</t>
  </si>
  <si>
    <t>ART.EBT260403
COMP:100%PL
WIDTH:140CM
WEIGHT:75G/M2</t>
  </si>
  <si>
    <t>ART.EBT260404
COMP:100%PL
WIDTH:144CM
WEIGHT:104G/M2</t>
  </si>
  <si>
    <t>ART.EBT260405
COMP:65%CUPRO 35%VI
WIDTH:138CM
WEIGHT:110G/M2</t>
  </si>
  <si>
    <t>ART.EBT260406
COMP:100%PL
WIDTH:
WEIGHT:100G/M2</t>
  </si>
  <si>
    <t>ART.EBT260407
COMP:92%PL 8%EA
WIDTH:150CM
WEIGHT:210-220G/M2</t>
  </si>
  <si>
    <t>ART.EBT260408
COMP:65%CO 26%PL 7%LUREX 2%EA
WIDTH:170CM
WEIGHT:250G/M2</t>
  </si>
  <si>
    <t>ART.EBT260409
COMP:70%CO 21%PL 7%LUREX 2%EA
WIDTH:170CM
WEIGHT:260G/M2</t>
  </si>
  <si>
    <t>ART.EBT260410
COMP:85%PL 15%LUREX
WIDTH:165CM
WEIGHT:250G/M2</t>
  </si>
  <si>
    <t>ART.EBT260411
COMP:90%PL 10%LUREX
WIDTH:160CM
WEIGHT:195G/M2</t>
  </si>
  <si>
    <t>ART.EBT260412
COMP:68%PL 30%CO 2%EA
WIDTH:124CM
WEIGHT:355G/M2</t>
  </si>
  <si>
    <t>ART.EBT260413
COMP:100%PL 
WIDTH:145CM
WEIGHT:219G/M2</t>
  </si>
  <si>
    <t>ART.EBT260414
COMP:100% PL
WIDTH:145CM
WEIGHT:182G/M2</t>
  </si>
  <si>
    <t>ART.EBT260415
COMP:100%PL 
WIDTH:145CM
WEIGHT:213G/M2</t>
  </si>
  <si>
    <t>ART.EBT260416
COMP:100%PL
WIDTH:145CM
WEIGHT:198G/M2</t>
  </si>
  <si>
    <t>ART.EBT260417
COMP:100%PL 
WIDTH:145CM
WEIGHT:272G/M2</t>
  </si>
  <si>
    <t>ART.EBT260418
COMP:100%PL
WIDTH:142CM
WEIGHT:216G/M</t>
  </si>
  <si>
    <t>ART.EBT260419
COMP:100%PL
WIDTH:145CM
WEIGHT:208G/M</t>
  </si>
  <si>
    <t>ART.EBT260420
COMP:42%PL 43%CO 10%MTL 5%EA
WIDTH:141CM 
WEIGHT:230G/M2</t>
  </si>
  <si>
    <t>ART.EBT260421
COMP:100%PL
WIDTH:110CM
WEIGHT:204G/M2</t>
  </si>
  <si>
    <t>EBT130388</t>
  </si>
  <si>
    <t>ART.EBT130388
COMP:95%PL 5%EA
WIDTH:152CM
WEIGHT:450G/M2</t>
    <phoneticPr fontId="51" type="noConversion"/>
  </si>
  <si>
    <t>EBT130677</t>
  </si>
  <si>
    <t>ART.EBT130677
COMP:100%PA+100%CO
WIDTH:132CM
WEIGHT:195G/M2</t>
  </si>
  <si>
    <t>EBT160706</t>
  </si>
  <si>
    <t>EBT160707</t>
  </si>
  <si>
    <t>EBT160708</t>
  </si>
  <si>
    <t>ART.EBT160707
COMP:F:100%PU G:100%VI
WIDTH:134CM
WEIGHT:340G/M2</t>
  </si>
  <si>
    <t>ART.EBT160708
COMP:F:100%PU G:65%VI 35%PL
WIDTH:134CM
WEIGHT:210G/M2</t>
  </si>
  <si>
    <t>ART.EBT160706
COMP:F:100%PU G:100%PL
WIDTH:134CM
WEIGHT:320G/M2</t>
    <phoneticPr fontId="51" type="noConversion"/>
  </si>
  <si>
    <t>EBT160704</t>
  </si>
  <si>
    <t>ART.EBT160704
COMP:F: 60%W 40%PL G: 100%PL
WIDTH: 142CM
WEIGHT:580G/M2</t>
  </si>
  <si>
    <t>ART.EBT260286
COMP:50%WO 50%AF
WIDTH:150CM
WEIGHT:750G/M</t>
    <phoneticPr fontId="51" type="noConversion"/>
  </si>
  <si>
    <t>EBT160705</t>
  </si>
  <si>
    <t>ART.EBT160705
COMP:96%VI 4%EA
WIDTH:142CM
WEIGHT:335G/M2</t>
  </si>
  <si>
    <t>EBT160709</t>
  </si>
  <si>
    <t>EBT160710</t>
  </si>
  <si>
    <t>EBT160711</t>
  </si>
  <si>
    <t>EBT160712</t>
  </si>
  <si>
    <t>EBT160713</t>
  </si>
  <si>
    <t>EBT160714</t>
  </si>
  <si>
    <t>EBT160715</t>
  </si>
  <si>
    <t>EBT160716</t>
  </si>
  <si>
    <t>F</t>
  </si>
  <si>
    <t>Shipping Sample
ART.EBT150156
COMP:100%VI
WIDTH:124CM
WEIGHT:112G/M2
PI:IHZ160163SS
Color:1W6</t>
  </si>
  <si>
    <t>Shipping Sample
ART.EBT150156
COMP:100%VI
WIDTH:124CM
WEIGHT:112G/M2
PI:IHZ160163SS
Color:101</t>
  </si>
  <si>
    <t>ART.EBT160709
COMP:100%PA
WIDTH:144CM
WEIGHT:31G/M2</t>
  </si>
  <si>
    <t>ART.EBT160710
COMP:68%PL 28%VI  4%EA
WIDTH:144CM
WEIGHT:305G/M2</t>
  </si>
  <si>
    <t>ART.EBT160711
COMP:100%PL 
WIDTH:132CM
WEIGHT:133G/M2</t>
  </si>
  <si>
    <t>ART.EBT160712
COMP:100%PL 
WIDTH:145CM
WEIGHT:</t>
  </si>
  <si>
    <t>ART.EBT160713
COMP:100%PL 
WIDTH:145CM
WEIGHT:</t>
  </si>
  <si>
    <t>ART.EBT160714
COMP:100%PL 
WIDTH:145CM
WEIGHT:</t>
  </si>
  <si>
    <t>ART.EBT160716
COMP:F:100%PU;G:100%PL
WIDTH:137CM
WEIGHT:230-240G/M2</t>
    <phoneticPr fontId="51" type="noConversion"/>
  </si>
  <si>
    <t>EBT160717</t>
  </si>
  <si>
    <t>ART.EBT160717
COMP:87%PL/13%EA
WIDTH:140CM
WEIGHT:330G/M2</t>
  </si>
  <si>
    <t>EBT160718</t>
  </si>
  <si>
    <t>ART.EBT160718
COMP:F:100%PU G:100%PA
WIDTH:125CM
WEIGHT:G:20G/M2</t>
    <phoneticPr fontId="51" type="noConversion"/>
  </si>
  <si>
    <t>EBT260422</t>
  </si>
  <si>
    <t>EBT260423</t>
  </si>
  <si>
    <t>EBT260424</t>
  </si>
  <si>
    <t>EBT260425</t>
  </si>
  <si>
    <t>EBT260426</t>
  </si>
  <si>
    <t>EBT260427</t>
  </si>
  <si>
    <t>EBT260428</t>
  </si>
  <si>
    <t>EBT260429</t>
  </si>
  <si>
    <t>EBT260430</t>
  </si>
  <si>
    <t>EBT260431</t>
  </si>
  <si>
    <t>EBT260432</t>
  </si>
  <si>
    <t>EBT260433</t>
  </si>
  <si>
    <t>EBT260434</t>
  </si>
  <si>
    <t>EBT260435</t>
  </si>
  <si>
    <t>EBT260436</t>
  </si>
  <si>
    <t>EBT260437</t>
  </si>
  <si>
    <t>EBT160719</t>
  </si>
  <si>
    <t>EBT160720</t>
  </si>
  <si>
    <t>EBT260438</t>
  </si>
  <si>
    <t>EBT260439</t>
  </si>
  <si>
    <t>EBT260440</t>
  </si>
  <si>
    <t>EBT260441</t>
  </si>
  <si>
    <t>EBT260442</t>
  </si>
  <si>
    <t>EBT260443</t>
  </si>
  <si>
    <t>EBT260444</t>
  </si>
  <si>
    <t>EBT260445</t>
  </si>
  <si>
    <t>ART.EBT260439
COMP:97%CO 3% EA 
WIDTH:142CM
WEIGHT:</t>
  </si>
  <si>
    <t>ART.EBT260440
COMP:97%co 3% EA 
WIDTH:142CM
WEIGHT:</t>
  </si>
  <si>
    <t>EBT160721</t>
  </si>
  <si>
    <t>ART.EBT160721
COMP:100%PL
WIDTH:142CM
WEIGHT:95G/M2</t>
  </si>
  <si>
    <t>EBT160727</t>
  </si>
  <si>
    <t>EBT160728</t>
  </si>
  <si>
    <t>EBT160729</t>
  </si>
  <si>
    <t>ART.EBT160727
COMP:100%PL
WIDTH:142CM
WEIGHT:88G/M2</t>
  </si>
  <si>
    <t>ART.EBT160728
COMP:100%PL
WIDTH:144CM
WEIGHT:90G/M2</t>
  </si>
  <si>
    <t>ART.EBT160729
COMP:49%PL 44%CO 7%MET 
WIDTH:142CM
WEIGHT:133G/M2</t>
  </si>
  <si>
    <t>EBT160744</t>
  </si>
  <si>
    <t>ART.EBT260422
COMP:100%PL
WIDTH:142CM
WEIGHT:205G/M2</t>
  </si>
  <si>
    <t>ART.EBT260423
COMP:90%PL 10% EA
WIDTH:142CM
WEIGHT:230G/M2</t>
  </si>
  <si>
    <t>ART.EBT260424
COMP:95%PL 5%EA
WIDTH:142CM
WEIGHT:228G/M2</t>
  </si>
  <si>
    <t>ART.EBT260425
COMP:100%PL
WIDTH:142CM
WEIGHT:188G/M2</t>
  </si>
  <si>
    <t>ART.EBT260433
COMP:92%PL 8%EA
WIDTH:158CM
WEIGHT:230G/M2</t>
  </si>
  <si>
    <t>ART.EBT260434
COMP:85%VI 15% SI
WIDTH:131CM
WEIGHT:170G/M2</t>
  </si>
  <si>
    <t>ART.EBT260435
COMP:100%PL
WIDTH:138CM
WEIGHT:159G/M2</t>
  </si>
  <si>
    <t>ART.EBT260437
COMP:96%PL 4%EA
WIDTH:143CM
WEIGHT:250G/M2</t>
  </si>
  <si>
    <t>ART.EBT260438
COMP:100% CO 
WIDTH:140CM
WEIGHT:265G/M2</t>
  </si>
  <si>
    <t>ART.EBT260441
COMP:97%CO 3% EA 
WIDTH:142CM
WEIGHT:278G/M2</t>
  </si>
  <si>
    <t>ART.EBT260442
COMP:97%CO 3%EA 
WIDTH:140CM
WEIGHT:338G/M2</t>
  </si>
  <si>
    <t>ART.EBT260443
COMP:97%CO 3%EA
WIDTH:142CM
WEIGHT:234G/M2</t>
  </si>
  <si>
    <t>ART.EBT150514
COMP:100%PL
WIDTH:150CM
WEIGHT:190G/M2</t>
  </si>
  <si>
    <t>ART.EBT160720
COMP:F:95%PL 5%EA G:100%PL
WIDTH:140CM
WEIGHT:470G/M2</t>
  </si>
  <si>
    <t>ART.EBT260445
COMP:F:77%PL 20%VI 3%SP G:92%PL 8%SP 
WIDTH:150CM
WEIGHT:580G/M2</t>
  </si>
  <si>
    <t>ART.EBT160744
COMP:F:100%PU G:100%PL
WIDTH:135CM
WEIGHT:275G/M2</t>
  </si>
  <si>
    <t>EBT10356B</t>
  </si>
  <si>
    <t>EBT130562</t>
  </si>
  <si>
    <t>ART.EBT10356B
COMP:93%PL 7%SP
WIDTH:146CM
WEIGHT:300G/M2</t>
  </si>
  <si>
    <t>ART.EBT130562
COMP:75%AC 23%PL 2%CO 
WIDTH:142CM
WEIGHT:400G/M2</t>
  </si>
  <si>
    <t>EBT160722</t>
  </si>
  <si>
    <t>EBT160723</t>
  </si>
  <si>
    <t>EBT160724</t>
  </si>
  <si>
    <t>EBT160725</t>
  </si>
  <si>
    <t>EBT160726</t>
  </si>
  <si>
    <t>EBT160730</t>
  </si>
  <si>
    <t>EBT160731</t>
  </si>
  <si>
    <t>EBT160732</t>
  </si>
  <si>
    <t>EBT160733</t>
  </si>
  <si>
    <t>EBT160734</t>
  </si>
  <si>
    <t>EBT160735</t>
  </si>
  <si>
    <t>EBT160736</t>
  </si>
  <si>
    <t>EBT160737</t>
  </si>
  <si>
    <t>EBT160738</t>
  </si>
  <si>
    <t>EBT160739</t>
  </si>
  <si>
    <t>EBT160740</t>
  </si>
  <si>
    <t>EBT160741</t>
  </si>
  <si>
    <t>EBT160742</t>
  </si>
  <si>
    <t>EBT160743</t>
  </si>
  <si>
    <t>ART.EBT160722
COMP:100%PL
WIDTH:128CM
WEIGHT:</t>
  </si>
  <si>
    <t>ART.EBT160723
COMP:100%PL
WIDTH:128CM
WEIGHT:</t>
  </si>
  <si>
    <t>ART.EBT160724
COMP:100%PL
WIDTH:128CM
WEIGHT:</t>
  </si>
  <si>
    <t>ART.EBT160725
COMP:100%PL
WIDTH:128CM
WEIGHT:</t>
  </si>
  <si>
    <t>ART.EBT160726
COMP:100%PL
WIDTH:128CM
WEIGHT:</t>
  </si>
  <si>
    <t>ART.EBT160730
COMP:100%PA
WIDTH:125CM
WEIGHT:340G/M2</t>
  </si>
  <si>
    <t>ART.EBT160731
COMP:97%VI 3%EA
WIDTH:145CM
WEIGHT:630G/M2</t>
  </si>
  <si>
    <t>ART.EBT160732
COMP:100%PL
WIDTH:125CM
WEIGHT:170G/M2</t>
  </si>
  <si>
    <t>ART.EBT160733
COMP:100%PL
WIDTH:125CM
WEIGHT:</t>
  </si>
  <si>
    <t>ART.EBT160734
COMP:82%PA 18%VI
WIDTH:140CM
WEIGHT:118G/M</t>
  </si>
  <si>
    <t>ART.EBT160735
COMP:43%PA 17%VI 40%CO
WIDTH:137CM
WEIGHT:435G/M</t>
  </si>
  <si>
    <t>ART.EBT160736
COMP:66.1%CO 17.4%PA 16.5VI
WIDTH:125CM
WEIGHT:370G/M</t>
  </si>
  <si>
    <t>ART.EBT160737
COMP:43%PA 17%VI 40%CO
WIDTH:137CM
WEIGHT:400G/M</t>
  </si>
  <si>
    <t>ART.EBT160738
COMP:43%PA 17%VI 40%CO
WIDTH:137CM
WEIGHT:400G/M</t>
  </si>
  <si>
    <t>ART.EBT160739
COMP:69.6%CO 18.1%PA 12.3%VI
WIDTH:140CM
WEIGHT:250G/M</t>
  </si>
  <si>
    <t>ART.EBT160741
COMP:100%PL
WIDTH:125CM
WEIGHT:255G/M2</t>
  </si>
  <si>
    <t>ART.EBT160742
COMP:100%PL
WIDTH:128CM
WEIGHT:</t>
  </si>
  <si>
    <t>ART.EBT160743
COMP:90%PL 10%WO
WIDTH:142CM
WEIGHT:730G/M</t>
  </si>
  <si>
    <t>EBT130787B</t>
  </si>
  <si>
    <t>ART.EBT130787B
COMP:G:100%POLY  F:PA 66%CO 17%VI
WIDTH:135CM
WEIGHT:318G/M2</t>
  </si>
  <si>
    <t>ART.EBT150719
COMP:F:100%PU 
G:100%VI 
WIDTH:52"
WEIGHT:230G/M2</t>
    <phoneticPr fontId="51" type="noConversion"/>
  </si>
  <si>
    <t>EBT160745</t>
  </si>
  <si>
    <t>ART.EBT160745
COMP:50%VI 10%LI 36%PL 4%EA
WIDTH:145CM
WEIGHT:260G/M2</t>
  </si>
  <si>
    <t>EBT160746</t>
  </si>
  <si>
    <t>EBT160747</t>
  </si>
  <si>
    <t>EBT160748</t>
  </si>
  <si>
    <t>EBT160749</t>
  </si>
  <si>
    <t>EBT160750</t>
  </si>
  <si>
    <t>EBT160751</t>
  </si>
  <si>
    <t>EBT160752</t>
  </si>
  <si>
    <t>EBT160753</t>
  </si>
  <si>
    <t>EBT160754</t>
  </si>
  <si>
    <t>EBT160755</t>
  </si>
  <si>
    <t>EBT160756</t>
  </si>
  <si>
    <t>ART.EBT160746
COMP:74%PL 24%CO 2%EA
WIDTH: 127CM
WEIGHT:283G/M2</t>
  </si>
  <si>
    <t>ART.EBT160747
COMP:77%PL 21%CO 2%EA
WIDTH: 132CM
WEIGHT:290G/M2</t>
  </si>
  <si>
    <t>ART.EBT160748
COMP:72%PL 26%CO 2%EA
WIDTH: 136CM
WEIGHT:242G/M2</t>
  </si>
  <si>
    <t>ART.EBT160749
COMP:74%PL 24%CO 2%EA
WIDTH: 132CM
WEIGHT:258G/M2</t>
  </si>
  <si>
    <t>ART.EBT160750
COMP:69%PL 29%CO 2%EA
WIDTH: 136CM
WEIGHT:204G/M2</t>
  </si>
  <si>
    <t>ART.EBT160751
COMP:70%PL 28%CO 2%EA
WIDTH: 132CM
WEIGHT:240G/M2</t>
  </si>
  <si>
    <t>ART.EBT160752
COMP:76%PL 22%CO 2%EA
WIDTH: 137CM
WEIGHT:270G/M2</t>
  </si>
  <si>
    <t>ART.EBT160753
COMP:74%PL 24%CO 2%EA
WIDTH: 132CM
WEIGHT:202G/M2</t>
  </si>
  <si>
    <t>ART.EBT160754
COMP:72%PL 26%CO 2%EA
WIDTH: 136CM
WEIGHT:247G/M2</t>
  </si>
  <si>
    <t>ART.EBT160755
COMP:73%PL 25%VI 2%EA
WIDTH: 132CM
WEIGHT:240G/M2</t>
  </si>
  <si>
    <t>ART.EBT160756
COMP:71%PL 27%CO 2%EA
WIDTH: 132CM
WEIGHT:230G/M2</t>
  </si>
  <si>
    <t>EBT160757</t>
  </si>
  <si>
    <t>EBT160758</t>
  </si>
  <si>
    <t>ART.EBT160757
COMP:100%PL
WIDTH:136cm
WEIGHT:135G/M2</t>
  </si>
  <si>
    <t>ART.EBT160758
COMP:100%PL
WIDTH:142CM
WEIGHT:205G/M2</t>
  </si>
  <si>
    <t>EBT160759</t>
  </si>
  <si>
    <t>EBT160760</t>
  </si>
  <si>
    <t>EBT160761</t>
  </si>
  <si>
    <t>EBT160762</t>
  </si>
  <si>
    <t>EBT160763</t>
  </si>
  <si>
    <t>EBT160764</t>
  </si>
  <si>
    <t>ART.EBT160759
COMP:70%PL 30%WO
WIDTH:142CM
WEIGHT:280G/M2</t>
  </si>
  <si>
    <t>ART.EBT160760
COMP:50%WO 50%PL
WIDTH:142CM
WEIGHT:270G/M2</t>
  </si>
  <si>
    <t>ART.EBT160761
COMP:50%WO 50%PL
WIDTH:142CM
WEIGHT:460G/M2</t>
  </si>
  <si>
    <t>ART.EBT160762
COMP:70%PL 30%WO
WIDTH:142CM
WEIGHT:310G/M2</t>
  </si>
  <si>
    <t>ART.EBT160763
COMP:76%PL 18%VI 6%EA
WIDTH:144CM
WEIGHT:330G/M2</t>
  </si>
  <si>
    <t>ART.EBT160764
COMP:63%PL 33%VI 4%EA
WIDTH:144CM
WEIGHT:270G/M2</t>
  </si>
  <si>
    <t>ART.EBT160360
COMP:F:100%PU G:66%CO 34%PA
WIDTH:140CM
WEIGHT:183G/M2</t>
    <phoneticPr fontId="51" type="noConversion"/>
  </si>
  <si>
    <t>ART.EBT160284
COMP:97%PL 3%EA
WIDTH:140CM
WEIGHT:375G/M2</t>
    <phoneticPr fontId="51" type="noConversion"/>
  </si>
  <si>
    <t>ART.EBT160248
COMP:63%PL 33%CO 4%EA
WIDTH:142CM
WEIGHT:265G/M2</t>
    <phoneticPr fontId="51" type="noConversion"/>
  </si>
  <si>
    <t>EBT160248</t>
  </si>
  <si>
    <t>ART.EBT160248
COMP:63%PL 33%CO 4%EA
WIDTH: 142CM
WEIGHT:265G/M2</t>
  </si>
  <si>
    <t>EBT160765</t>
  </si>
  <si>
    <t>ART.EBT160765
COMP:85%PA 15%EA
WIDTH:144CM
WEIGHT:205G/M2</t>
  </si>
  <si>
    <t>EBT130897</t>
  </si>
  <si>
    <t>ART.EBT130897
COMP:GRPUND:100%POLY
WIDTH:136CM
WEIGHT:386G/M2</t>
  </si>
  <si>
    <t>EBT111488</t>
  </si>
  <si>
    <t>ART.EBT111488
COMP:56% PL 24% R 11% PA 7% METALLIC 2%EA
WIDTH:144CM
WEIGHT:220G/M2</t>
  </si>
  <si>
    <t>EBT160766</t>
  </si>
  <si>
    <t>ART.EBT160766
COMP:F:100%PL, G:90%PL 10%EA
WIDTH:142CM
WEIGHT:380G/M2</t>
  </si>
  <si>
    <t>EBT250711FOIL</t>
  </si>
  <si>
    <t>EBT160767</t>
  </si>
  <si>
    <t>EBT160768</t>
  </si>
  <si>
    <t>EBT160769</t>
  </si>
  <si>
    <t>ART.EBT250711FOIL
COMP:100%PL
WIDTH:147cm
WEIGHT:220G/M2</t>
  </si>
  <si>
    <t>ART.EBT160767
COMP:100%PL
WIDTH:148CM
WEIGHT:320G/M2</t>
  </si>
  <si>
    <t>ART.EBT160768
COMP:92%PL 8%EA
WIDTH:142CM
WEIGHT:270G/M2</t>
  </si>
  <si>
    <t>EBT160770</t>
  </si>
  <si>
    <t>EBT160771</t>
  </si>
  <si>
    <t>ART.EBT160770
COMP:100%PL
WIDTH:128CM
WEIGHT:</t>
  </si>
  <si>
    <t>ART.EBT160771
COMP:90%PA 10%EA
WIDTH:139cm
WEIGHT:</t>
  </si>
  <si>
    <t>EBT130874</t>
  </si>
  <si>
    <t>EBT130155</t>
  </si>
  <si>
    <t>ART.EBT130155
COMP:100%PL
WIDTH:152CM
WEIGHT:32G/M2</t>
  </si>
  <si>
    <t>EBT160772</t>
  </si>
  <si>
    <t>EBT160773</t>
  </si>
  <si>
    <t>ART.EBT160772
COMP:F:100%PU G:100%PL
WIDTH:CW:127CM
WEIGHT:</t>
  </si>
  <si>
    <t>ART.EBT160773
COMP:F:100%PU G:100%PL
WIDTH:CW:142CM
WEIGHT:130G/M2</t>
  </si>
  <si>
    <t>EBT260452A</t>
  </si>
  <si>
    <t>EBT260452B</t>
  </si>
  <si>
    <t>EBT260453</t>
  </si>
  <si>
    <t>ART.EBT260452A
COMP:50%PL   50%CO  
WIDTH:136CM
WEIGHT:286GSM</t>
  </si>
  <si>
    <t xml:space="preserve">ART.EBT260452B
COMP:20%CO 70%PL 10%OTHER
WIDTH:146CM
WEIGHT:300GSM </t>
  </si>
  <si>
    <t>ART.EBT260453
COMP:100%CO BRUSHED
WIDTH:144CM
WEIGHT:340GSM</t>
  </si>
  <si>
    <t>EBT160774</t>
  </si>
  <si>
    <t>ART.EBT160774
COMP:F:100%PU G:100%PL
WIDTH:CW:134CM
WEIGHT:220G/M2</t>
  </si>
  <si>
    <t>ART.EBT160719
COMP:F:65%PL 35%PA G:100%PL 
WIDTH:140CM
WEIGHT:420G/M2</t>
    <phoneticPr fontId="51" type="noConversion"/>
  </si>
  <si>
    <t>EBT160775</t>
  </si>
  <si>
    <t>EBT160776</t>
  </si>
  <si>
    <t>EBT160777</t>
  </si>
  <si>
    <t>EBT160778</t>
  </si>
  <si>
    <t>EBT160779</t>
  </si>
  <si>
    <t>EBT160780</t>
  </si>
  <si>
    <t>EBT160781</t>
  </si>
  <si>
    <t>EBT160782</t>
  </si>
  <si>
    <t>EBT160783</t>
  </si>
  <si>
    <t>EBT160784</t>
  </si>
  <si>
    <t>EBT160785</t>
  </si>
  <si>
    <t>EBT160786</t>
  </si>
  <si>
    <t>EBT160787</t>
  </si>
  <si>
    <t>EBT160788</t>
  </si>
  <si>
    <t>EBT160789</t>
  </si>
  <si>
    <t>EBT160790</t>
  </si>
  <si>
    <t>EBT160791</t>
  </si>
  <si>
    <t>EBT160792</t>
  </si>
  <si>
    <t>EBT160793</t>
  </si>
  <si>
    <t>EBT160794</t>
  </si>
  <si>
    <t>EBT160795</t>
  </si>
  <si>
    <t>EBT160796</t>
  </si>
  <si>
    <t>EBT160797</t>
  </si>
  <si>
    <t>EBT160798</t>
  </si>
  <si>
    <t>EBT160799</t>
  </si>
  <si>
    <t>EBT160800</t>
  </si>
  <si>
    <t>EBT160801</t>
  </si>
  <si>
    <t>EBT160802</t>
  </si>
  <si>
    <t>EBT160803</t>
  </si>
  <si>
    <t>EBT160804</t>
  </si>
  <si>
    <t>EBT160805</t>
  </si>
  <si>
    <t>EBT160806</t>
  </si>
  <si>
    <t>EBT160807</t>
  </si>
  <si>
    <t>EBT160808-JR</t>
  </si>
  <si>
    <t>ART.EBT160775
COMP:94%VI; 6%EA
WIDTH:155CM
WEIGHT:170G/M2</t>
  </si>
  <si>
    <t>ART.EBT160776
COMP:100%PA
WIDTH:142CM
WEIGHT:35G/M2</t>
  </si>
  <si>
    <t>ART.EBT160777
COMP:100%PL
WIDTH:142CM
WEIGHT:68G/M2</t>
  </si>
  <si>
    <t>ART.EBT160778
COMP:100%PL
WIDTH:142CM
WEIGHT:40G/M2</t>
  </si>
  <si>
    <t>ART.EBT160779
COMP:100%PA
WIDTH:142CM
WEIGHT:68G/M2</t>
  </si>
  <si>
    <t>ART.EBT160780
COMP:100%PA
WIDTH:142CM
WEIGHT:22G/M2</t>
  </si>
  <si>
    <t>ART.EBT160781
COMP:100%PA
WIDTH:142CM
WEIGHT:51G/M2</t>
  </si>
  <si>
    <t>ART.EBT160782
COMP:100%PL
WIDTH:142CM
WEIGHT:89G/M2</t>
  </si>
  <si>
    <t>ART.EBT160783
COMP:100%PL
WIDTH:142CM
WEIGHT:101G/M2</t>
  </si>
  <si>
    <t>ART.EBT160784
COMP:100%PA
WIDTH:142CM
WEIGHT:42G/M2</t>
  </si>
  <si>
    <t>ART.EBT160785
COMP:100%PA
WIDTH:142CM
WEIGHT:132G/M2</t>
  </si>
  <si>
    <t>ART.EBT160786
COMP:100%PA
WIDTH:142CM
WEIGHT:37G/M2</t>
  </si>
  <si>
    <t>ART.EBT160787
COMP:100%PA
WIDTH:142CM
WEIGHT:45G/M2</t>
  </si>
  <si>
    <t>ART.EBT160788
COMP:100%PL
WIDTH:142CM
WEIGHT:54G/M2</t>
  </si>
  <si>
    <t>ART.EBT160789
COMP:100%PL
WIDTH:142CM
WEIGHT:81G/M2</t>
  </si>
  <si>
    <t>ART.EBT160790
COMP:100%PL
WIDTH:142CM
WEIGHT:48G/M2</t>
  </si>
  <si>
    <t>ART.EBT160791
COMP:100%PL
WIDTH:142CM
WEIGHT:99G/M2</t>
  </si>
  <si>
    <t>ART.EBT160792
COMP:100%PL
WIDTH:142CM
WEIGHT:52G/M2</t>
  </si>
  <si>
    <t>ART.EBT160793
COMP:96%PL 4%EA
WIDTH:142CM
WEIGHT:105G/M2</t>
  </si>
  <si>
    <t>ART.EBT160794
COMP:100%PL
WIDTH:142CM
WEIGHT:39G/M2</t>
  </si>
  <si>
    <t>ART.EBT160795
COMP:100%PL
WIDTH:142CM
WEIGHT:34G/M2</t>
  </si>
  <si>
    <t>ART.EBT160796
COMP:100%PL
WIDTH:142CM
WEIGHT:46G/M2</t>
  </si>
  <si>
    <t>ART.EBT160797
COMP:100%PL
WIDTH:142CM
WEIGHT:56G/M2</t>
  </si>
  <si>
    <t>ART.EBT160798
COMP:100%PL
WIDTH:142CM
WEIGHT:44G/M2</t>
  </si>
  <si>
    <t>ART.EBT160799
COMP:100%PL
WIDTH:142CM
WEIGHT:91G/M2</t>
  </si>
  <si>
    <t>ART.EBT160800
COMP:90%PL 10%EA
WIDTH:138CM
WEIGHT:79G/M2</t>
  </si>
  <si>
    <t>ART.EBT160801
COMP:95%PL 5%EA
WIDTH:140CM
WEIGHT:58G/M2</t>
  </si>
  <si>
    <t>ART.EBT160802
COMP:85%PL 15%EA
WIDTH:138CM
WEIGHT:83G/M2</t>
  </si>
  <si>
    <t>ART.EBT160803
COMP:90%PL 10%EA
WIDTH:138CM
WEIGHT:250G/M2</t>
  </si>
  <si>
    <t>ART.EBT160804
COMP:85%PL 15%EA
WIDTH:138CM
WEIGHT:94G/M2</t>
  </si>
  <si>
    <t>ART.EBT160805
COMP:88%PL 12%EA
WIDTH:138CM
WEIGHT:199G/M2</t>
  </si>
  <si>
    <t>ART.EBT160806
COMP:90%PL 10%EA
WIDTH:138CM
WEIGHT:156/M2</t>
  </si>
  <si>
    <t>ART.EBT160807
COMP:88%PL 12%EA
WIDTH:138CM
WEIGHT:112G/M2</t>
  </si>
  <si>
    <t>ART.EBT160808-JR
COMP:95%PL 5%EA
WIDTH:150CM
WEIGHT:320G/M2</t>
  </si>
  <si>
    <t>EBT160809-DN</t>
  </si>
  <si>
    <t>ART.EBT160809-DN
COMP:66%PL 28%VI 6%EA
WIDTH:150CM
WEIGHT:320G/M2</t>
  </si>
  <si>
    <t>EBT160810</t>
  </si>
  <si>
    <t>ART.EBT160810
COMP:85%PA 15%EA
WIDTH:142CM
WEIGHT:438G/M2</t>
  </si>
  <si>
    <t>EBT160811</t>
  </si>
  <si>
    <t>EBT160812</t>
  </si>
  <si>
    <t>ART.EBT160811
COMP:F:79%PL 16%VI 5%EA G:100%PL
WIDTH: 140CM
WEIGHT:415G/M2</t>
  </si>
  <si>
    <t>ART.EBT160812
COMP:F:95%PL 5%EA G:100%PL
WIDTH: 140CM
WEIGHT:415G/M2</t>
  </si>
  <si>
    <t>ART.EBT160769
COMP:90%PL 10%EA
WIDTH:142CM
WEIGHT:390G/M2</t>
    <phoneticPr fontId="51" type="noConversion"/>
  </si>
  <si>
    <t>EBT260446</t>
  </si>
  <si>
    <t>EBT260447</t>
  </si>
  <si>
    <t>EBT260448</t>
  </si>
  <si>
    <t>EBT260449</t>
  </si>
  <si>
    <t>EBT260450</t>
  </si>
  <si>
    <t>EBT260451</t>
  </si>
  <si>
    <t>ART.EBT260446
COMP:100% PL
WIDTH:125cm
WEIGHT:</t>
  </si>
  <si>
    <t>ART.EBT260447
COMP:100%CO 
WIDTH:145CM
WEIGHT:302GSM</t>
  </si>
  <si>
    <t>ART.EBT260448
COMP:40%WO 60%PL
WIDTH:145CM
WEIGHT:364GSM</t>
  </si>
  <si>
    <t>ART.EBT260449
COMP:40%WO 60%PL
WIDTH:145CM
WEIGHT:362GSM</t>
  </si>
  <si>
    <t>ART.EBT260450
COMP:40%WO 60%PL
WIDTH:145CM
WEIGHT:380GSM</t>
  </si>
  <si>
    <t>ART.EBT260451
COMP:40%WO 60%PL
WIDTH:145CM
WEIGHT:358GSM</t>
  </si>
  <si>
    <t>ART.EBT260453
COMP:100%CO 
WIDTH:144CM
WEIGHT:340GSM</t>
  </si>
  <si>
    <t>ART.EBT151053
COMP:100%PL
WIDTH:147CM
WEIGHT:220G/M2</t>
    <phoneticPr fontId="51" type="noConversion"/>
  </si>
  <si>
    <t>ART.EBT160555
COMP:F:100%PU G:100%PL 
WIDTH:134CM
WEIGHT:340G/M2</t>
    <phoneticPr fontId="51" type="noConversion"/>
  </si>
  <si>
    <t>EBT160813</t>
  </si>
  <si>
    <t>ART.EBT160813
COMP:97%R 3%SP 
WIDTH:CW:145CM
WEIGHT:220G/M2</t>
  </si>
  <si>
    <t>EBT160284-print</t>
  </si>
  <si>
    <t>ART.EBT160284-print
COMP:97%PL 3%EA
WIDTH:140CM
WEIGHT:375G/M2</t>
  </si>
  <si>
    <t>EBT160817</t>
  </si>
  <si>
    <t>ART.EBT160817
COMP:F:60%PL 35%VI 5%EA G:95%PL 5%EA
WIDTH:142CM
WEIGHT:395G/M2</t>
  </si>
  <si>
    <t>EBT160818</t>
  </si>
  <si>
    <t>EBT160819</t>
  </si>
  <si>
    <t>EBT160820</t>
  </si>
  <si>
    <t>EBT160821</t>
  </si>
  <si>
    <t>EBT160822</t>
  </si>
  <si>
    <t>EBT160823</t>
  </si>
  <si>
    <t>ART.EBT160818
COMP:28%VI 72%PL
WIDTH:165CM
WEIGHT:320G/M2</t>
  </si>
  <si>
    <t>ART.EBT160819
COMP:70%PL 23%WO 7%CO
WIDTH:145CM
WEIGHT:320G/M2</t>
  </si>
  <si>
    <t>ART.EBT160820
COMP:52%PL 30%CO 18%WO
WIDTH:145CM
WEIGHT:320G/M2</t>
  </si>
  <si>
    <t>ART.EBT160821
COMP:56%PL 22%WL 11%CO 11%VI
WIDTH:145CM
WEIGHT:360G/M2</t>
  </si>
  <si>
    <t>ART.EBT160822
COMP:57%PL 25%CO 18%WL
WIDTH:145CM
WEIGHT:310G/M2</t>
  </si>
  <si>
    <t>ART.EBT160823
COMP:56%PL 22%WL 11%CO 11%VI
WIDTH:145CM
WEIGHT:330G/M2</t>
  </si>
  <si>
    <t>EBT260454</t>
  </si>
  <si>
    <t>EBT260455</t>
  </si>
  <si>
    <t>EBT260456</t>
  </si>
  <si>
    <t>EBT260457</t>
  </si>
  <si>
    <t>EBT260458</t>
  </si>
  <si>
    <t>EBT260459</t>
  </si>
  <si>
    <t>EBT260460</t>
  </si>
  <si>
    <t>EBT260461</t>
  </si>
  <si>
    <t>EBT260462</t>
  </si>
  <si>
    <t>EBT260463</t>
  </si>
  <si>
    <t>EBT260464</t>
  </si>
  <si>
    <t>EBT260465</t>
  </si>
  <si>
    <t>EBT260466</t>
  </si>
  <si>
    <t>EBT260467</t>
  </si>
  <si>
    <t>EBT260468</t>
  </si>
  <si>
    <t>EBT260469</t>
  </si>
  <si>
    <t>EBT260470</t>
  </si>
  <si>
    <t>EBT260471</t>
  </si>
  <si>
    <t>EBT260472</t>
  </si>
  <si>
    <t>EBT260474</t>
  </si>
  <si>
    <t>EBT260475</t>
  </si>
  <si>
    <t>EBT260476</t>
  </si>
  <si>
    <t>EBT260477</t>
  </si>
  <si>
    <t>EBT260478</t>
  </si>
  <si>
    <t>EBT260479</t>
  </si>
  <si>
    <t>ART.EBT260459
COMP:40%PA 60%CO
WIDTH:150CM
WEIGHT:105GSM</t>
  </si>
  <si>
    <t>ART.EBT260460
COMP:40%PA 60%CO
WIDTH:145CM
WEIGHT:123GSM</t>
  </si>
  <si>
    <t>ART.EBT260461
COMP:95%PA 5%EA
WIDTH:150CM
WEIGHT:95GSM</t>
  </si>
  <si>
    <t>ART.EBT260462
COMP:40%PA 55%CO 5%EA
WIDTH:145CM
WEIGHT:140GSM</t>
  </si>
  <si>
    <t>ART.EBT260463
COMP:40%PA 30%CO 30%VI
WIDTH:150CM
WEIGHT:4.7M/KG</t>
  </si>
  <si>
    <t>ART.EBT260464
COMP:95%PA 5%EA
WIDTH:148CM
WEIGHT:130G/M</t>
  </si>
  <si>
    <t>ART.EBT260465
COMP:35%PA 65%CO
WIDTH:150CM
WEIGHT:103G/M2</t>
  </si>
  <si>
    <t>ART.EBT260466
COMP:30%PA 40%CO 30%VI
WIDTH:150CM
WEIGHT:133GSM</t>
  </si>
  <si>
    <t>ART.EBT260467
COMP:55%PA  45% CO  
WIDTH:145CM
WEIGHT:90GSM</t>
  </si>
  <si>
    <t>ART.EBT260468
COMP:50%PA 45%VI 5%EA
WIDTH:145CM
WEIGHT:133GSM</t>
  </si>
  <si>
    <t>ART.EBT260469
COMP:80%PA 18%PL 2%EA
WIDTH:56/58"
WEIGHT:152G/M</t>
  </si>
  <si>
    <t>ART.EBT260470
COMP:92%PA 8%EA
WIDTH:56/58"
WEIGHT:110G/M</t>
  </si>
  <si>
    <t>ART.EBT260471
COMP:55%PA 28%CO 17%VI
WIDTH:145CM
WEIGHT:166G/M</t>
  </si>
  <si>
    <t>ART.EBT260472
COMP:95%PA  5%EA
WIDTH:145CM
WEIGHT:102GSM</t>
  </si>
  <si>
    <t>ART.EBT260474
COMP:42%PA  53％CO 5％EA
WIDTH:123CM
WEIGHT:144G/M</t>
  </si>
  <si>
    <t>ART.EBT260475
COMP:45%PA 55%CO
WIDTH:140CM,
WEIGHT:175G/M</t>
  </si>
  <si>
    <t>ART.EBT260476
COMP:17%VI 79%PL 4%EA
WIDTH:140CM,
WEIGHT:425GSM</t>
  </si>
  <si>
    <t>ART.EBT260477
COMP:17%VI 79%PL 4%EA
WIDTH:140CM,
WEIGHT:434GSM</t>
  </si>
  <si>
    <t>ART.EBT260478
COMP:17%VI 79%PL 4%EA
WIDTH:140CM,
WEIGHT:428GSM</t>
  </si>
  <si>
    <t>ART.EBT260479
COMP:69%PL 19%VI 10%WO 2%EA
WIDTH:145CM
WEIGHT:239GSM</t>
  </si>
  <si>
    <t>EBT160814</t>
  </si>
  <si>
    <t>ART.EBT160814
COMP:F:100%PU G:100%VI
WIDTH:134CM
WEIGHT:314G/M2</t>
  </si>
  <si>
    <t>EBT160650B</t>
  </si>
  <si>
    <t>ART.EBT160650B
COMP:F: 68%PL30%VI 2%EA G: 100%PL
WIDTH:136CM
WEIGHT:580G/M2</t>
  </si>
  <si>
    <t>EBT160824</t>
  </si>
  <si>
    <t>EBT160825</t>
  </si>
  <si>
    <t>ART.EBT160824
COMP:F:45%VI 55%PA G:1005PL
WIDTH:127CM
WEIGHT:158G/M2</t>
  </si>
  <si>
    <t>ART.EBT160825
COMP:F:82%PA 18%VI G:100%PL
WIDTH:120CM
WEIGHT:126G/M2</t>
  </si>
  <si>
    <t>EBT160826</t>
  </si>
  <si>
    <t>EBT160827</t>
  </si>
  <si>
    <t>EBT160828</t>
  </si>
  <si>
    <t>EBT160829</t>
  </si>
  <si>
    <t>EBT160830</t>
  </si>
  <si>
    <t>EBT160831</t>
  </si>
  <si>
    <t>EBT160832</t>
  </si>
  <si>
    <t>EBT160833</t>
  </si>
  <si>
    <t>EBT160834</t>
  </si>
  <si>
    <t>EBT160835</t>
  </si>
  <si>
    <t>EBT160836</t>
  </si>
  <si>
    <t>EBT160837</t>
  </si>
  <si>
    <t>EBT160838</t>
  </si>
  <si>
    <t>EBT160839</t>
  </si>
  <si>
    <t>EBT160840</t>
  </si>
  <si>
    <t>EBT160841</t>
  </si>
  <si>
    <t>EBT160842</t>
  </si>
  <si>
    <t>EBT160843</t>
  </si>
  <si>
    <t>ART.EBT160826
COMP:100%PL
WIDTH:144CM
WEIGHT:112G/M2</t>
  </si>
  <si>
    <t>ART.EBT160827
COMP:100%PL
WIDTH:144CM
WEIGHT:248G/M2</t>
  </si>
  <si>
    <t>ART.EBT160830
COMP:63%PL 34%VI 3%EA
WIDTH:140CM
WEIGHT:215G/M2</t>
  </si>
  <si>
    <t>ART.EBT160831
COMP:63%PL 34%VI 3%EA
WIDTH:140CM
WEIGHT:275G/M2</t>
  </si>
  <si>
    <t>ART.EBT160832
COMP:63%PL 34%VI 3%EA
WIDTH:140CM
WEIGHT:220G/M2</t>
  </si>
  <si>
    <t>ART.EBT160833
COMP:63%PL 34%VI 3%EA
WIDTH:140CM
WEIGHT:275G/M2</t>
  </si>
  <si>
    <t>ART.EBT160834
COMP:63%PL 34%VI 3%EA
WIDTH:140CM
WEIGHT:275G/M2</t>
  </si>
  <si>
    <t>ART.EBT160835
COMP:63%PL 34%VI 3%EA
WIDTH:140CM
WEIGHT:225G/M2</t>
  </si>
  <si>
    <t>ART.EBT160836
COMP:63%PL 34%VI 3%EA
WIDTH:140CM
WEIGHT:235G/M2</t>
  </si>
  <si>
    <t>ART.EBT160837
COMP:63%PL 34%VI 3%EA
WIDTH:140CM
WEIGHT:250G/M2</t>
  </si>
  <si>
    <t>ART.EBT160838
COMP:63%PL 34%VI 3%EA
WIDTH:140CM
WEIGHT:250G/M2</t>
  </si>
  <si>
    <t>ART.EBT160839
COMP:63%PL 28%VI 9%EA
WIDTH:140CM
WEIGHT:185G/M2</t>
  </si>
  <si>
    <t>ART.EBT160840
COMP:63%PL 34%VI 3%EA
WIDTH:140CM
WEIGHT:250G/M2</t>
  </si>
  <si>
    <t>ART.EBT160841
COMP:63%PL 34%VI 3%EA
WIDTH:140CM
WEIGHT:280G/M2</t>
  </si>
  <si>
    <t>ART.EBT160842
COMP:63%PL 34%VI 3%EA
WIDTH:140CM
WEIGHT:180G/M2</t>
  </si>
  <si>
    <t>ART.EBT160843
COMP:63%PL 34%VI 3%EA
WIDTH:140CM
WEIGHT:240G/M2</t>
  </si>
  <si>
    <t>EBT160844</t>
  </si>
  <si>
    <t>EBT160845</t>
  </si>
  <si>
    <t>EBT160846</t>
  </si>
  <si>
    <t>EBT160847</t>
  </si>
  <si>
    <t>EBT160848</t>
  </si>
  <si>
    <t>EBT160849</t>
  </si>
  <si>
    <t>EBT160850</t>
  </si>
  <si>
    <t>EBT160851</t>
  </si>
  <si>
    <t>EBT160852</t>
  </si>
  <si>
    <t>EBT160853</t>
  </si>
  <si>
    <t>EBT160854</t>
  </si>
  <si>
    <t>EBT160855</t>
  </si>
  <si>
    <t>EBT160856</t>
  </si>
  <si>
    <t>EBT160857</t>
  </si>
  <si>
    <t>EBT160858</t>
  </si>
  <si>
    <t>EBT160859</t>
  </si>
  <si>
    <t>EBT160860</t>
  </si>
  <si>
    <t>EBT160861</t>
  </si>
  <si>
    <t>EBT160862</t>
  </si>
  <si>
    <t>EBT160863</t>
  </si>
  <si>
    <t>EBT160864</t>
  </si>
  <si>
    <t>EBT160865</t>
  </si>
  <si>
    <t>EBT160866</t>
  </si>
  <si>
    <t>EBT160867</t>
  </si>
  <si>
    <t>EBT160868</t>
  </si>
  <si>
    <t>EBT160869</t>
  </si>
  <si>
    <t>ART.EBT160844
COMP:100%PL
WIDTH:127CM
WEIGHT:</t>
  </si>
  <si>
    <t>ART.EBT160845
COMP:100%PL
WIDTH:127CM
WEIGHT:</t>
  </si>
  <si>
    <t>ART.EBT160846
COMP:100%PL
WIDTH:127CM
WEIGHT:</t>
  </si>
  <si>
    <t>ART.EBT160847
COMP:100%PL
WIDTH:127CM
WEIGHT:</t>
  </si>
  <si>
    <t>ART.EBT160848
COMP:100%PL
WIDTH:127CM
WEIGHT:</t>
  </si>
  <si>
    <t>ART.EBT160849
COMP:100%PL
WIDTH:127CM
WEIGHT:</t>
  </si>
  <si>
    <t>ART.EBT160850
COMP:100%PL
WIDTH:127CM
WEIGHT:</t>
  </si>
  <si>
    <t>ART.EBT160851
COMP:100%PL
WIDTH:127CM
WEIGHT:</t>
  </si>
  <si>
    <t>ART.EBT160852
COMP:100%PL
WIDTH:127CM
WEIGHT:</t>
  </si>
  <si>
    <t>ART.EBT160853
COMP:100%PL
WIDTH:127CM
WEIGHT:</t>
  </si>
  <si>
    <t>ART.EBT160854
COMP:100%PL
WIDTH:127CM
WEIGHT:</t>
  </si>
  <si>
    <t>ART.EBT160855
COMP:100%PL
WIDTH:127CM
WEIGHT:</t>
  </si>
  <si>
    <t>ART.EBT160856
COMP:95%VI 5%EA
WIDTH:127CM
WEIGHT:440G/M2</t>
  </si>
  <si>
    <t>ART.EBT160857
COMP:95%VI 5%EA
WIDTH:127CM
WEIGHT:</t>
  </si>
  <si>
    <t>ART.EBT160858
COMP:95%VI 5%EA
WIDTH:127CM
WEIGHT:535G/M2</t>
  </si>
  <si>
    <t>ART.EBT160859
COMP:95%VI 5%EA
WIDTH:127CM
WEIGHT:</t>
  </si>
  <si>
    <t>ART.EBT160860
COMP:95%VI 5%EA
WIDTH:127CM
WEIGHT:</t>
  </si>
  <si>
    <t>ART.EBT160861
COMP:95%VI 5%EA
WIDTH:127CM
WEIGHT:</t>
  </si>
  <si>
    <t>ART.EBT160862
COMP:95%VI 5%EA
WIDTH:127CM
WEIGHT:400G/M2</t>
  </si>
  <si>
    <t>ART.EBT160863
COMP:100%PL
WIDTH:127CM
WEIGHT:</t>
  </si>
  <si>
    <t>ART.EBT160865
COMP:100%PL
WIDTH:127CM
WEIGHT:265G/M2</t>
  </si>
  <si>
    <t>ART.EBT160866
COMP:100%PL
WIDTH:127CM
WEIGHT:</t>
  </si>
  <si>
    <t>ART.EBT160867
COMP:95%VI 5%EA
WIDTH:127CM
WEIGHT:440G/M2</t>
  </si>
  <si>
    <t>ART.EBT160868
COMP:100%PL
WIDTH:127CM
WEIGHT:</t>
  </si>
  <si>
    <t>ART.EBT160869
COMP:95%PA 5%EA
WIDTH:127CM
WEIGHT:450G/M2</t>
  </si>
  <si>
    <t>EBT160872</t>
  </si>
  <si>
    <t>ART.EBT160872
COMP:100%PL
WIDTH:142CM
WEIGHT:215G/M2</t>
  </si>
  <si>
    <t>EBT160870</t>
  </si>
  <si>
    <t>EBT160871</t>
  </si>
  <si>
    <t>ART.EBT160870
COMP:F:60%VI 36%PL 4%EA G:95%PL 5% EA
WIDTH:144CM
WEIGHT:532G/M2</t>
  </si>
  <si>
    <t>ART.EBT160871
COMP:F:95%PL 5%EA G:95%PL 5%EA
WIDTH:144CM
WEIGHT:587G/M2</t>
  </si>
  <si>
    <t>ART.EBT160828
COMP:100%PL
WIDTH:140CM
WEIGHT:205G/M2</t>
    <phoneticPr fontId="51" type="noConversion"/>
  </si>
  <si>
    <t>EBT111610-450</t>
  </si>
  <si>
    <t>ART.EBT111610-450
COMP:95%PL 5%EA
WIDTH:147CM
WEIGHT:300G/M2</t>
  </si>
  <si>
    <t>EBT160873</t>
  </si>
  <si>
    <t>EBT160874</t>
  </si>
  <si>
    <t>EBT160875</t>
  </si>
  <si>
    <t>EBT160876</t>
  </si>
  <si>
    <t>EBT160877</t>
  </si>
  <si>
    <t>EBT160878</t>
  </si>
  <si>
    <t>EBT160879</t>
  </si>
  <si>
    <t>EBT160880</t>
  </si>
  <si>
    <t>EBT160881</t>
  </si>
  <si>
    <t>EBT160882</t>
  </si>
  <si>
    <t>EBT160883</t>
  </si>
  <si>
    <t>EBT160884</t>
  </si>
  <si>
    <t>EBT160885</t>
  </si>
  <si>
    <t>ART.EBT160873
COMP:100%PL
WIDTH:145CM
WEIGHT:119G/M2</t>
  </si>
  <si>
    <t>ART.EBT160874
COMP:90%PL 10%EA
WIDTH:145CM
WEIGHT:220G/M2</t>
  </si>
  <si>
    <t>ART.EBT160875
COMP:100%PL
WIDTH:150CM
WEIGHT:275G/M2</t>
  </si>
  <si>
    <t>ART.EBT160876
COMP:100%PL
WIDTH:145CM
WEIGHT:189G/M2</t>
  </si>
  <si>
    <t>ART.EBT160877
COMP:100%PL
WIDTH:142CM
WEIGHT:86G/M2</t>
  </si>
  <si>
    <t>ART.EBT160878
COMP:100%PL
WIDTH:142CM
WEIGHT:</t>
  </si>
  <si>
    <t>ART.EBT160879
COMP:100%PL
WIDTH:145CM
WEIGHT:114G/M2</t>
  </si>
  <si>
    <t>ART.EBT160880
COMP:100%PL
WIDTH:142CM
WEIGHT:110G/M2</t>
  </si>
  <si>
    <t>ART.EBT160881
COMP:68.9%Recycle 31.1%PL
WIDTH:142CM
WEIGHT:121G/M2</t>
  </si>
  <si>
    <t>ART.EBT160882
COMP:73.5%Recycle 26.5%PL
WIDTH:145CM
WEIGHT:135G/M2</t>
  </si>
  <si>
    <t>ART.EBT160883
COMP:100%PL
WIDTH:145CM
WEIGHT:151G/M2</t>
  </si>
  <si>
    <t>ART.EBT160884
COMP:100%PL
WIDTH:142CM
WEIGHT:101G/M2</t>
  </si>
  <si>
    <t>ART.EBT160885
COMP:90%PL 10%EA
WIDTH:142CM
WEIGHT:145G/M2</t>
  </si>
  <si>
    <t>ART.EBT140243
COMP:GROUND：84%NYLON 16%EA
FACE：94%PL 6%SP
WIDTH:145CM
WEIGHT:331G/M2</t>
  </si>
  <si>
    <t>EBT160886</t>
  </si>
  <si>
    <t>EBT160894</t>
  </si>
  <si>
    <t>EBT160895</t>
  </si>
  <si>
    <t>EBT160896</t>
  </si>
  <si>
    <t>EBT160897</t>
  </si>
  <si>
    <t>EBT160898</t>
  </si>
  <si>
    <t>ART.EBT160894
COMP:100%PL
WIDTH:125CM
WEIGHT:450G/M2</t>
  </si>
  <si>
    <t>ART.EBT160895
COMP:100%PL
WIDTH:125CM
WEIGHT:300G/M2</t>
  </si>
  <si>
    <t>ART.EBT160896
COMP:100%PL
WIDTH:125CM
WEIGHT:400G/M2</t>
  </si>
  <si>
    <t>ART.EBT160897
COMP:100%PL
WIDTH:125CM
WEIGHT:260G/M2</t>
  </si>
  <si>
    <t>ART.EBT160898
COMP:100%PL
WIDTH:125CM
WEIGHT:260G/M2</t>
  </si>
  <si>
    <t>EBT160899</t>
  </si>
  <si>
    <t xml:space="preserve">EBT160899 </t>
  </si>
  <si>
    <t>ART.EBT160899 
COMP:100%PL
WIDTH:140CM
WEIGHT:85G/M2</t>
  </si>
  <si>
    <t>EBT160887</t>
  </si>
  <si>
    <t>EBT160888</t>
  </si>
  <si>
    <t>EBT160889</t>
  </si>
  <si>
    <t>EBT160890</t>
  </si>
  <si>
    <t>EBT160891</t>
  </si>
  <si>
    <t>EBT160892</t>
  </si>
  <si>
    <t>EBT160893</t>
  </si>
  <si>
    <t>ART.EBT160887
COMP:G:100%PA EMB:100%PL
WIDTH:128cm
WEIGHT:</t>
  </si>
  <si>
    <t>ART.EBT160888
COMP:G:100%PA EMB:100%PL
WIDTH:128cm
WEIGHT:</t>
  </si>
  <si>
    <t>ART.EBT160889
COMP:100%PL
WIDTH:145cm
WEIGHT:</t>
  </si>
  <si>
    <t>ART.EBT160890
COMP:94%PL 6%ME
WIDTH:145cm
WEIGHT:</t>
  </si>
  <si>
    <t>ART.EBT160891
COMP:100%PL
WIDTH:128cm
WEIGHT:</t>
  </si>
  <si>
    <t>ART.EBT160892
COMP:95%PL 5%EA
WIDTH:128cm
WEIGHT:</t>
  </si>
  <si>
    <t>ART.EBT160893
COMP:100%PL
WIDTH:128cm
WEIGHT:</t>
  </si>
  <si>
    <t>ART.EBT160899
COMP:100%PL
WIDTH:CW:140CM
WEIGHT:85G/M2</t>
  </si>
  <si>
    <t>EBT160900</t>
  </si>
  <si>
    <t>EBT160901</t>
  </si>
  <si>
    <t>EBT160902</t>
  </si>
  <si>
    <t>EBT160903</t>
  </si>
  <si>
    <t>EBT160904</t>
  </si>
  <si>
    <t>EBT160905</t>
  </si>
  <si>
    <t>EBT160906</t>
  </si>
  <si>
    <t>EBT160907</t>
  </si>
  <si>
    <t>EBT160908</t>
  </si>
  <si>
    <t>EBT160909</t>
  </si>
  <si>
    <t>EBT160910</t>
  </si>
  <si>
    <t>EBT160911</t>
  </si>
  <si>
    <t>ART.EBT160900
COMP:61%CO% 38%PL 1%EA
WIDTH:145CM
WEIGHT:240G/M2</t>
  </si>
  <si>
    <t>ART.EBT160901
COMP:100%CO
WIDTH:145CM
WEIGHT:275G/M2</t>
  </si>
  <si>
    <t>ART.EBT160902
COMP:57%PL 25%CO 16%MET 2%EA
WIDTH:126CM
WEIGHT:273G/M2</t>
  </si>
  <si>
    <t>ART.EBT160903
COMP:57%PL 25%CO 16%MET 2%EA
WIDTH:126CM
WEIGHT:264G/M2</t>
  </si>
  <si>
    <t>ART.EBT160907
COMP:57%PL 25%CO 16%MET 2%EA
WIDTH:126CM
WEIGHT:270G/M2</t>
  </si>
  <si>
    <t>ART.EBT160908
COMP:53%PL 44%CO 3%EA
WIDTH:136CM
WEIGHT:310G/M2</t>
  </si>
  <si>
    <t>ART.EBT160909
COMP:54%CO 43%PL 3%EA
WIDTH:138CM
WEIGHT:243G/M2</t>
  </si>
  <si>
    <t>ART.EBT160910
COMP:69%CO 30%PL 1%EA
WIDTH:144CM
WEIGHT:248G/M2</t>
  </si>
  <si>
    <t>EBT160912</t>
  </si>
  <si>
    <t>ART.EBT160912
COMP:G:95%PL 5%EA F:95%PL 5%EA
WIDTH:142CM
WEIGHT:434G/M2</t>
  </si>
  <si>
    <t>EBT260480</t>
  </si>
  <si>
    <t>EBT260481</t>
  </si>
  <si>
    <t>EBT260482</t>
  </si>
  <si>
    <t>EBT260483</t>
  </si>
  <si>
    <t>EBT260484</t>
  </si>
  <si>
    <t>EBT260485</t>
  </si>
  <si>
    <t>EBT260486</t>
  </si>
  <si>
    <t>EBT260487</t>
  </si>
  <si>
    <t>EBT260488</t>
  </si>
  <si>
    <t>EBT260489</t>
  </si>
  <si>
    <t>EBT260490</t>
  </si>
  <si>
    <t>EBT260491</t>
  </si>
  <si>
    <t>EBT260492</t>
  </si>
  <si>
    <t>EBT260493</t>
  </si>
  <si>
    <t>EBT260494</t>
  </si>
  <si>
    <t>EBT260495</t>
  </si>
  <si>
    <t>EBT260496</t>
  </si>
  <si>
    <t>EBT260497</t>
  </si>
  <si>
    <t>EBT260498</t>
  </si>
  <si>
    <t>EBT260499</t>
  </si>
  <si>
    <t>ART.EBT260481
COMP:114CM
WIDTH:
WEIGHT:</t>
  </si>
  <si>
    <t>ART.EBT260482
COMP:140CM,
WIDTH:
WEIGHT:</t>
  </si>
  <si>
    <t>ART.EBT260483
COMP:
WIDTH:
WEIGHT:</t>
  </si>
  <si>
    <t>ART.EBT260484
COMP:140CM
WIDTH:
WEIGHT:</t>
  </si>
  <si>
    <t>ART.EBT260485
COMP:134CM
WIDTH:
WEIGHT:</t>
  </si>
  <si>
    <t>ART.EBT260486
COMP:116CM
WIDTH:
WEIGHT:</t>
  </si>
  <si>
    <t>ART.EBT260487
COMP: 114cm
WIDTH:
WEIGHT:</t>
  </si>
  <si>
    <t>ART.EBT260488
COMP:104CM
WIDTH:
WEIGHT:</t>
  </si>
  <si>
    <t>ART.EBT260489
COMP:114CM
WIDTH:
WEIGHT:</t>
  </si>
  <si>
    <t>ART.EBT260491
COMP:145CM
WIDTH:
WEIGHT:</t>
  </si>
  <si>
    <t>ART.EBT260492
COMP:120CM
WIDTH:
WEIGHT:</t>
  </si>
  <si>
    <t>ART.EBT260493
COMP:120CM
WIDTH:
WEIGHT:</t>
  </si>
  <si>
    <t>ART.EBT260494
COMP:120CM
WIDTH:
WEIGHT:</t>
  </si>
  <si>
    <t>ART.EBT260495
COMP:120CM
WIDTH:
WEIGHT:</t>
  </si>
  <si>
    <t>ART.EBT260496
COMP:120CM
WIDTH:
WEIGHT:</t>
  </si>
  <si>
    <t>ART.EBT260497
COMP:120CM
WIDTH:
WEIGHT:</t>
  </si>
  <si>
    <t>ART.EBT260498
COMP:120CM
WIDTH:
WEIGHT:</t>
  </si>
  <si>
    <t>ART.EBT260499
COMP:120CM
WIDTH:
WEIGHT:</t>
  </si>
  <si>
    <t>ART.EBT160904
COMP:46%PL 28%RECYCLE 24%VI 2%EA
WIDTH:136CM
WEIGHT:253G/M2</t>
    <phoneticPr fontId="51" type="noConversion"/>
  </si>
  <si>
    <t>ART.EBT160905
COMP:46%PL 28%RECYCLE 24%VI 2%EA
WIDTH:136CM
WEIGHT:255G/M2</t>
    <phoneticPr fontId="51" type="noConversion"/>
  </si>
  <si>
    <t>ART.EBT160911
COMP:75%CO 22%LI 3%EA
WIDTH:128CM
WEIGHT:263G/M2</t>
    <phoneticPr fontId="51" type="noConversion"/>
  </si>
  <si>
    <t>ART.EBT160432
COMP:F:95%PL 5%EA G:95%PL 5%EA
WIDTH:140CM
WEIGHT:515G/M2</t>
    <phoneticPr fontId="51" type="noConversion"/>
  </si>
  <si>
    <t>ART.EBT260240
COMP:F:95%PL 5%EA G:95%PL 5%EA 
WIDTH:140CM
WEIGHT:530G/M2</t>
    <phoneticPr fontId="51" type="noConversion"/>
  </si>
  <si>
    <t>ART.EBT260172
COMP:F:95%PL 5%EA G:65%PL 35%VI
WIDTH:140CM
WEIGHT:392G/M2</t>
    <phoneticPr fontId="51" type="noConversion"/>
  </si>
  <si>
    <t>ART.EBT160886
COMP:F:100%PA G:100%PL
WIDTH:130CM
WEIGHT:115G/M2</t>
    <phoneticPr fontId="51" type="noConversion"/>
  </si>
  <si>
    <t>EBT160914</t>
  </si>
  <si>
    <t>ART.EBT160914
COMP:90%PA 10%EA
WIDTH:146CM
WEIGHT:90G/M2</t>
  </si>
  <si>
    <t>EBT160913</t>
  </si>
  <si>
    <t>ART.EBT160913
COMP:100%PL
WIDTH:142CM
WEIGHT:158G/M2</t>
  </si>
  <si>
    <t>EBT160915</t>
  </si>
  <si>
    <t>EBT160916</t>
  </si>
  <si>
    <t>EBT160917</t>
  </si>
  <si>
    <t>ART.EBT160915
COMP:G:100%PL
WIDTH:124CM
WEIGHT:225G/M2</t>
  </si>
  <si>
    <t>ART.EBT160916
COMP:G:95%PA 5%EA
WIDTH:124CM
WEIGHT:</t>
  </si>
  <si>
    <t>ART.EBT160917
COMP:G:100%PL
WIDTH:124CM
WEIGHT:</t>
  </si>
  <si>
    <t>EBT160918</t>
  </si>
  <si>
    <t>ART.EBT160918
COMP:90%PL 10%EA
WIDTH:135CM
WEIGHT:300G/M2</t>
  </si>
  <si>
    <t>EBT160919</t>
  </si>
  <si>
    <t>EBT160920</t>
  </si>
  <si>
    <t>ART.EBT160919
COMP:60%CO 37%PL 3%EA
WIDTH:136CM
WEIGHT:240G/M2</t>
  </si>
  <si>
    <t>ART.EBT160920
COMP:F: 100%PU G:100%PL
WIDTH:140CM
WEIGHT:395G/M2</t>
  </si>
  <si>
    <t>ART.EBT140141-JR
COMP:90%PL 10%EA
WIDTH:140CM
WEIGHT:330G/M2</t>
    <phoneticPr fontId="51" type="noConversion"/>
  </si>
  <si>
    <t>ART.EBT140141
COMP:90%PL 10%EA
WIDTH:140CM
WEIGHT:330G/M2</t>
    <phoneticPr fontId="51" type="noConversion"/>
  </si>
  <si>
    <t>EBT160921</t>
  </si>
  <si>
    <t>EBT160922</t>
  </si>
  <si>
    <t>EBT160923</t>
  </si>
  <si>
    <t>EBT160924</t>
  </si>
  <si>
    <t>ART.EBT160921
COMP:F: 100%PU G:100%PL
WIDTH:145CM
WEIGHT:330G/M2</t>
  </si>
  <si>
    <t>ART.EBT160922
COMP:F: 100%PU G:100%PL
WIDTH:140CM
WEIGHT:268G/M2</t>
  </si>
  <si>
    <t>ART.EBT160923
COMP:F: 100%PU G:100%PL
WIDTH:137CM
WEIGHT:305G/M2</t>
  </si>
  <si>
    <t>ART.EBT160924
COMP:F: 100%PU G:100%PL
WIDTH:136CM
WEIGHT:297G/M2</t>
  </si>
  <si>
    <t>ART.EBT151039
COMP:95%PL 5%EA
WIDTH:57"58
WEIGHT:220G/M2</t>
    <phoneticPr fontId="51" type="noConversion"/>
  </si>
  <si>
    <t>ART.EBT150674-DN
COMP:60%CO 37%PL 3%EA
WIDTH:150CM
WEIGHT:320G/M2</t>
    <phoneticPr fontId="51" type="noConversion"/>
  </si>
  <si>
    <t>EBT160926</t>
  </si>
  <si>
    <t>ART.EBT160926
COMP:100%CO
WIDTH:130CM
WEIGHT:</t>
  </si>
  <si>
    <t>EBT260500</t>
  </si>
  <si>
    <t>EBT260501</t>
  </si>
  <si>
    <t>EBT260502</t>
  </si>
  <si>
    <t>EBT260503</t>
  </si>
  <si>
    <t>EBT260504</t>
  </si>
  <si>
    <t>EBT260505</t>
  </si>
  <si>
    <t>EBT260506</t>
  </si>
  <si>
    <t>EBT260507</t>
  </si>
  <si>
    <t>EBT260508</t>
  </si>
  <si>
    <t>EBT260509</t>
  </si>
  <si>
    <t>EBT260510</t>
  </si>
  <si>
    <t>EBT260511</t>
  </si>
  <si>
    <t>EBT260512</t>
  </si>
  <si>
    <t>EBT260513</t>
  </si>
  <si>
    <t>EBT260514</t>
  </si>
  <si>
    <t>EBT260515</t>
  </si>
  <si>
    <t>EBT260516</t>
  </si>
  <si>
    <t>EBT260517</t>
  </si>
  <si>
    <t>EBT260518</t>
  </si>
  <si>
    <t>EBT260519</t>
  </si>
  <si>
    <t>EBT260520</t>
  </si>
  <si>
    <t>EBT260521</t>
  </si>
  <si>
    <t>EBT260522</t>
  </si>
  <si>
    <t>EBT260523</t>
  </si>
  <si>
    <t>EBT260524</t>
  </si>
  <si>
    <t>EBT260525</t>
  </si>
  <si>
    <t>EBT260526</t>
  </si>
  <si>
    <t>EBT260527</t>
  </si>
  <si>
    <t>EBT260528</t>
  </si>
  <si>
    <t>EBT260529</t>
  </si>
  <si>
    <t>EBT260530</t>
  </si>
  <si>
    <t>EBT260531</t>
  </si>
  <si>
    <t>EBT260532</t>
  </si>
  <si>
    <t>EBT260533</t>
  </si>
  <si>
    <t>EBT260534</t>
  </si>
  <si>
    <t>EBT260535</t>
  </si>
  <si>
    <t>EBT260536</t>
  </si>
  <si>
    <t>EBT260537</t>
  </si>
  <si>
    <t>EBT260538</t>
  </si>
  <si>
    <t>EBT260539</t>
  </si>
  <si>
    <t>EBT260540</t>
  </si>
  <si>
    <t>EBT260541</t>
  </si>
  <si>
    <t>EBT260542</t>
  </si>
  <si>
    <t>ART.EBT260501
COMP:100%PL 
WIDTH:142CM
WEIGHT:84GSM</t>
  </si>
  <si>
    <t>ART.EBT260502
COMP:100%PL 
WIDTH:148CM
WEIGHT:75GSM</t>
  </si>
  <si>
    <t>ART.EBT260503
COMP:100%PL
WIDTH:142CM
WEIGHT:112GSM</t>
  </si>
  <si>
    <t>ART.EBT260505
COMP:64%PL 34%VI  2%EA
WIDTH:142CM
WEIGHT:265GSM</t>
  </si>
  <si>
    <t>ART.EBT260506
COMP:25%PA  75% VI
WIDTH:140CM
WEIGHT:</t>
  </si>
  <si>
    <t>ART.EBT260507
COMP:64%PL 34%VI 2%EA
WIDTH:126CM
WEIGHT:344GSM</t>
  </si>
  <si>
    <t>ART.EBT260508
COMP:64%PL  34%VI  2%EA
WIDTH:142CM
WEIGHT:247GSM</t>
  </si>
  <si>
    <t>ART.EBT260509
COMP:54%PL  43%VI 3%EA
WIDTH:138cm
WEIGHT:195GSM</t>
  </si>
  <si>
    <t>ART.EBT260510
COMP:56%CO  42%PL 3%EA
WIDTH:142CM
WEIGHT:235-240GSM</t>
  </si>
  <si>
    <t>ART.EBT260511
COMP:96%PL   4%EA  SEERSUCKER
WIDTH:155CM 
WEIGHT:118GSM</t>
  </si>
  <si>
    <t>ART.EBT260512
COMP: FACE:40%WO  60%PL BACK:65%PL 35%VI
WIDTH:142CM
WEIGHT:530GSM</t>
  </si>
  <si>
    <t>ART.EBT260513
COMP:92%PL 8%EA
WIDTH:58"
WEIGHT:300GSM</t>
  </si>
  <si>
    <t>ART.EBT260514
COMP:100%PL
WIDTH:58"
WEIGHT:140GSM</t>
  </si>
  <si>
    <t>ART.EBT260515
COMP:100%PL
WIDTH:58"
WEIGHT:240GSM</t>
  </si>
  <si>
    <t>ART.EBT260516
COMP:100%PL
WIDTH:58"
WEIGHT:200GSM</t>
  </si>
  <si>
    <t>ART.EBT260517
COMP:100%PL
WIDTH:120cm
WEIGHT:</t>
  </si>
  <si>
    <t>ART.EBT260518
COMP:100%PL
WIDTH:144CM
WEIGHT:130GSM</t>
  </si>
  <si>
    <t>ART.EBT260519
COMP:50%WO 50%PL
WIDTH:144CM
WEIGHT:320GSM</t>
  </si>
  <si>
    <t>ART.EBT260520
COMP:30%WO 30%AC 40%PL
WIDTH:144CM
WEIGHT:440GSM</t>
  </si>
  <si>
    <t>ART.EBT260521
COMP:100%PL
WIDTH:122CM
WEIGHT:300GSM</t>
  </si>
  <si>
    <t>ART.EBT260522
COMP:95%PL 5%EA
WIDTH:144CM
WEIGHT:225GSM</t>
  </si>
  <si>
    <t>ART.EBT260523
COMP:100%PL
WIDTH:125CM
WEIGHT:</t>
  </si>
  <si>
    <t>ART.EBT260524
COMP:50%WO 50%OTHER
WIDTH:142CM
WEIGHT:463GSM</t>
  </si>
  <si>
    <t xml:space="preserve">ART.EBT260525
COMP:100% VI PIQUE
WIDTH:147CM
WEIGHT:240GSM </t>
  </si>
  <si>
    <t>ART.EBT260526
COMP:100%TENCEL
WIDTH:137CM
WEIGHT:230GSM</t>
  </si>
  <si>
    <t>ART.EBT260527
COMP:100%PL
WIDTH:120-125CM
WEIGHT:</t>
  </si>
  <si>
    <t>ART.EBT260528
COMP:100%PL
WIDTH:125CM
WEIGHT:</t>
  </si>
  <si>
    <t>ART.EBT260529
COMP:100%PL
WIDTH:120-125CM
WEIGHT:</t>
  </si>
  <si>
    <t>ART.EBT260530
COMP:100%PL
WIDTH:120-125CM
WEIGHT:</t>
  </si>
  <si>
    <t>ART.EBT260531
COMP:100%PL
WIDTH:120-125CM
WEIGHT:</t>
  </si>
  <si>
    <t>ART.EBT260532
COMP:100%PL
WIDTH:120-125CM
WEIGHT:</t>
  </si>
  <si>
    <t>ART.EBT260533
COMP:100%PL
WIDTH:120CM
WEIGHT:</t>
  </si>
  <si>
    <t>ART.EBT260534
COMP:100%PL
WIDTH:120CM
WEIGHT:</t>
  </si>
  <si>
    <t>ART.EBT260535
COMP:100%PL
WIDTH:120CM
WEIGHT:</t>
  </si>
  <si>
    <t>ART.EBT260536
COMP: FACE:65%PL 35%VI BACK:65%PL 35%VI
WIDTH:158CM
WEIGHT:445GSM</t>
  </si>
  <si>
    <t>ART.EBT260537
COMP:10%WO 90%PL
WIDTH:145CM
WEIGHT:346GSM</t>
  </si>
  <si>
    <t>ART.EBT260538
COMP:10%WO 90%PL
WIDTH:145CM
WEIGHT:346GSM</t>
  </si>
  <si>
    <t>ART.EBT260539
COMP:10%WO 90%PL
WIDTH:145CM
WEIGHT:346GSM</t>
  </si>
  <si>
    <t>ART.EBT260541
COMP:85% RAYON 15% SILK 
WIDTH:126CM
WEIGHT:182gsm</t>
  </si>
  <si>
    <t>ART.EBT260542
COMP:100%CO
WIDTH:145CM
WEIGHT:390GSM</t>
  </si>
  <si>
    <t>EBT160928</t>
  </si>
  <si>
    <t>EBT160929</t>
  </si>
  <si>
    <t>ART.EBT160929
COMP:40%PL 30%WO 30%PC
WIDTH:140CM
WEIGHT:435G/M2</t>
  </si>
  <si>
    <t>EBT160930</t>
  </si>
  <si>
    <t>ART.EBT160930
COMP:100%PL
WIDTH:128CM
WEIGHT:</t>
  </si>
  <si>
    <t>EBT150882FOIL</t>
  </si>
  <si>
    <t>ART.EBT150882FOIL
COMP:100%CO
WIDTH:CW: 135CM
WEIGHT:150G/M2</t>
  </si>
  <si>
    <t>EBT130913-FOIL</t>
  </si>
  <si>
    <t>ART.EBT130913-FOIL
COMP:100%PL
WIDTH: 142CM
WEIGHT:205G/M2</t>
  </si>
  <si>
    <t>EBT160931</t>
  </si>
  <si>
    <t>ART.EBT160931
COMP:F:100%SQ G:97%VI 3% EA
WIDTH:125CM
WEIGHT:420G/M2</t>
  </si>
  <si>
    <t>ART.EBT160928
COMP:F: 100%PU G:100%PL
WIDTH:CW:125CM
WEIGHT:</t>
  </si>
  <si>
    <t>EBT160927</t>
  </si>
  <si>
    <t>ART.EBT160927
COMP:68.9%Recycle 31.1%PL
WIDTH:135CM
WEIGHT:250G/M2</t>
  </si>
  <si>
    <t>EBT260543</t>
  </si>
  <si>
    <t>ART.EBT260543
COMP:53%VI 47%RAYON
WIDTH:105CM
WEIGHT:162GSM</t>
  </si>
  <si>
    <t>ART.EBT160414
COMP:95%PL 5%EA
WIDTH:144CM
WEIGHT:230G/M2</t>
    <phoneticPr fontId="51" type="noConversion"/>
  </si>
  <si>
    <t>EBT260547</t>
  </si>
  <si>
    <t>EBT260548</t>
  </si>
  <si>
    <t>EBT260549</t>
  </si>
  <si>
    <t>EBT260550</t>
  </si>
  <si>
    <t>EBT260551</t>
  </si>
  <si>
    <t>EBT260552</t>
  </si>
  <si>
    <t>EBT260553</t>
  </si>
  <si>
    <t>ART.EBT260547
COMP:49%PL 49%CO 2%LUREX
WIDTH:142CM
WEIGHT:268GSM</t>
  </si>
  <si>
    <t>ART.EBT260549
COMP:100%PL
WIDTH:142CM
WEIGHT:92GSM</t>
  </si>
  <si>
    <t>ART.EBT260550
COMP:100%PL
WIDTH:130CM
WEIGHT:107GSM</t>
  </si>
  <si>
    <t>ART.EBT260551
COMP:11%AC 16%PA 20%VI 53%PL
WIDTH:145CM
WEIGHT:255GSM</t>
  </si>
  <si>
    <t>ART.EBT260552
COMP:92%PL  8%EA
WIDTH:140CM
WEIGHT:235GSM</t>
  </si>
  <si>
    <t>ART.EBT260553
COMP:100%PL
WIDTH:142CM
WEIGHT:246GSM</t>
  </si>
  <si>
    <t>ART.EBT260548
COMP:Face:50%WO 10%VI 40%PL BACK:65%PL 35%VI
WIDTH:148CM
WEIGHT:390GSM</t>
    <phoneticPr fontId="51" type="noConversion"/>
  </si>
  <si>
    <t>ART.EBT260454
COMP:100% PL EMB BACK: 95%PL 5%SP SCUBA
WIDTH:125CM
WEIGHT:500GSM</t>
    <phoneticPr fontId="51" type="noConversion"/>
  </si>
  <si>
    <t>ART.EBT260455
COMP:BFACE:64%PL 33%VI 3%EA CHECK BACK:70%PL 30%VI
WIDTH:142CM
WEIGHT:419GSM</t>
    <phoneticPr fontId="51" type="noConversion"/>
  </si>
  <si>
    <t>ART.EBT260456
COMP：FACE:64%PL 33%VI 3%EA CHECK BACK:70%PL  30%VI 
WIDTH:142CM
WEIGHT:417GSM</t>
    <phoneticPr fontId="51" type="noConversion"/>
  </si>
  <si>
    <t>ART.EBT260457
COMP FACE:64%PL 33%VI 3%EA CHECK BACK:100%PL
WIDTH:142CM
WEIGHT:421GSM</t>
    <phoneticPr fontId="51" type="noConversion"/>
  </si>
  <si>
    <t>ART.EBT260458
COMP FACE:64%PL 33%VI 3%EA CHECK BACK:100%PL
WIDTH:142CM
WEIGHT:421GSM</t>
    <phoneticPr fontId="51" type="noConversion"/>
  </si>
  <si>
    <t>ART.EBT260504
COMP:97%PL 3%EA 
WIDTH:145CM
WEIGHT:95GSM</t>
    <phoneticPr fontId="51" type="noConversion"/>
  </si>
  <si>
    <t>EBT160934</t>
  </si>
  <si>
    <t>EBT160935</t>
  </si>
  <si>
    <t>EBT160936</t>
  </si>
  <si>
    <t>ART.EBT160934
COMP:65%CO 35%PA
WIDTH:142CM
WEIGHT:230G/M</t>
  </si>
  <si>
    <t>ART.EBT160935
COMP:65%CO 35%PA
WIDTH:142CM
WEIGHT:200G/M</t>
  </si>
  <si>
    <t>ART.EBT160936
COMP:46%PA 50%CO 4%VI
WIDTH:137CM
WEIGHT:300G/M</t>
  </si>
  <si>
    <t>EBT130184</t>
  </si>
  <si>
    <t>ART.EBT130184
COMP:74PL25CO1EA
WIDTH:53‘’
WEIGHT:320G/M2</t>
  </si>
  <si>
    <t>EBT81324B</t>
  </si>
  <si>
    <t>ART.EBT81324B
COMP:F: 70%PL 27%VI 3%EA G:100%PL
WIDTH:143CM
WEIGHT:420G/M2</t>
  </si>
  <si>
    <t>EBT160937</t>
  </si>
  <si>
    <t>EBT160938</t>
  </si>
  <si>
    <t>EBT160939</t>
  </si>
  <si>
    <t>EBT160940</t>
  </si>
  <si>
    <t>EBT160941</t>
  </si>
  <si>
    <t>ART.EBT160937
COMP:96%PL 4%EA
WIDTH:145CM
WEIGHT:220G/M2</t>
  </si>
  <si>
    <t>ART.EBT160938
COMP:98%PL 2%EA
WIDTH:155CM
WEIGHT:355G/M2</t>
  </si>
  <si>
    <t>ART.EBT160939
COMP:96%PL 4%EA
WIDTH:145CM
WEIGHT:275G/M2</t>
  </si>
  <si>
    <t>ART.EBT160940
COMP:96%PL 4%EA
WIDTH:150CM
WEIGHT:275G/M2</t>
  </si>
  <si>
    <t>ART.EBT160941
COMP:97%PL 3%EA
WIDTH:145CM
WEIGHT:330G/M2</t>
  </si>
  <si>
    <t>EBT141034-METALLIC</t>
  </si>
  <si>
    <t>ART.EBT141034-METALLIC
COMP:F:100%PL;G:100%PL
WIDTH:134CM
WEIGHT:230G/M2</t>
  </si>
  <si>
    <t>EBT250711-FOIL</t>
  </si>
  <si>
    <t>ART.EBT250711-FOIL
COMP:100%PL 
WIDTH:147CM
WEIGHT:220G/M2</t>
  </si>
  <si>
    <t>EBT160942</t>
  </si>
  <si>
    <t>EBT160943</t>
  </si>
  <si>
    <t>EBT160944</t>
  </si>
  <si>
    <t>EBT160945</t>
  </si>
  <si>
    <t>EBT160946</t>
  </si>
  <si>
    <t>ART.EBT160942
COMP:100%PL
WIDTH: 126CM
WEIGHT:</t>
  </si>
  <si>
    <t>ART.EBT160943
COMP:100%PL
WIDTH: 126CM
WEIGHT:</t>
  </si>
  <si>
    <t>ART.EBT160944
COMP:100%PL
WIDTH: 126CM
WEIGHT:</t>
  </si>
  <si>
    <t>ART.EBT160945
COMP:100%PL
WIDTH: 126CM
WEIGHT:</t>
  </si>
  <si>
    <t>ART.EBT160946
COMP:100%PL
WIDTH: 126CM
WEIGHT:</t>
  </si>
  <si>
    <t>EBT160947</t>
  </si>
  <si>
    <t>EBT160948</t>
  </si>
  <si>
    <t>EBT160949</t>
  </si>
  <si>
    <t>ART.EBT160947
COMP:100%PL
WIDTH:142CM
WEIGHT:116G/M2</t>
  </si>
  <si>
    <t>ART.EBT160948
COMP:F:100%PU G:100%VI
WIDTH:134cm
WEIGHT:330G/M2</t>
  </si>
  <si>
    <t>ART.EBT160949
COMP:F:100%PU G:5%LUREX 70%VI 15%PL 10%CO
WIDTH:130cm
WEIGHT:290G/M2</t>
    <phoneticPr fontId="51" type="noConversion"/>
  </si>
  <si>
    <t>EBT160950</t>
  </si>
  <si>
    <t>ART.EBT160950
COMP:61%MODAL 39%PL
WIDTH: 142CM
WEIGHT:225G/M2</t>
  </si>
  <si>
    <t>EBT160952</t>
  </si>
  <si>
    <t>EBT160951</t>
  </si>
  <si>
    <t>ART.EBT160951
COMP:F: 49.6%PA 25.5%CO 24.9%VI G: 95%PL 5%EA
WIDTH:128CM
WEIGHT:420G/M2</t>
  </si>
  <si>
    <t>ART.EBT160952
COMP:F: 95%PL 5%EA G: 95%PL 5%EA
WIDTH:142CM
WEIGHT:470G/M2</t>
  </si>
  <si>
    <t>ART.EBT160925-A
COMP:100%PL
WIDTH:137CM
WEIGHT:110G/M2</t>
    <phoneticPr fontId="51" type="noConversion"/>
  </si>
  <si>
    <t>EBT160925-A</t>
    <phoneticPr fontId="51" type="noConversion"/>
  </si>
  <si>
    <t>EBT160954</t>
  </si>
  <si>
    <t>EBT160955</t>
  </si>
  <si>
    <t>EBT160956</t>
  </si>
  <si>
    <t>EBT160957</t>
  </si>
  <si>
    <t>EBT160958</t>
  </si>
  <si>
    <t>EBT160959</t>
  </si>
  <si>
    <t>ART.EBT160954
COMP:100%TENCEL
WIDTH: 140CM
WEIGHT:200G/M2</t>
  </si>
  <si>
    <t>ART.EBT160955
COMP:100%TENCEL
WIDTH: 140CM
WEIGHT:204G/M2</t>
  </si>
  <si>
    <t>ART.EBT160956
COMP:100%TENCEL
WIDTH:140CM
WEIGHT:295G/M2</t>
  </si>
  <si>
    <t>ART.EBT160957
COMP:53%TENCEL 43%CO 4%EA
WIDTH: 140CM
WEIGHT:225G/M2</t>
  </si>
  <si>
    <t>ART.EBT160958
COMP:62%TENCEL 38%PL
WIDTH: 138CM
WEIGHT:225G/M2</t>
  </si>
  <si>
    <t>ART.EBT160959
COMP:100%TENCEL
WIDTH: 140CM
WEIGHT:190G/M3</t>
  </si>
  <si>
    <t>EBT260554</t>
  </si>
  <si>
    <t>EBT260555</t>
  </si>
  <si>
    <t>EBT260556</t>
  </si>
  <si>
    <t>EBT260557</t>
  </si>
  <si>
    <t>EBT260558</t>
  </si>
  <si>
    <t>EBT260559</t>
  </si>
  <si>
    <t>EBT260560</t>
  </si>
  <si>
    <t>EBT260561</t>
  </si>
  <si>
    <t>EBT260562</t>
  </si>
  <si>
    <t>EBT260563</t>
  </si>
  <si>
    <t>EBT260564</t>
  </si>
  <si>
    <t>EBT260565</t>
  </si>
  <si>
    <t>EBT260566</t>
  </si>
  <si>
    <t>EBT260567</t>
  </si>
  <si>
    <t>EBT260568</t>
  </si>
  <si>
    <t>ART.EBT260559
COMP:30%NY 70%CO
WIDTH:145CM
WEIGHT:</t>
  </si>
  <si>
    <t>EBT160960</t>
  </si>
  <si>
    <t>ART.EBT260554
COMP:93%PA 7%EA
WIDTH:155CM
WEIGHT:62G/M2</t>
  </si>
  <si>
    <t>ART.EBT260555
COMP:50%CO 30%PA 20%
WIDTH:145CM
WEIGHT:174G/M2</t>
  </si>
  <si>
    <t>ART.EBT260558
COMP:23%PL 48%AC 29%CO
WIDTH:142CM
WEIGHT:260G/M2</t>
  </si>
  <si>
    <t>ART.EBT260560
COMP:63%PL 35%VI 2%EA 
WIDTH:140CM
WEIGHT:262G/M2</t>
  </si>
  <si>
    <t>ART.EBT260561
COMP:63%PL 35%VI 2%EA 
WIDTH:140CM
WEIGHT:263G/M2</t>
  </si>
  <si>
    <t>ART.EBT260562
COMP:63%PL 35%VI 2%EA 
WIDTH:140CM
WEIGHT:270G/M2</t>
  </si>
  <si>
    <t>ART.EBT260563
COMP:63%PL 35%VI 2%EA 
WIDTH:140CM
WEIGHT:268G/M2</t>
  </si>
  <si>
    <t>ART.EBT260564
COMP:63%PL 35%VI 2%EA 
WIDTH:140CM
WEIGHT:273G/M2</t>
  </si>
  <si>
    <t>ART.EBT260565
COMP:63%PL 35%VI 2%EA 
WIDTH:140CM
WEIGHT:267G/M2</t>
  </si>
  <si>
    <t>ART.EBT260566
COMP:63%PL 35%VI 2%EA 
WIDTH:140CM
WEIGHT:266G/M2</t>
  </si>
  <si>
    <t>ART.EBT260567
COMP:63%PL 35%VI 2%EA 
WIDTH:140CM
WEIGHT:270G/M2</t>
  </si>
  <si>
    <t>ART.EBT260568
COMP:63%PL 35%VI 2%EA 
WIDTH:140CM
WEIGHT:265G/M2</t>
  </si>
  <si>
    <t xml:space="preserve">EBT160925-B </t>
  </si>
  <si>
    <t>ART.EBT160925-B 
COMP:100%PL
WIDTH:137CM
WEIGHT:110G/M2</t>
  </si>
  <si>
    <t>ART.EBT160960
COMP:100%PL
WIDTH:138CM 
WEIGHT:350G/M2</t>
  </si>
  <si>
    <t>EBT160953</t>
  </si>
  <si>
    <t>ART.EBT160953
COMP:100%PL
WIDTH:128CM
WEIGHT:</t>
  </si>
  <si>
    <t>EBT260276FG</t>
  </si>
  <si>
    <t>ART.EBT260276FG
COMP: 88%PL 12%EA WITH FOLIED
WIDTH:144CM
WEIGHT:394GSM</t>
  </si>
  <si>
    <t>EBT160961</t>
  </si>
  <si>
    <t>ART.EBT160961
COMP:F:100%PU G:100%PL
WIDTH:120CM
WEIGHT:</t>
    <phoneticPr fontId="51" type="noConversion"/>
  </si>
  <si>
    <t>EBT160932</t>
  </si>
  <si>
    <t>EBT160933</t>
  </si>
  <si>
    <t>ART.EBT160906
COMP:74%PL 24%VI 2%EA
WIDTH:126CM
WEIGHT:274G/M2</t>
    <phoneticPr fontId="51" type="noConversion"/>
  </si>
  <si>
    <t>EBT260569</t>
  </si>
  <si>
    <t>EBT260570</t>
  </si>
  <si>
    <t>EBT260571</t>
  </si>
  <si>
    <t>EBT260572</t>
  </si>
  <si>
    <t>EBT260573</t>
  </si>
  <si>
    <t>EBT260574</t>
  </si>
  <si>
    <t>EBT260575</t>
  </si>
  <si>
    <t>EBT260576</t>
  </si>
  <si>
    <t>EBT260577</t>
  </si>
  <si>
    <t>EBT260578</t>
  </si>
  <si>
    <t>EBT260579</t>
  </si>
  <si>
    <t>EBT260580</t>
  </si>
  <si>
    <t>EBT260581</t>
  </si>
  <si>
    <t>EBT260582</t>
  </si>
  <si>
    <t>EBT260583</t>
  </si>
  <si>
    <t>EBT260584</t>
  </si>
  <si>
    <t>EBT260585</t>
  </si>
  <si>
    <t>EBT260586</t>
  </si>
  <si>
    <t>EBT260587</t>
  </si>
  <si>
    <t>EBT260588</t>
  </si>
  <si>
    <t>ART.EBT260569
COMP:63%PL  35%VI 2%EA 
WIDTH:138CM
WEIGHT:258GSM</t>
  </si>
  <si>
    <t>ART.EBT260570
COMP:63%PL  35%VI 2%EA  
WIDTH:138CM
WEIGHT:258GSM</t>
  </si>
  <si>
    <t>ART.EBT260571
COMP:63%PL  35%VI 2%EA 
WIDTH:135CM
WEIGHT:280GSM</t>
  </si>
  <si>
    <t>ART.EBT260572
COMP:65%PL 33%VI 2%EA
WIDTH:145CM
WEIGHT:235GSM</t>
  </si>
  <si>
    <t>ART.EBT260573
COMP:　64%PL 34%VI 2%EA
WIDTH:　142cm
WEIGHT:239GSM</t>
  </si>
  <si>
    <t>ART.EBT260574
COMP:　64%PL 34%VI 2%EA
WIDTH:　142cm
WEIGHT:250GSM</t>
  </si>
  <si>
    <t>ART.EBT260575
COMP:64%PL 34%VI 2%EA
WIDTH:　142cm
WEIGHT:222GSM</t>
  </si>
  <si>
    <t>ART.EBT260576
COMP:64%PL 34%VI 2%EA
WIDTH:　142cm
WEIGHT:186GSM</t>
  </si>
  <si>
    <t>ART.EBT260577
COMP:　64%PL 34%VI 2%EA
WIDTH:　142cm
WEIGHT:243GSM</t>
  </si>
  <si>
    <t>ART.EBT260578
COMP:　64%PL 34%VI 2%EA
WIDTH:　142cm
WEIGHT:260GSM</t>
  </si>
  <si>
    <t>ART.EBT260579
COMP:　64%PL 34%VI 2%EA
WIDTH:　142cm
WEIGHT:250GSM</t>
  </si>
  <si>
    <t>ART.EBT260580
COMP:　64%PL 34%VI 2%EA
WIDTH:　142cm
WEIGHT:258GSM</t>
  </si>
  <si>
    <t>ART.EBT260581
COMP:　64%PL 34%VI 2%EA
WIDTH:　142cm
WEIGHT:254GSM</t>
  </si>
  <si>
    <t>ART.EBT260582
COMP:　64%PL 34%VI 2%EA
WIDTH:　142cm
WEIGHT:211GSM</t>
  </si>
  <si>
    <t>ART.EBT260583
COMP:　64%PL 34%VI 2%EA
WIDTH:　142cm
WEIGHT:250GSM</t>
  </si>
  <si>
    <t>ART.EBT260584
COMP:64%PL 34%VI 2%EA
WIDTH:142CM
WEIGHT:208GSM</t>
  </si>
  <si>
    <t>ART.EBT260585
COMP:64%PL 34%VI 2%EA
WIDTH:142CM
WEIGHT:208GSM</t>
  </si>
  <si>
    <t>ART.EBT260586
COMP:64%PL 34%VI 2%EA
WIDTH:142CM
WEIGHT:243GSM</t>
  </si>
  <si>
    <t>ART.EBT260587
COMP:　64%PL 34%VI 2%EA
WIDTH:　142cm
WEIGHT:233GSM</t>
  </si>
  <si>
    <t>ART.EBT260588
COMP:　64%PL 34%VI 2%EA
WIDTH:142CM
WEIGHT:250GSM</t>
  </si>
  <si>
    <t>EBT160963</t>
  </si>
  <si>
    <t>EBT160964</t>
  </si>
  <si>
    <t>EBT160962</t>
  </si>
  <si>
    <t>ART.EBT160962
COMP:F：100PU G:100%PL
WIDTH:122CM
WEIGHT:</t>
  </si>
  <si>
    <t>ART.EBT160963
COMP:F:100%PU G:100%PL
WIDTH:115CM
WEIGHT:</t>
  </si>
  <si>
    <t>ART.EBT160964
COMP:F:100%PU G:100%PL
WIDTH:125CM
WEIGHT:</t>
  </si>
  <si>
    <t>EBT160965</t>
  </si>
  <si>
    <t>EBT160966</t>
  </si>
  <si>
    <t>EBT160967</t>
  </si>
  <si>
    <t>EBT160968</t>
  </si>
  <si>
    <t>EBT160969</t>
  </si>
  <si>
    <t>EBT160970</t>
  </si>
  <si>
    <t>EBT160971</t>
  </si>
  <si>
    <t>EBT160972</t>
  </si>
  <si>
    <t>EBT160973</t>
  </si>
  <si>
    <t>EBT160974</t>
  </si>
  <si>
    <t>EBT160975</t>
  </si>
  <si>
    <t>EBT160976</t>
  </si>
  <si>
    <t>EBT160977</t>
  </si>
  <si>
    <t>EBT160978</t>
  </si>
  <si>
    <t>EBT160979</t>
  </si>
  <si>
    <t>EBT160980</t>
  </si>
  <si>
    <t>EBT160981</t>
  </si>
  <si>
    <t>EBT160982</t>
  </si>
  <si>
    <t>ART.EBT160965
COMP:F:100%PU G:100%VI
WIDTH:134CM
WEIGHT:270G/M2</t>
  </si>
  <si>
    <t>ART.EBT160966
COMP:F:100%PU G:100%PL
WIDTH:134CM
WEIGHT:145G/M2</t>
  </si>
  <si>
    <t>ART.EBT160967
COMP:F:100%PU G:100%PL
WIDTH:134CM
WEIGHT:300G/M2</t>
  </si>
  <si>
    <t>ART.EBT160968
COMP:F:100%PU G:100%PL
WIDTH:134CM
WEIGHT:285G/M2</t>
  </si>
  <si>
    <t>ART.EBT160969
COMP:F:100%PU G:100%VI
WIDTH:134CM
WEIGHT:295G/M2</t>
  </si>
  <si>
    <t>ART.EBT160970
COMP:F:100%PU G:100%PL
WIDTH:128CM
WEIGHT:295G/M2</t>
  </si>
  <si>
    <t>ART.EBT160971
COMP:F:100%PU G:100%VI
WIDTH:134CM
WEIGHT:345G/M2</t>
  </si>
  <si>
    <t>ART.EBT160972
COMP:F:100%PU G:100%VI
WIDTH:134CM
WEIGHT:315G/M2</t>
  </si>
  <si>
    <t>ART.EBT160973
COMP:F:100%PU G:100%VI
WIDTH:134CM
WEIGHT:315G/M2</t>
  </si>
  <si>
    <t>ART.EBT160974
COMP:F:100%PU G:100%VI
WIDTH:134CM
WEIGHT:365G/M2</t>
  </si>
  <si>
    <t>ART.EBT160975
COMP:F:100%PU G:100%VI
WIDTH:134CM
WEIGHT:325G/M2</t>
  </si>
  <si>
    <t>ART.EBT160976
COMP:F:100%PU G:100%VI
WIDTH:134CM
WEIGHT:355G/M2</t>
  </si>
  <si>
    <t>ART.EBT160977
COMP:F:100%PU G:100%PL
WIDTH:134CM
WEIGHT:290G/M2</t>
  </si>
  <si>
    <t>ART.EBT160978
COMP:F:100%PU G:100%VI
WIDTH:134CM
WEIGHT:375G/M2</t>
  </si>
  <si>
    <t>ART.EBT160979
COMP:F:100%PU G:100%PL
WIDTH:132CM
WEIGHT:200G/M2</t>
  </si>
  <si>
    <t>ART.EBT160980
COMP:F:100%PU G:100%PL
WIDTH:134CM
WEIGHT:360G/M2</t>
  </si>
  <si>
    <t>ART.EBT160981
COMP:F:100%PU G:100%VI
WIDTH:134CM
WEIGHT:280G/M2</t>
  </si>
  <si>
    <t>ART.EBT160982
COMP:F:100%PU G:90%PL 10%CO
WIDTH:134CM
WEIGHT:425G/M2</t>
  </si>
  <si>
    <t>EBT160983</t>
  </si>
  <si>
    <t>ART.EBT160983
COMP:G:100%PA EMB:100%PL
WIDTH:126CM
WEIGHT:</t>
  </si>
  <si>
    <t>EBT111547</t>
  </si>
  <si>
    <t>ART.EBT111547
COMP:95%PL 5%EA
WIDTH:142CM
WEIGHT:350G/M2</t>
  </si>
  <si>
    <t>EBT9725</t>
  </si>
  <si>
    <t>ART.EBT9725
COMP:51%PL      49%VI
WIDTH:142CM
WEIGHT:205G/M2　</t>
    <phoneticPr fontId="51" type="noConversion"/>
  </si>
  <si>
    <t>ART.EBT150449
COMP:F:100%PL
G:95%PL 5%EA
WIDTH:142CM
WEIGHT:380G/M2</t>
    <phoneticPr fontId="51" type="noConversion"/>
  </si>
  <si>
    <t>EBT160985</t>
  </si>
  <si>
    <t>EBT160986</t>
  </si>
  <si>
    <t>ART.EBT160985
COMP:F: 94%PL 6%ME G: 95%PL 5%EA
WIDTH: 130CM
WEIGHT:420G/M2</t>
  </si>
  <si>
    <t>ART.EBT160986
COMP:F: 51%PA 49%CO G: 95%PL 5%EA
WIDTH:130CM
WEIGHT:350G/M2</t>
  </si>
  <si>
    <t>EBT160321-FOIL</t>
  </si>
  <si>
    <t>ART.EBT160321-FOIL
COMP:100%CO
WIDTH:130CM
WEIGHT:112G/M2</t>
  </si>
  <si>
    <t>EBT160229-FOIL</t>
  </si>
  <si>
    <t>ART.EBT160229-FOIL
COMP:100%CO
WIDTH:130CM
WEIGHT:</t>
  </si>
  <si>
    <t>EBT160984</t>
  </si>
  <si>
    <t>EBT161002</t>
  </si>
  <si>
    <t>EBT161003</t>
  </si>
  <si>
    <t>EBT161005</t>
  </si>
  <si>
    <t>EBT161006</t>
  </si>
  <si>
    <t xml:space="preserve">EBT161001 </t>
  </si>
  <si>
    <t>ART.EBT160984
COMP:F:100%PL G:95%PL 5%EA
WIDTH:142CM
WEIGHT:435G/M2</t>
  </si>
  <si>
    <t>ART.EBT161001 
COMP:F:100%PU G:100%PL
WIDTH:126CM
WEIGHT:</t>
    <phoneticPr fontId="51" type="noConversion"/>
  </si>
  <si>
    <t>ART.EBT161002
COMP:90%PA 10%EA
WIDTH:140CM
WEIGHT:210G/M2</t>
    <phoneticPr fontId="51" type="noConversion"/>
  </si>
  <si>
    <t>ART.EBT161003
COMP:100%PL
WIDTH:150CM
WEIGHT:250G/M2</t>
    <phoneticPr fontId="51" type="noConversion"/>
  </si>
  <si>
    <t>ART.EBT161005
COMP:100%PL
WIDTH:140CM
WEIGHT:155/M2</t>
    <phoneticPr fontId="51" type="noConversion"/>
  </si>
  <si>
    <t>ART.EBT161006
COMP:F:100%PU G:90%PA 10%EA
WIDTH:140CM
WEIGHT:235/M2</t>
    <phoneticPr fontId="51" type="noConversion"/>
  </si>
  <si>
    <t>EBT161000</t>
  </si>
  <si>
    <t>EBT161001</t>
  </si>
  <si>
    <t>ART.EBT161000
COMP:100%PL
WIDTH:126CM
WEIGHT:</t>
  </si>
  <si>
    <t>ART.EBT161001
COMP:F:100%PU G:100%PL
WIDTH:126CM
WEIGHT:</t>
  </si>
  <si>
    <t>EBT160987</t>
  </si>
  <si>
    <t>EBT160988</t>
  </si>
  <si>
    <t>EBT160989</t>
  </si>
  <si>
    <t>EBT160990</t>
  </si>
  <si>
    <t>EBT160991</t>
  </si>
  <si>
    <t>EBT160995</t>
  </si>
  <si>
    <t>EBT160996</t>
  </si>
  <si>
    <t>EBT160997</t>
  </si>
  <si>
    <t>EBT160998</t>
  </si>
  <si>
    <t>EBT160999</t>
  </si>
  <si>
    <t>ART.EBT160987
COMP:100%PA
WIDTH:CW:128CM
WEIGHT:</t>
  </si>
  <si>
    <t>ART.EBT160988
COMP:100%PA
WIDTH:CW:128CM
WEIGHT:</t>
  </si>
  <si>
    <t>ART.EBT160989
COMP:100%PA
WIDTH:CW:128CM
WEIGHT:</t>
  </si>
  <si>
    <t>ART.EBT160990
COMP:100%PA
WIDTH:CW:128CM
WEIGHT:</t>
  </si>
  <si>
    <t>ART.EBT160991
COMP:100%PA
WIDTH:CW:128CM
WEIGHT:</t>
  </si>
  <si>
    <t>ART.EBT160995
COMP:100%PA
WIDTH:CW:128CM
WEIGHT:</t>
  </si>
  <si>
    <t>ART.EBT160996
COMP:100%PL
WIDTH:CW:128CM
WEIGHT:</t>
  </si>
  <si>
    <t>ART.EBT160997
COMP:100%PL
WIDTH:CW:128CM
WEIGHT:</t>
  </si>
  <si>
    <t>ART.EBT160998
COMP:100%PA
WIDTH:CW:128CM
WEIGHT:</t>
  </si>
  <si>
    <t>ART.EBT160999
COMP:95%PL 5%EA
WIDTH:CW:128CM
WEIGHT:</t>
  </si>
  <si>
    <t>EBT161004</t>
  </si>
  <si>
    <t>ART.EBT161004
COMP:F:100%PL G:95%PL 5%EA
WIDTH:CW:142CM
WEIGHT:357G/M2</t>
  </si>
  <si>
    <t>EBT81324</t>
  </si>
  <si>
    <t>ART.EBT81324
COMP:70%PL 27%VI 3%EA
WIDTH:145
WEIGHT:300G/M2</t>
  </si>
  <si>
    <t>EBT260589</t>
  </si>
  <si>
    <t>EBT260590</t>
  </si>
  <si>
    <t>EBT260591</t>
  </si>
  <si>
    <t>ART.EBT260589
COMP:30%WO 70%PL
WIDTH:145CM
WEIGHT:861G/M</t>
  </si>
  <si>
    <t>ART.EBT260590
COMP:30%WO 70%PL
WIDTH:145CM
WEIGHT:855G/M</t>
  </si>
  <si>
    <t>EBT130527</t>
  </si>
  <si>
    <t>ART.EBT130527
COMP:74%PL 25%CO 1%EA
WIDTH:134CM
WEIGHT:320G/M2</t>
  </si>
  <si>
    <t>EBT161009</t>
  </si>
  <si>
    <t>EBT161008</t>
  </si>
  <si>
    <t>ART.EBT161008
COMP:100%PL
WIDTH:115CM
WEIGHT:</t>
  </si>
  <si>
    <t>ART.EBT161009
COMP:F:100%PU G:100%PL 
WIDTH:140CM
WEIGHT:130G/M2</t>
  </si>
  <si>
    <t>EBT260592</t>
  </si>
  <si>
    <t>EBT260593</t>
  </si>
  <si>
    <t>EBT260594</t>
  </si>
  <si>
    <t>EBT260595</t>
  </si>
  <si>
    <t>EBT260596</t>
  </si>
  <si>
    <t>EBT260597</t>
  </si>
  <si>
    <t>EBT260598</t>
  </si>
  <si>
    <t>ART.EBT260594
COMP:22%VI 75%PL 3%EA
WIDTH:133CM
WEIGHT:380GSM</t>
  </si>
  <si>
    <t>ART.EBT260597
COMP:25%PL 75%VI
WIDTH:140CM
WEIGHT:</t>
  </si>
  <si>
    <t>ART.EBT260598
COMP:10%LUREX 25%NY 65%VI
WIDTH:140CM
WEIGHT:</t>
  </si>
  <si>
    <t>EBT161010</t>
  </si>
  <si>
    <t>ART.EBT161010
COMP:74%PL 24%ME 2%EA
WIDTH:145CM
WEIGHT:240G/M2</t>
  </si>
  <si>
    <t>EBT130749</t>
  </si>
  <si>
    <t>ART.EBT130749
COMP:30%WO 20%AC 50%PL
WIDTH:142CM
WEIGHT:300G/M2</t>
  </si>
  <si>
    <t>EBT161016</t>
  </si>
  <si>
    <t>ART.EBT161016
COMP:30%WO 5%PA 45%PL 10%PC 10%AF
WIDTH:142CM
WEIGHT:380G/M2</t>
  </si>
  <si>
    <t>EBT160316-SINGLE</t>
  </si>
  <si>
    <t>ART.EBT160316-SINGLE
COMP:95%PL 5%EA 
WIDTH:142CM
WEIGHT:</t>
  </si>
  <si>
    <t>EBT161017</t>
  </si>
  <si>
    <t>ART.EBT161017
COMP:G:100%PL 
WIDTH:118CM
WEIGHT:</t>
  </si>
  <si>
    <t>ART.EBT160933
COMP:F:100%PL G:95%PL 5%EA
WIDTH:132CM
WEIGHT:345G/M2</t>
    <phoneticPr fontId="51" type="noConversion"/>
  </si>
  <si>
    <t>EBT161018</t>
  </si>
  <si>
    <t>ART.EBT161018
COMP:F: 65%PL 33%VI 2%EA    G:95%VI 5%EA
WIDTH:134CM
WEIGHT:570G/M2</t>
  </si>
  <si>
    <t>EBT161019</t>
  </si>
  <si>
    <t>ART.EBT161019
COMP:F: 65%PL 33%VI 2%EA G:100%PL
WIDTH:134CM
WEIGHT:560G/M2</t>
  </si>
  <si>
    <t>EBT161020</t>
  </si>
  <si>
    <t>ART.EBT161020
COMP:100%PL
WIDTH:142cm
WEIGHT:207G/M2</t>
  </si>
  <si>
    <t>EBT161021</t>
  </si>
  <si>
    <t>EBT161022</t>
  </si>
  <si>
    <t>EBT161023</t>
  </si>
  <si>
    <t>EBT161024</t>
  </si>
  <si>
    <t>ART.EBT161021
COMP:100%PL
WIDTH:137CM
WEIGHT:105G/M2</t>
  </si>
  <si>
    <t>ART.EBT161022
COMP:55%PL 45%VI
WIDTH:142CM
WEIGHT:140G/M2</t>
  </si>
  <si>
    <t>ART.EBT161023
COMP:97.4%PL 2.6%EA
WIDTH:147CM
WEIGHT:168G/M2</t>
  </si>
  <si>
    <t>ART.EBT161024
COMP:92%PL 8%EA
WIDTH:147CM
WEIGHT:310G/M2</t>
  </si>
  <si>
    <t>ART.EBT161025
COMP:72%PL 26%VI 2%EA
WIDTH:158CM
WEIGHT:170G/M2</t>
  </si>
  <si>
    <t>EBT161026</t>
  </si>
  <si>
    <t>EBT161027</t>
  </si>
  <si>
    <t>EBT161028</t>
  </si>
  <si>
    <t>EBT161029</t>
  </si>
  <si>
    <t>EBT161030</t>
  </si>
  <si>
    <t>EBT161031</t>
  </si>
  <si>
    <t>EBT161032</t>
  </si>
  <si>
    <t>EBT161033</t>
  </si>
  <si>
    <t>EBT161034</t>
  </si>
  <si>
    <t>EBT161035</t>
  </si>
  <si>
    <t>EBT161036</t>
  </si>
  <si>
    <t>EBT161037</t>
  </si>
  <si>
    <t>EBT161038</t>
  </si>
  <si>
    <t>ART.EBT161026
COMP:73%PL 19%VI 3%EA
WIDTH:140CM
WEIGHT:205G/M2</t>
  </si>
  <si>
    <t>ART.EBT161027
COMP:39%PA 57%VI 4%EA
WIDTH:135CM
WEIGHT:339G/M2</t>
  </si>
  <si>
    <t>ART.EBT161028
COMP:94%PL 6%EA
WIDTH:142CM
WEIGHT:242G/M2</t>
  </si>
  <si>
    <t>ART.EBT161029
COMP:100%PL
WIDTH:142CM
WEIGHT:95G/M2</t>
  </si>
  <si>
    <t>ART.EBT161030
COMP:100%RECYCLE 
WIDTH:145CM
WEIGHT:121G/M2</t>
  </si>
  <si>
    <t>ART.EBT161031
COMP:VISCOSE 52% RAYON 48%
WIDTH:142CM
WEIGHT:150G/M2</t>
  </si>
  <si>
    <t>ART.EBT161032
COMP:VI 74% PA 24% PL 2%
WIDTH:142CM
WEIGHT:150G/M2</t>
  </si>
  <si>
    <t>ART.EBT161033
COMP:VI 72% PA 23% PL 2% EA 3%
WIDTH:142CM
WEIGHT:160G/M2</t>
  </si>
  <si>
    <t>ART.EBT161034
COMP:VI 55% PA 42% EA 3%
WIDTH:142CM
WEIGHT:250G/M2</t>
  </si>
  <si>
    <t>ART.EBT161035
COMP:VI 73% PA 22% EA 2% PL3%
WIDTH:135CM
WEIGHT:160G/M2</t>
  </si>
  <si>
    <t>ART.EBT161036
COMP:VI 73% PA 24% EA 3%
WIDTH:135CM
WEIGHT:160G/M2</t>
  </si>
  <si>
    <t>ART.EBT161037
COMP:95% PL 5%EA
WIDTH:142CM
WEIGHT:158G/M2</t>
  </si>
  <si>
    <t>ART.EBT161038
COMP:90% PL 10%EA
WIDTH:112CM
WEIGHT:109G/M2</t>
  </si>
  <si>
    <t>EBT161039</t>
  </si>
  <si>
    <t>EBT161040</t>
  </si>
  <si>
    <t>EBT161041</t>
  </si>
  <si>
    <t>EBT161042</t>
  </si>
  <si>
    <t>ART.EBT161039
COMP:F: 95%PL 5%EA G:95%PL 5%EA
WIDTH:142CM
WEIGHT:467G/M2</t>
  </si>
  <si>
    <t>ART.EBT161040
COMP:F:100%PL  G:95%PL 5%EA
WIDTH:142CM
WEIGHT:415G/M2</t>
  </si>
  <si>
    <t>ART.EBT161041
COMP:F:100%PL  G:95%PL 5%EA
WIDTH:142CM
WEIGHT:440G/M2</t>
  </si>
  <si>
    <t>ART.EBT161042
COMP:F:100%PL  G:95%PL 5%EA
WIDTH:142CM
WEIGHT:423G/M2</t>
  </si>
  <si>
    <t>EBT161043</t>
  </si>
  <si>
    <t>EBT161044</t>
  </si>
  <si>
    <t>ART.EBT161043
COMP:93%PL 7%EA
WIDTH:142CM
WEIGHT:240G/M2</t>
  </si>
  <si>
    <t>ART.EBT161044
COMP:93%PL 7%EA
WIDTH:142CM
WEIGHT:280G/M2</t>
  </si>
  <si>
    <t>EBT161045</t>
  </si>
  <si>
    <t>ART.EBT161045
COMP:63%PL 33%VI 4%EA
WIDTH:125CM
WEIGHT:</t>
  </si>
  <si>
    <t>EBT161047</t>
  </si>
  <si>
    <t>EBT161048</t>
  </si>
  <si>
    <t>ART.EBT161047
COMP:60%CO 40%PL
WIDTH:144CM
WEIGHT:170G/M2</t>
  </si>
  <si>
    <t>ART.EBT161048
COMP:100%PL
WIDTH:144CM
WEIGHT:130G/M2</t>
  </si>
  <si>
    <t>EBT161046</t>
  </si>
  <si>
    <t>ART.EBT161046
COMP:F:100%PU G:65%PL 35%CO
WIDTH:134CM
WEIGHT:365G/M2</t>
  </si>
  <si>
    <t>EBT260603</t>
  </si>
  <si>
    <t>EBT260604</t>
  </si>
  <si>
    <t>ART.EBT260603
COMP:100%CO 
WIDTH:140cm
WEIGHT:220GSM</t>
  </si>
  <si>
    <t>ART.EBT260604
COMP:97%CO   3%EA
WIDTH:110CM
WEIGHT:320GSM</t>
  </si>
  <si>
    <t>EBT161049</t>
  </si>
  <si>
    <t>ART.EBT161049
COMP:F:80%PL 19%VI 1%EA                   G:100%PL
WIDTH:145CM
WEIGHT:530G/M2</t>
  </si>
  <si>
    <t>M</t>
  </si>
  <si>
    <t>EBT130749-A</t>
  </si>
  <si>
    <t>ART.EBT130749-A
COMP:30%WO 20%AC 50%PL
WIDTH:57/58"
WEIGHT:620-630G/M</t>
  </si>
  <si>
    <t>EBT130749-B</t>
  </si>
  <si>
    <t>ART.EBT130749-B
COMP:30%WO 20%AC 50%PL
WIDTH:57/58"
WEIGHT:620-630G/M</t>
  </si>
  <si>
    <t>EBT130749-C</t>
  </si>
  <si>
    <t>ART.EBT130749-C
COMP:30%WO 20%AC 50%PL
WIDTH:57/58"
WEIGHT:620-630G/M</t>
  </si>
  <si>
    <t>EBT161050</t>
  </si>
  <si>
    <t>EBT161051</t>
  </si>
  <si>
    <t>EBT161052</t>
  </si>
  <si>
    <t>EBT161054</t>
  </si>
  <si>
    <t>EBT161055</t>
  </si>
  <si>
    <t>EBT161056</t>
  </si>
  <si>
    <t>EBT161057</t>
  </si>
  <si>
    <t>ART.EBT161050
COMP:50%CO40%PA10%VI
WIDTH:142CM
WEIGHT:160G/M2</t>
  </si>
  <si>
    <t>ART.EBT161051
COMP:100%PL
WIDTH:148CM
WEIGHT:150G/M2</t>
  </si>
  <si>
    <t>ART.EBT161052
COMP:44%VI 36%CO 20%PL
WIDTH:140CM
WEIGHT:350G/M2</t>
  </si>
  <si>
    <t>ART.EBT161054
COMP:100%CO
WIDTH:140CM
WEIGHT:225G/M2</t>
  </si>
  <si>
    <t>ART.EBT161055
COMP:100%PL
WIDTH:130CM
WEIGHT:210G/M2</t>
  </si>
  <si>
    <t>ART.EBT161056
COMP:100%PL
WIDTH:130CM
WEIGHT:190G/M2</t>
  </si>
  <si>
    <t>ART.EBT161057
COMP:100%PL
WIDTH:144CM
WEIGHT:250G/M2</t>
  </si>
  <si>
    <t>EBT161025 D#1266</t>
  </si>
  <si>
    <t>EBT161025 D#1267</t>
  </si>
  <si>
    <t>EBT161025 D#1268</t>
  </si>
  <si>
    <t>EBT161025 D#1265</t>
  </si>
  <si>
    <t>ART.EBT161025 D#1265
COMP:72%PL 26%VI 2%EA
WIDTH:150CM
WEIGHT:170G/M2</t>
  </si>
  <si>
    <t>ART.EBT161025 D#1266
COMP:72%PL 26%VI 2%EA
WIDTH:150CM
WEIGHT:170G/M2</t>
  </si>
  <si>
    <t>ART.EBT161025 D#1267
COMP:72%PL 26%VI 2%EA
WIDTH:150CM
WEIGHT:170G/M2</t>
  </si>
  <si>
    <t>ART.EBT161025 D#1268
COMP:72%PL 26%VI 2%EA
WIDTH:150CM
WEIGHT:170G/M2</t>
  </si>
  <si>
    <t>EBT161025 D#1270</t>
  </si>
  <si>
    <t>ART.EBT161025 D#1270
COMP:72%PL 26%VI 2%EA
WIDTH:150CM
WEIGHT:170G/M2</t>
  </si>
  <si>
    <t>EBT161025 D#1273</t>
  </si>
  <si>
    <t>ART.EBT161025 D#1273
COMP:72%PL 26%VI 2%EA
WIDTH:150CM
WEIGHT:170G/M2</t>
  </si>
  <si>
    <t>EBT161076</t>
  </si>
  <si>
    <t>EBT161077</t>
  </si>
  <si>
    <t>EBT161078</t>
  </si>
  <si>
    <t>EBT161079</t>
  </si>
  <si>
    <t>EBT161080</t>
  </si>
  <si>
    <t>EBT161081</t>
  </si>
  <si>
    <t>EBT161082</t>
  </si>
  <si>
    <t>EBT161083</t>
  </si>
  <si>
    <t>EBT161084</t>
  </si>
  <si>
    <t>EBT161085</t>
  </si>
  <si>
    <t>EBT161086</t>
  </si>
  <si>
    <t>EBT161087</t>
  </si>
  <si>
    <t>EBT161088</t>
  </si>
  <si>
    <t>EBT161089</t>
  </si>
  <si>
    <t>EBT161090</t>
  </si>
  <si>
    <t>EBT161091</t>
  </si>
  <si>
    <t>EBT161092</t>
  </si>
  <si>
    <t>EBT161093</t>
  </si>
  <si>
    <t>EBT161094</t>
  </si>
  <si>
    <t>EBT161095</t>
  </si>
  <si>
    <t>EBT161096</t>
  </si>
  <si>
    <t>ART.EBT161076
COMP:64%CO31%PA5%EA
WIDTH:56/57"
WEIGHT:186GSM</t>
  </si>
  <si>
    <t xml:space="preserve">ART.EBT161077
COMP:100%CO
WIDTH:57/58"
WEIGHT:112GSM </t>
  </si>
  <si>
    <t>ART.EBT161079
COMP:96%CO4%EA
WIDTH:50/51"
WEIGHT:254GSM</t>
  </si>
  <si>
    <t>ART.EBT161080
COMP:97%CO3%EA
WIDTH:57/58"
WEIGHT:193GSM</t>
  </si>
  <si>
    <t xml:space="preserve">ART.EBT161081
COMP:98%CO2%EA
WIDTH:57/58"
WEIGHT:180GSM </t>
  </si>
  <si>
    <t>ART.EBT161082
COMP:59%CO36%PL5%EA
WIDTH:57/58"
WEIGHT:200GSM</t>
  </si>
  <si>
    <t>ART.EBT161083
COMP:70%CO27%PA3%EA
WIDTH:57/58"
WEIGHT:95GSM</t>
  </si>
  <si>
    <t xml:space="preserve">ART.EBT161084
COMP:98%CO2%EA
WIDTH:57/58"
WEIGHT:115GSM </t>
  </si>
  <si>
    <t xml:space="preserve">ART.EBT161085
COMP:100%CO
WIDTH:57/58"
WEIGHT:115GSM </t>
  </si>
  <si>
    <t xml:space="preserve">ART.EBT161086
COMP:97%CO3%EA
WIDTH:57/58"
WEIGHT:210GSM </t>
  </si>
  <si>
    <t>ART.EBT161087
COMP:97%CO3%EA
WIDTH:57/58"
WEIGHT:160GSM</t>
  </si>
  <si>
    <t>ART.EBT161088
COMP:72%CO25%PA3%EA
WIDTH:57/58"
WEIGHT:95GSM</t>
  </si>
  <si>
    <t>ART.EBT161089
COMP:61%CO34%PA5%EA
WIDTH:54/55"
WEIGHT:131GSM</t>
  </si>
  <si>
    <t>ART.EBT161090
COMP:65%CO31%PA4%EA
WIDTH:58/59"
WEIGHT:95GSM</t>
  </si>
  <si>
    <t xml:space="preserve">ART.EBT161091
COMP:50%CO46%PA4%EA
WIDTH:56/57"
WEIGHT:200GSM </t>
  </si>
  <si>
    <t>ART.EBT161092
COMP:71%CO26%PA3%EA
WIDTH:57/58"
WEIGHT:112GSM</t>
  </si>
  <si>
    <t>ART.EBT161093
COMP:68%CO29%PA3%EA
WIDTH:48/50"
WEIGHT:105GSM</t>
  </si>
  <si>
    <t>ART.EBT161094
COMP:100%CO
WIDTH:57/58"
WEIGHT:100GSM</t>
  </si>
  <si>
    <t xml:space="preserve">ART.EBT161095
COMP:100%CO
WIDTH:57/58"
WEIGHT:135GSM </t>
  </si>
  <si>
    <t>ART.EBT161096
COMP:100%CO
WIDTH:57/58"
WEIGHT:112GSM</t>
  </si>
  <si>
    <t>EBT161058</t>
  </si>
  <si>
    <t>EBT161059</t>
  </si>
  <si>
    <t>ART.EBT161058
COMP:73%VI27%PA
WIDTH:52"
WEIGHT:145GSM</t>
  </si>
  <si>
    <t>ART.EBT161059
COMP:73%VI27%PA
WIDTH:52"
WEIGHT:180GSM</t>
  </si>
  <si>
    <t>EBT161064</t>
  </si>
  <si>
    <t>EBT161065</t>
  </si>
  <si>
    <t>EBT161066</t>
  </si>
  <si>
    <t>EBT161067</t>
  </si>
  <si>
    <t>EBT161068</t>
  </si>
  <si>
    <t>EBT161069</t>
  </si>
  <si>
    <t>EBT161070</t>
  </si>
  <si>
    <t>EBT161071</t>
  </si>
  <si>
    <t>EBT161072</t>
  </si>
  <si>
    <t>EBT161073</t>
  </si>
  <si>
    <t>EBT161074</t>
  </si>
  <si>
    <t>EBT161075</t>
  </si>
  <si>
    <t>ART.EBT161064
COMP:100%PL
WIDTH:57/58''
WEIGHT:100GSM</t>
  </si>
  <si>
    <t>ART.EBT161065
COMP:100%PL
WIDTH:57/58"
WEIGHT:105GSM</t>
  </si>
  <si>
    <t>ART.EBT161067
COMP:100%PA
WIDTH:300CM
WEIGHT:</t>
  </si>
  <si>
    <t>ART.EBT161068
COMP:100%PA
WIDTH:300CM
WEIGHT:</t>
  </si>
  <si>
    <t>ART.EBT161070
COMP:100%CO
WIDTH:55"
WEIGHT:225GSM</t>
  </si>
  <si>
    <t xml:space="preserve">ART.EBT161071
COMP:100%CO
WIDTH:54"
WEIGHT:135GSM </t>
  </si>
  <si>
    <t>ART.EBT161072
COMP:54%CO44%VI2%EA
WIDTH:52"
WEIGHT:275GSM</t>
  </si>
  <si>
    <t>ART.EBT161073
COMP:98%CO2%EA
WIDTH:55"
WEIGHT:305GSM</t>
  </si>
  <si>
    <t>ART.EBT161074
COMP:98%CO2%EA
WIDTH:55“
WEIGHT:230GSM</t>
  </si>
  <si>
    <t xml:space="preserve">ART.EBT161075
COMP:65%CO35%VI
WIDTH:54“
WEIGHT:235GSM </t>
  </si>
  <si>
    <t>EBT161060</t>
  </si>
  <si>
    <t>EBT161061</t>
  </si>
  <si>
    <t>EBT161062</t>
  </si>
  <si>
    <t>EBT161063</t>
  </si>
  <si>
    <t>EBT161097</t>
  </si>
  <si>
    <t>EBT161098</t>
  </si>
  <si>
    <t>ART.EBT161097
COMP:92%PL 8%EA
WIDTH:144CM
WEIGHT:250G/M2</t>
  </si>
  <si>
    <t>ART.EBT161098
COMP:92%PL 8%EA
WIDTH:144CM
WEIGHT:250G/M2</t>
  </si>
  <si>
    <t>EBT161099</t>
  </si>
  <si>
    <t>ART.EBT161099
COMP:95%PL 5%EA
WIDTH:144CM
WEIGHT:245G/M2</t>
  </si>
  <si>
    <t>EBT161012</t>
  </si>
  <si>
    <t>EBT161013</t>
  </si>
  <si>
    <t>EBT161014</t>
  </si>
  <si>
    <t>EBT161100</t>
  </si>
  <si>
    <t>EBT161101</t>
  </si>
  <si>
    <t>ART.EBT161012
COMP:95%VI 5%EA
WIDTH:126CM
WEIGHT:G:203G/M2</t>
  </si>
  <si>
    <t>ART.EBT161013
COMP:95%VI 5%EA
WIDTH:126CM
WEIGHT:G:203G/M2</t>
  </si>
  <si>
    <t>ART.EBT161014
COMP:100%PL
WIDTH:126CM
WEIGHT:</t>
  </si>
  <si>
    <t>ART.EBT161100
COMP:92%PL 8%EA
WIDTH:142CM
WEIGHT:250G/M2</t>
  </si>
  <si>
    <t>ART.EBT161101
COMP:92%PL 8%EA
WIDTH:142CM
WEIGHT:250G/M2</t>
  </si>
  <si>
    <t>ART.EBT161060
COMP:100%PL
WIDTH:140CM
WEIGHT:305G/M2</t>
    <phoneticPr fontId="51" type="noConversion"/>
  </si>
  <si>
    <t>ART.EBT161061
COMP:100%PL
WIDTH:145CM
WEIGHT:330GSM</t>
    <phoneticPr fontId="51" type="noConversion"/>
  </si>
  <si>
    <t>ART.EBT161062
COMP:85%PL15%ME
WIDTH:145CM
WEIGHT:215G/M2</t>
    <phoneticPr fontId="51" type="noConversion"/>
  </si>
  <si>
    <t>ART.EBT161063
COMP:8%PA18%PL74%VI
WIDTH:145CM
WEIGHT:325G/M2</t>
    <phoneticPr fontId="51" type="noConversion"/>
  </si>
  <si>
    <t>EBT161102</t>
  </si>
  <si>
    <t>EBT101096-SL</t>
  </si>
  <si>
    <t>ART.EBT101096-SL
COMP:100% MEMORY PL
WIDTH:60"
WEIGHT:119GSM</t>
  </si>
  <si>
    <t>EBT110525-SQ</t>
    <phoneticPr fontId="51" type="noConversion"/>
  </si>
  <si>
    <t>EBT161104</t>
  </si>
  <si>
    <t>ART.EBT161104
COMP:F:79%PL 18%VI 3%EA, G:95%PL 5%EA
WIDTH:140CM
WEIGHT:490G/M2</t>
    <phoneticPr fontId="51" type="noConversion"/>
  </si>
  <si>
    <t>EBT160252</t>
  </si>
  <si>
    <t>ART.EBT160252
COMP:100%PL
WIDTH:127CM
WEIGHT:</t>
  </si>
  <si>
    <t>EBT161103</t>
  </si>
  <si>
    <t>EBT161106</t>
  </si>
  <si>
    <t>EBT161107</t>
  </si>
  <si>
    <t>EBT161108</t>
  </si>
  <si>
    <t>EBT161109</t>
  </si>
  <si>
    <t>EBT161110</t>
  </si>
  <si>
    <t>EBT161111</t>
  </si>
  <si>
    <t>EBT161105</t>
  </si>
  <si>
    <t>ART.EBT161105
COMP:92%PL8%PA
WIDTH:57"
WEIGHT:196GSM</t>
  </si>
  <si>
    <t>ART.EBT161107
COMP:46%PL28%RECYCLE PL24%VI2%EA
WIDTH:56"
WEIGHT:253GSM</t>
  </si>
  <si>
    <t>ART.EBT161108
COMP:61%PL36%CO3%EA
WIDTH:55"
WEIGHT:187GSM</t>
  </si>
  <si>
    <t>ART.EBT161109
COMP:46%CO37%PL17%ME
WIDTH:56"
WEIGHT:151GSM</t>
  </si>
  <si>
    <t>ART.EBT161111
COMP:83%PL11%VI6%EA
WIDTH:165CM
WEIGHT:270GSM</t>
  </si>
  <si>
    <t>EBT260599</t>
  </si>
  <si>
    <t>EBT260600</t>
  </si>
  <si>
    <t>EBT260601</t>
  </si>
  <si>
    <t>EBT260602</t>
  </si>
  <si>
    <t>EBT260605</t>
  </si>
  <si>
    <t>EBT260606</t>
  </si>
  <si>
    <t>EBT260607</t>
  </si>
  <si>
    <t>EBT260608</t>
  </si>
  <si>
    <t>EBT260609</t>
  </si>
  <si>
    <t>EBT260610</t>
  </si>
  <si>
    <t>EBT260611</t>
  </si>
  <si>
    <t>EBT260612</t>
  </si>
  <si>
    <t>EBT260613</t>
  </si>
  <si>
    <t>EBT260614</t>
  </si>
  <si>
    <t>ART.EBT260599
COMP:30%WO 70%PL
WIDTH:143CM
WEIGHT:350GSM</t>
  </si>
  <si>
    <t>ART.EBT260602
COMP:97%PL 3%EA
WIDTH:145CM
WEIGHT:245GSM</t>
  </si>
  <si>
    <t>ART.EBT260604
COMP:97%CO   3%EA 
WIDTH:110CM
WEIGHT:320GSM</t>
  </si>
  <si>
    <t>ART.EBT260605
COMP:25%PA 65%VI 10%LUREX
WIDTH:140CM
WEIGHT:115GSM</t>
  </si>
  <si>
    <t>ART.EBT260606
COMP:10%LUREX 25%PA 65%VI
WIDTH:140CM
WEIGHT:97GSM</t>
  </si>
  <si>
    <t>ART.EBT260607
COMP:96%PL 4%EA
WIDTH:CW149CM
WEIGHT:240GSM</t>
  </si>
  <si>
    <t>ART.EBT260609
COMP:100%PL
WIDTH:142CM
WEIGHT:68GSM</t>
  </si>
  <si>
    <t>ART.EBT260610
COMP:100%PL
WIDTH:142CM
WEIGHT:139GSM</t>
  </si>
  <si>
    <t>ART.EBT260611
COMP:100%PL
WIDTH:142CM
WEIGHT:145GSM</t>
  </si>
  <si>
    <t>ART.EBT260612
COMP:100%PL
WIDTH:
WEIGHT:60GSM</t>
  </si>
  <si>
    <t>ART.EBT260613
COMP:100%PL
WIDTH:147CM
WEIGHT:84GSM</t>
  </si>
  <si>
    <t>ART.EBT260614
COMP:100%PL
WIDTH:142CM
WEIGHT:100GSM</t>
  </si>
  <si>
    <t>ART.EBT161103
COMP:75%PL12%VI10%ME3%EA
WIDTH:160CM
WEIGHT:300GSM</t>
    <phoneticPr fontId="51" type="noConversion"/>
  </si>
  <si>
    <t>ART.EBT161102
COMP:90%PL6%ME4%EA
WIDTH:155CM
WEIGHT:255GSM</t>
    <phoneticPr fontId="51" type="noConversion"/>
  </si>
  <si>
    <t>EBT161053</t>
  </si>
  <si>
    <t>EBT161112</t>
  </si>
  <si>
    <t>EBT161113</t>
  </si>
  <si>
    <t>EBT161114</t>
  </si>
  <si>
    <t>EBT161115</t>
  </si>
  <si>
    <t>EBT161116</t>
  </si>
  <si>
    <t>ART.EBT161050
COMP:30%WO60%PC10%PL
WIDTH:145CM
WEIGHT:333GSM</t>
  </si>
  <si>
    <t>ART.EBT161053
COMP:45%WO25%PL22%PC5%PA3%ME
WIDTH:145CM
WEIGHT:345GSM</t>
  </si>
  <si>
    <t>ART.EBT161112
COMP:27%WO27%PC28%PL10%PA8%ME
WIDTH:145CM
WEIGHT:325GSM</t>
  </si>
  <si>
    <t>ART.EBT161113
COMP:15%WO70%PC5%PA10%ME
WIDTH:145CM
WEIGHT:300GSM</t>
  </si>
  <si>
    <t>ART.EBT161114
COMP:30%WO20%PC50%PL
WIDTH:145CM
WEIGHT:320GSM</t>
  </si>
  <si>
    <t>ART.EBT161115
COMP:40%WO10%PL30%PC9%PA10%VI1%ME
WIDTH:145CM
WEIGHT:370GSM</t>
  </si>
  <si>
    <t>ART.EBT161116
COMP:27%WO22%PC14%PA34%PL3%ME
WIDTH:145CM
WEIGHT:360GSM</t>
  </si>
  <si>
    <t>ART.EBT150882FOIL-2
COMP:100%CO
WIDTH:128CM
WEIGHT:150G/M2</t>
    <phoneticPr fontId="51" type="noConversion"/>
  </si>
  <si>
    <t>ART.EBT150369FOIL-1
COMP:100%CO
WIDTH:128CM
WEIGHT:</t>
    <phoneticPr fontId="51" type="noConversion"/>
  </si>
  <si>
    <t>ART.EBT150369FOIL-1
COMP:100%C
WIDTH:128CM
WEIGHT:</t>
    <phoneticPr fontId="51" type="noConversion"/>
  </si>
  <si>
    <t>EBT161117</t>
  </si>
  <si>
    <t>EBT161118</t>
  </si>
  <si>
    <t>EBT161119</t>
  </si>
  <si>
    <t>ART.EBT161117
COMP:73%PL8%EA19%ME
WIDTH:155CM
WEIGHT:215GSM</t>
  </si>
  <si>
    <t>ART.EBT161118
COMP:73%PL8%EA19%ME
WIDTH:155CM
WEIGHT:215GSM</t>
  </si>
  <si>
    <t>ART.EBT161119
COMP:73%PL8%EA19%ME
WIDTH:155CM
WEIGHT:215GSM</t>
  </si>
  <si>
    <t>ART.EBT161106
COMP:54%CO42%VI4%EA
WIDTH:55"
WEIGHT:227GSM</t>
    <phoneticPr fontId="51" type="noConversion"/>
  </si>
  <si>
    <t>EBT161011</t>
  </si>
  <si>
    <t>EBT161015</t>
  </si>
  <si>
    <t>EBT161007</t>
  </si>
  <si>
    <t>ART.EBT161007
COMP:F:100%PA;G:100%PL
WIDTH:148cm
WEIGHT:</t>
  </si>
  <si>
    <t>ART.EBT161011
COMP:100%PL
WIDTH:125CM
WEIGHT:</t>
  </si>
  <si>
    <t>ART.EBT161015
COMP:100%PL
WIDTH:128CM
WEIGHT:</t>
  </si>
  <si>
    <t>EBT161120</t>
  </si>
  <si>
    <t>EBT161121</t>
  </si>
  <si>
    <t>EBT161122</t>
  </si>
  <si>
    <t>EBT161123</t>
  </si>
  <si>
    <t>EBT161124</t>
  </si>
  <si>
    <t>EBT161125</t>
  </si>
  <si>
    <t>ART.EBT161120
COMP:97%VI 3%EA
WIDTH:125CM
WEIGHT:</t>
  </si>
  <si>
    <t>ART.EBT161121
COMP:100%PL
WIDTH:125CM
WEIGHT:</t>
  </si>
  <si>
    <t>ART.EBT161122
COMP:100%PA
WIDTH:130CM
WEIGHT:</t>
  </si>
  <si>
    <t>ART.EBT161123
COMP:100%PL
WIDTH:120MC
WEIGHT:</t>
  </si>
  <si>
    <t>ART.EBT161124
COMP:100%PL
WIDTH:127CM
WEIGHT:</t>
  </si>
  <si>
    <t>ART.EBT161125
COMP:100%PL
WIDTH:127CM
WEIGHT:</t>
  </si>
  <si>
    <t>EBT161126</t>
  </si>
  <si>
    <t>EBT161127</t>
  </si>
  <si>
    <t>EBT161128</t>
  </si>
  <si>
    <t>ART.EBT161126
COMP:96%PL 4%EA
WIDTH:144CM
WEIGHT:225G/M2</t>
  </si>
  <si>
    <t>ART.EBT161127
COMP:100%PL
WIDTH:144CM
WEIGHT:185G/M2</t>
  </si>
  <si>
    <t>ART.EBT161128
COMP:96%PL 4%EA
WIDTH:144CM
WEIGHT:259G/M2</t>
  </si>
  <si>
    <t>EBT161131</t>
  </si>
  <si>
    <t>ART.EBT161131
COMP:66%PL 29%VI 5%EA
WIDTH:140CM
WEIGHT:240G/M2</t>
  </si>
  <si>
    <t>EBT161132</t>
  </si>
  <si>
    <t>ART.EBT161132
COMP:100%PL
WIDTH:128CM
WEIGHT:</t>
  </si>
  <si>
    <t>ART.EBT110525-SQ
COMP:40%WO 60%PL
WIDTH:50"
WEIGHT:520GSM</t>
    <phoneticPr fontId="51" type="noConversion"/>
  </si>
  <si>
    <t>ART.EBT250740
COMP:84%PL 7%PC 3%WOOL 6%OTHER FIBER BUCKLE
WIDTH:143CM
WEIGHT:620G/M(+/-20G/M)</t>
    <phoneticPr fontId="51" type="noConversion"/>
  </si>
  <si>
    <t>EBT161133</t>
  </si>
  <si>
    <t>EBT161134</t>
  </si>
  <si>
    <t>EBT161135</t>
  </si>
  <si>
    <t>EBT161136</t>
  </si>
  <si>
    <t>EBT161137</t>
  </si>
  <si>
    <t>EBT161138</t>
  </si>
  <si>
    <t>ART.EBT161133
COMP:96%VI 4%EA
WIDTH:105CM
WEIGHT:140G/M2</t>
  </si>
  <si>
    <t>ART.EBT161134
COMP:16%WO 33%PC 38%PL 12%VI 1%ME
WIDTH:145CM
WEIGHT:320G/M2</t>
  </si>
  <si>
    <t>ART.EBT161135
COMP:35%WO 10%CO 20%PC 15%ME 10%PA 10%PL
WIDTH:145CM
WEIGHT:385G/M2</t>
  </si>
  <si>
    <t>ART.EBT161136
COMP:50%PL 22%PC 23%PA 5%ME
WIDTH:145CM
WEIGHT:266G/M2</t>
  </si>
  <si>
    <t>ART.EBT161137
COMP:35%WO 10%PL 35%PC 11%VI 5%PA 4%ME
WIDTH:145CM
WEIGHT:345G/M2</t>
  </si>
  <si>
    <t>ART.EBT161138
COMP:28%WO 35%PC 35%PL 1%PA 1%ME
WIDTH:145CM
WEIGHT:320G/M2</t>
  </si>
  <si>
    <t>ART.EBT160596-LM
COMP:97%PL 3%EA
WIDTH:CW:143CM
WEIGHT:420-440GSM</t>
  </si>
  <si>
    <t xml:space="preserve">EBT160596-LM
</t>
    <phoneticPr fontId="51" type="noConversion"/>
  </si>
  <si>
    <t>EBT160596-LM</t>
  </si>
  <si>
    <t>ART.EBT160596-LM
COMP:97%PL 3%EA
WIDTH:CW:143CM
WEIGHT:420-440G/M2</t>
  </si>
  <si>
    <t>EBT161139</t>
  </si>
  <si>
    <t>EBT161140</t>
  </si>
  <si>
    <t>EBT161141</t>
  </si>
  <si>
    <t>EBT161142</t>
  </si>
  <si>
    <t>EBT161143</t>
  </si>
  <si>
    <t>EBT161144</t>
  </si>
  <si>
    <t>EBT161145</t>
  </si>
  <si>
    <t>EBT161146</t>
  </si>
  <si>
    <t>EBT161147</t>
  </si>
  <si>
    <t>ART.EBT161139
COMP:F:100%PL;G:95%PL5%EA
WIDTH:126CM
WEIGHT:380GSM</t>
  </si>
  <si>
    <t>ART.EBT161140
COMP:F:100%PL;G:95%PL5%EA
WIDTH:140CM
WEIGHT:370GSM</t>
  </si>
  <si>
    <t>ART.EBT161141
COMP:F:97%PL3%EA;G:95%PL5%EA
WIDTH:142CM
WEIGHT:400GSM</t>
  </si>
  <si>
    <t>ART.EBT161142
COMP:F:100%PL;G:95%PL5%EA
WIDTH:142CM
WEIGHT:410GSM</t>
  </si>
  <si>
    <t>ART.EBT161143
COMP:F:97%PL3%EA;G:95%PL5%EA
WIDTH:142CM
WEIGHT:400GSM</t>
  </si>
  <si>
    <t>ART.EBT161144
COMP:F:97%PL3%EA;G:95%PL5%EA
WIDTH:142CM
WEIGHT:400GSM</t>
  </si>
  <si>
    <t>ART.EBT161145
COMP:F:100%PL;G:95%PL5%EA
WIDTH:142CM
WEIGHT:440GSM</t>
  </si>
  <si>
    <t>ART.EBT161146
COMP:F:97%PL3%EA;G:95%PL5%EA
WIDTH:142CM
WEIGHT:385GSM</t>
  </si>
  <si>
    <t>ART.EBT161147
COMP:F:97%PL3%EA;G:95%PL5%EA
WIDTH:142CM
WEIGHT:440GSM</t>
  </si>
  <si>
    <t>EBT161150</t>
  </si>
  <si>
    <t>EBT161151</t>
  </si>
  <si>
    <t>EBT161152</t>
  </si>
  <si>
    <t>EBT161153</t>
  </si>
  <si>
    <t>ART.EBT161150
COMP:F:92%PL 8%EA ; G:100%PL
WIDTH:144CM
WEIGHT:425GSM</t>
  </si>
  <si>
    <t>ART.EBT161151
COMP:F:100%PL ; G:100%PL
WIDTH:132CM
WEIGHT:355GSM</t>
  </si>
  <si>
    <t>ART.EBT161152
COMP:F:100%PL ; G:100%PL
WIDTH:142CM
WEIGHT:402GSM</t>
  </si>
  <si>
    <t xml:space="preserve">ART.EBT161153
COMP:F:100%PL ; G:100%PL
WIDTH:144CM
WEIGHT:490GSM </t>
  </si>
  <si>
    <t>ART.EBT150369FOIL-1
COMP:100%C
WIDTH:130CM
WEIGHT:</t>
  </si>
  <si>
    <t>EBT110732</t>
  </si>
  <si>
    <t>EBT161148</t>
  </si>
  <si>
    <t>EBT161149</t>
  </si>
  <si>
    <t>ART.EBT110732
COMP:99%PL1%EA
WIDTH:CW:54/55",FW:56/57"
WEIGHT:270G/M2</t>
  </si>
  <si>
    <t>ART.EBT161148
COMP:F:92%PL 8%EA；G:94VI6%EA
WIDTH:55"
WEIGHT:400GSM</t>
  </si>
  <si>
    <t xml:space="preserve">ART.EBT161149
COMP:F:92%PL 8%EA；G:95%PL5%EA
WIDTH:55"
WEIGHT:500GSM </t>
  </si>
  <si>
    <t>ART.EBT160740
COMP:100%PA
WIDTH:130CM
WEIGHT:210G/M</t>
    <phoneticPr fontId="51" type="noConversion"/>
  </si>
  <si>
    <t>EBT130913-HM</t>
  </si>
  <si>
    <t>ART.EBT130913-HM
COMP:100%PL
WIDTH:145CM
WEIGHT:208GSM</t>
  </si>
  <si>
    <t>EBT260654</t>
  </si>
  <si>
    <t>EBT260654W</t>
  </si>
  <si>
    <t>EBT260655</t>
  </si>
  <si>
    <t>EBT260656</t>
  </si>
  <si>
    <t>EBT260657</t>
  </si>
  <si>
    <t>EBT260658</t>
  </si>
  <si>
    <t>EBT260659</t>
  </si>
  <si>
    <t>EBT260660</t>
  </si>
  <si>
    <t>EBT260661</t>
  </si>
  <si>
    <t>EBT260662</t>
  </si>
  <si>
    <t>EBT260663</t>
  </si>
  <si>
    <t>EBT260664</t>
  </si>
  <si>
    <t>EBT260665</t>
  </si>
  <si>
    <t>EBT260666</t>
  </si>
  <si>
    <t>EBT260667</t>
  </si>
  <si>
    <t>EBT260668</t>
  </si>
  <si>
    <t>EBT260669</t>
  </si>
  <si>
    <t>EBT260670</t>
  </si>
  <si>
    <t>EBT260671</t>
  </si>
  <si>
    <t>EBT260672</t>
  </si>
  <si>
    <t>EBT260673</t>
  </si>
  <si>
    <t>EBT260674</t>
  </si>
  <si>
    <t>EBT260675</t>
  </si>
  <si>
    <t>EBT260676</t>
  </si>
  <si>
    <t>EBT260677</t>
  </si>
  <si>
    <t>EBT260678</t>
  </si>
  <si>
    <t>EBT260679</t>
  </si>
  <si>
    <t>EBT260680</t>
  </si>
  <si>
    <t>EBT260681</t>
  </si>
  <si>
    <t>EBT260682</t>
  </si>
  <si>
    <t>EBT260683</t>
  </si>
  <si>
    <t>EBT260684</t>
  </si>
  <si>
    <t>ART.EBT260654
COMP:55%LI 42%VI 3%EA
WIDTH:110CM
WEIGHT:250GSM</t>
  </si>
  <si>
    <t>ART.EBT260654W
COMP:55%LI 42%VI 3%EA
WIDTH:110CM
WEIGHT:250GSM</t>
  </si>
  <si>
    <t>ART.EBT260655
COMP:53%LI 44%VI 3%EA
WIDTH:127CM
WEIGHT:230GSM</t>
  </si>
  <si>
    <t>ART.EBT260656
COMP:55%LI 43%CO 2%EA
WIDTH:45/46"
WEIGHT:170GSM</t>
  </si>
  <si>
    <t>ART.EBT260657
COMP:100%PL
WIDTH:148CM
WEIGHT:208GSM</t>
  </si>
  <si>
    <t>ART.EBT260658
COMP:100%PL 
WIDTH:150CM
WEIGHT:700G/M(+/-20G/M)</t>
  </si>
  <si>
    <t>ART.EBT260659
COMP:100%VI
WIDTH:142CM
WEIGHT:150GSM</t>
  </si>
  <si>
    <t>ART.EBT260660
COMP:100%VI
WIDTH:145CM
WEIGHT:150GSM</t>
  </si>
  <si>
    <t>ART.EBT260662
COMP:90%PL 5%AC 5%OT
WIDTH:145cm
WEIGHT:680G/M(+/-20G/M)</t>
  </si>
  <si>
    <t>ART.EBT260663
COMP:100%CO
WIDTH:140CM
WEIGHT:126GSM</t>
  </si>
  <si>
    <t>ART.EBT260664
COMP:100%CO
WIDTH:145CM
WEIGHT:106GSM</t>
  </si>
  <si>
    <t>ART.EBT260665
COMP:100%CO
WIDTH:138CM
WEIGHT:99GSM</t>
  </si>
  <si>
    <t>ART.EBT260666
COMP:100%CO
WIDTH:142CM
WEIGHT:106GSM</t>
  </si>
  <si>
    <t>ART.EBT260667
COMP:100% OTHER FIBER
WIDTH:145CM
WEIGHT:660GML(+/-20gml)</t>
  </si>
  <si>
    <t>ART.EBT260668
COMP:100%CO
WIDTH:137CM
WEIGHT:134GSM</t>
  </si>
  <si>
    <t>ART.EBT260669
COMP:100%CO
WIDTH:137CM
WEIGHT:138GSM</t>
  </si>
  <si>
    <t>ART.EBT260670
COMP:100%CO
WIDTH:137CM
WEIGHT:134GSM</t>
  </si>
  <si>
    <t>ART.EBT260671
COMP:100%CO
WIDTH:137CM
WEIGHT:120GSM</t>
  </si>
  <si>
    <t>ART.EBT260672
COMP:100%CO
WIDTH:147CM
WEIGHT:99GSM</t>
  </si>
  <si>
    <t>ART.EBT260673
COMP:100%CO
WIDTH:145CM
WEIGHT:112GSM</t>
  </si>
  <si>
    <t>ART.EBT260674
COMP:100%CO
WIDTH:145CM
WEIGHT:146GSM</t>
  </si>
  <si>
    <t>ART.EBT260675
COMP:100%CO
WIDTH:145CM
WEIGHT:113GSM</t>
  </si>
  <si>
    <t>ART.EBT260676
COMP:100%CO
WIDTH:143CM
WEIGHT:111GSM</t>
  </si>
  <si>
    <t>ART.EBT260677
COMP:100%CO
WIDTH:140CM
WEIGHT:113GSM</t>
  </si>
  <si>
    <t>ART.EBT260678
COMP:100%CO
WIDTH:142CM
WEIGHT:116GSM</t>
  </si>
  <si>
    <t>ART.EBT260679
COMP:64%PL 34%VI 2%EA 
WIDTH:142CM
WEIGHT:280GSM</t>
  </si>
  <si>
    <t>ART.EBT260680
COMP:100%CO 
WIDTH:142CM
WEIGHT:104G/M2</t>
  </si>
  <si>
    <t>ART.EBT260681
COMP:100%CO 
WIDTH:147CM
WEIGHT:125GSM</t>
  </si>
  <si>
    <t>ART.EBT260682
COMP:100%CO 
WIDTH:146CM
WEIGHT:101GSM</t>
  </si>
  <si>
    <t>ART.EBT260683
COMP:97%CO 3%EA
WIDTH:142CM
WEIGHT:107GSM</t>
  </si>
  <si>
    <t>ART.EBT260684
COMP:67%CO 30%PA 1%LUREX 2%EA
WIDTH:122CM
WEIGHT:113GSM</t>
  </si>
  <si>
    <t>EBT161154</t>
  </si>
  <si>
    <t>ART.EBT161154
COMP:F:92%PL 8%EA；G:94VI6%EA
WIDTH:132CM
WEIGHT:440GSM</t>
  </si>
  <si>
    <t>ART.EBT161154
COMP:F:92%PL 8%EA G:94VI6%EA
WIDTH:132CM
WEIGHT:440G/M2</t>
  </si>
  <si>
    <t>EBT260643</t>
  </si>
  <si>
    <t>EBT260644</t>
  </si>
  <si>
    <t>EBT260626</t>
  </si>
  <si>
    <t>ART.EBT140170
COMP:100%POLY
WIDTH:57/58"
WEIGHT:237G/M2</t>
  </si>
  <si>
    <t>EBT260630</t>
  </si>
  <si>
    <t>ART.EBT260630
COMP:100%VI
WIDTH:139CM
WEIGHT:208GSM</t>
  </si>
  <si>
    <t>ART.EBT150882FOIL-2
COMP:100%CO
WIDTH:CW: 128CM
WEIGHT:</t>
  </si>
  <si>
    <t>ART.EBT160229-FOIL
COMP:100%CO
WIDTH:CW: 130CM
WEIGHT:</t>
  </si>
  <si>
    <t>EBT161155</t>
  </si>
  <si>
    <t>EBT161156</t>
  </si>
  <si>
    <t>EBT161157</t>
  </si>
  <si>
    <t>EBT161158</t>
  </si>
  <si>
    <t>EBT161159</t>
  </si>
  <si>
    <t>EBT161160</t>
  </si>
  <si>
    <t>EBT161161</t>
  </si>
  <si>
    <t>EBT161162</t>
  </si>
  <si>
    <t>EBT161163</t>
  </si>
  <si>
    <t>ART.EBT161156
COMP:100%PA
WIDTH:148CM
WEIGHT:</t>
  </si>
  <si>
    <t>ART.EBT161157
COMP:100%PA
WIDTH:148CM
WEIGHT:</t>
  </si>
  <si>
    <t>ART.EBT161158
COMP:100%PL
WIDTH:148CM
WEIGHT:</t>
  </si>
  <si>
    <t>ART.EBT161159
COMP:100%PA
WIDTH:148CM
WEIGHT:</t>
  </si>
  <si>
    <t>ART.EBT161160
COMP:100%PA
WIDTH:148CM
WEIGHT:</t>
  </si>
  <si>
    <t>ART.EBT161161
COMP:100%PA
WIDTH:148CM
WEIGHT:</t>
  </si>
  <si>
    <t>ART.EBT161162
COMP:F:100%PL;G:100%PL
WIDTH:128CM
WEIGHT:</t>
  </si>
  <si>
    <t>ART.EBT161163
COMP:100%PL
WIDTH:128CM
WEIGHT:</t>
  </si>
  <si>
    <t>ART.EBT141034
COMP:F:100%PU G:100%PL
WIDTH:134CM
WEIGHT:230G/M2</t>
    <phoneticPr fontId="51" type="noConversion"/>
  </si>
  <si>
    <t>EBT260620</t>
  </si>
  <si>
    <t>EBT260632</t>
  </si>
  <si>
    <t>EBT260618</t>
  </si>
  <si>
    <t>ART.EBT260620
COMP:97%CO 3%EA 
WIDTH:122CM
WEIGHT:175GSM</t>
  </si>
  <si>
    <t>ART.EBT260632
COMP:100%RAYON
WIDTH:132CM
WEIGHT:180G/M2</t>
  </si>
  <si>
    <t>ART.EBT260618
COMP:97%CO 3%EA  
WIDTH:122CM
WEIGHT:124GSM</t>
  </si>
  <si>
    <t>ART.EBT161078
COMP:70%TENCEL 30%PL
WIDTH:140CM
WEIGHT:200G/M2</t>
    <phoneticPr fontId="51" type="noConversion"/>
  </si>
  <si>
    <t>EBT161164</t>
  </si>
  <si>
    <t>EBT161165</t>
  </si>
  <si>
    <t>EBT161166</t>
  </si>
  <si>
    <t>EBT161167</t>
  </si>
  <si>
    <t>EBT161168</t>
  </si>
  <si>
    <t>ART.EBT161164
COMP:70%TENCEL 30%LI
WIDTH:136CM
WEIGHT:170G/M2</t>
  </si>
  <si>
    <t>ART.EBT161165
COMP:64%TENCEL 33%MODAL 3%EA
WIDTH:140CM
WEIGHT:190G/M2</t>
  </si>
  <si>
    <t>ART.EBT161166
COMP:55%TENCEL 42%PL 3%EA
WIDTH:139CM
WEIGHT:170G/M2</t>
  </si>
  <si>
    <t>ART.EBT161167
COMP:54%TENCEL 43%PL 3%EA
WIDTH:140CM
WEIGHT:225G/M2</t>
  </si>
  <si>
    <t>ART.EBT161168
COMP:55%TENCEL 45%VI
WIDTH:132CM
WEIGHT:174G/M2</t>
  </si>
  <si>
    <t>EBT130343</t>
  </si>
  <si>
    <t>EBT130773</t>
  </si>
  <si>
    <t>ART.EBT140503-HX
COMP:93%PL 7%EA
WIDTH:CW:145CM 
WEIGHT:245GSM</t>
  </si>
  <si>
    <t xml:space="preserve">ART.EBT151268-GT
COMP:62%pPL, 36%VI, 2%EA
WIDTH:CW：140cm
WEIGHT:255G/M2 </t>
  </si>
  <si>
    <t>ART.EBT160907
COMP:57%PL 25%CO 16%MET 2%EA
WIDTH:CW:126CM
WEIGHT:270G/M2</t>
  </si>
  <si>
    <t>ART.EBT130865-GA
COMP:FACE:92%PA 8%EA, GROUND:95%PL 5%EA
WIDTH:138CM
WEIGHT:420g/m2</t>
  </si>
  <si>
    <t>ART.EBT130773
COMP:FACE:60%RAYON40%NYLON +GROUND:85%POLY17%SPANDEX
WIDTH:140CM
WEIGHT:160G/M2</t>
  </si>
  <si>
    <t>ART.EBT130343
COMP:17%NY77%R6%PL
WIDTH:145CM
WEIGHT:95G/M2</t>
  </si>
  <si>
    <t>ART.EBT161069
COMP:98%CO 2% EA
WIDTH:55"
WEIGHT:225GSM</t>
    <phoneticPr fontId="51" type="noConversion"/>
  </si>
  <si>
    <t>EBT161171</t>
  </si>
  <si>
    <t>ART.EBT160932
COMP:100%PL
WIDTH:160CM
WEIGHT:</t>
  </si>
  <si>
    <t>ART.EBT140616
COMP:100%VI
WIDTH:122CM
WEIGHT:184/M2</t>
    <phoneticPr fontId="51" type="noConversion"/>
  </si>
  <si>
    <t>EBT260634</t>
  </si>
  <si>
    <t>ART.EBT260634
COMP:100%CO
WIDTH:130CM
WEIGHT:</t>
  </si>
  <si>
    <t>EBT260685</t>
  </si>
  <si>
    <t>EBT260686</t>
  </si>
  <si>
    <t>EBT260687</t>
  </si>
  <si>
    <t>EBT260688</t>
  </si>
  <si>
    <t>EBT260689</t>
  </si>
  <si>
    <t>EBT260690</t>
  </si>
  <si>
    <t>EBT260691</t>
  </si>
  <si>
    <t>EBT260692E</t>
  </si>
  <si>
    <t>EBT260692H</t>
  </si>
  <si>
    <t>EBT260692L</t>
  </si>
  <si>
    <t>EBT260692G</t>
  </si>
  <si>
    <t>EBT260692/DES#1</t>
  </si>
  <si>
    <t>EBT260692/DES#2</t>
  </si>
  <si>
    <t>EBT260692/DES#3</t>
  </si>
  <si>
    <t>EBT260693</t>
  </si>
  <si>
    <t>EBT260694</t>
  </si>
  <si>
    <t>EBT260695</t>
  </si>
  <si>
    <t>EBT260696</t>
  </si>
  <si>
    <t>EBT260697</t>
  </si>
  <si>
    <t>EBT260698</t>
  </si>
  <si>
    <t>EBT260699</t>
  </si>
  <si>
    <t>EBT260700</t>
  </si>
  <si>
    <t>EBT260701</t>
  </si>
  <si>
    <t>EBT260702</t>
  </si>
  <si>
    <t>EBT260703</t>
  </si>
  <si>
    <t>EBT260704</t>
  </si>
  <si>
    <t>EBT260705</t>
  </si>
  <si>
    <t>EBT260706</t>
  </si>
  <si>
    <t>EBT260707</t>
  </si>
  <si>
    <t>EBT260708</t>
  </si>
  <si>
    <t>EBT260709</t>
  </si>
  <si>
    <t>EBT260710</t>
  </si>
  <si>
    <t>EBT260711</t>
  </si>
  <si>
    <t>EBT260712</t>
  </si>
  <si>
    <t>EBT260713</t>
  </si>
  <si>
    <t>ART.EBT260688
COMP:100%PL
WIDTH:142CM
WEIGHT:366GSM</t>
  </si>
  <si>
    <t>ART.EBT260689
COMP:30%AC 70%PL
WIDTH:142CM
WEIGHT:380GSM</t>
  </si>
  <si>
    <t>ART.EBT260690
COMP:100%PL 
WIDTH:142CM
WEIGHT:388GSM</t>
  </si>
  <si>
    <t>ART.EBT260691
COMP:100%PL
WIDTH:145CM
WEIGHT:308GSM</t>
  </si>
  <si>
    <t>ART.EBT260692E
COMP:97%CO 3%EL 
WIDTH:142CM
WEIGHT:208GSM</t>
  </si>
  <si>
    <t>ART.EBT260692H
COMP:97%CO 3%EL 
WIDTH:142CM
WEIGHT:210GSM</t>
  </si>
  <si>
    <t>ART.EBT260692L
COMP:97%CO 3%EL 
WIDTH:142CM
WEIGHT:204GSM</t>
  </si>
  <si>
    <t>ART.EBT260692G
COMP:97%CO 3%EL 
WIDTH:142CM
WEIGHT:220GSM</t>
  </si>
  <si>
    <t>ART.EBT260692/DES#1
COMP:97%CO 3%EL 
WIDTH:142CM
WEIGHT:212GSM </t>
  </si>
  <si>
    <t>ART.EBT260692/DES#2
COMP:97%CO 3%EL 
WIDTH:142CM
WEIGHT:211GSM</t>
  </si>
  <si>
    <t>ART.EBT260692/DES#3
COMP:97%CO 3%EL 
WIDTH:142CM
WEIGHT:216GSM</t>
  </si>
  <si>
    <t>ART.EBT260693
COMP:5%wool  95% OT 
WIDTH: 145cm
WEIGHT:344GSM</t>
  </si>
  <si>
    <t>ART.EBT260694
COMP:90%AC 10%WO
WIDTH:142CM
WEIGHT:160GSM</t>
  </si>
  <si>
    <t>ART.EBT260695
COMP:90%AC 10%WO
WIDTH:142CM
WEIGHT:157GSM</t>
  </si>
  <si>
    <t>ART.EBT260696
COMP:64%PL 34%VI 2%EA
WIDTH:142CM
WEIGHT:230GSM</t>
  </si>
  <si>
    <t>ART.EBT260697
COMP:65%PL  35%VI
WIDTH:142CM
WEIGHT:195GSM</t>
  </si>
  <si>
    <t>ART.EBT260698
COMP:65%PL  35%VI
WIDTH:140CM
WEIGHT:257GSM</t>
  </si>
  <si>
    <t>ART.EBT260699
COMP:65%PL  35%VI
WIDTH:142CM
WEIGHT:190GSM</t>
  </si>
  <si>
    <t>ART.EBT260700
COMP:65%PL 35%VI 
WIDTH:142CM
WEIGHT:190GSM</t>
  </si>
  <si>
    <t>ART.EBT260701
COMP:78%PL  22%VI
WIDTH:142CM
WEIGHT:260GSM</t>
  </si>
  <si>
    <t>ART.EBT260702
COMP:85%PL 15%VI
WIDTH:142CM
WEIGHT:231GSM</t>
  </si>
  <si>
    <t>ART.EBT260703
COMP:65%PL 35%VI 
WIDTH:142CM
WEIGHT:196GSM</t>
  </si>
  <si>
    <t>ART.EBT260704
COMP:65%PL  35%VI
WIDTH:142CM
WEIGHT:188GSM</t>
  </si>
  <si>
    <t>ART.EBT260705
COMP:98%CO 2%PU
WIDTH:134CM
WEIGHT:249GSM</t>
  </si>
  <si>
    <t>ART.EBT260706
COMP:98%CO 2%PU
WIDTH:134CM
WEIGHT:249GSM</t>
  </si>
  <si>
    <t>ART.EBT260707
COMP:20%WO 80%OT
WIDTH:
WEIGHT:(500G/M)</t>
  </si>
  <si>
    <t>ART.EBT260708
COMP:35%WO 55%PL 10%OT
WIDTH:
WEIGHT:660G/M</t>
  </si>
  <si>
    <t>ART.EBT260709
COMP:40%WO 60%OT
WIDTH:
WEIGHT:660G/M</t>
  </si>
  <si>
    <t>ART.EBT260710
COMP:10%WO 90%OT
WIDTH:
WEIGHT:610G/M</t>
  </si>
  <si>
    <t>ART.EBT260711
COMP:10%WO 90%PL
WIDTH:
WEIGHT:600G/ML</t>
  </si>
  <si>
    <t>ART.EBT260712
COMP:100%PL
WIDTH:142CM
WEIGHT:500G/M(+/-20G/M)</t>
  </si>
  <si>
    <t>ART.EBT260713
COMP:100%OT
WIDTH:142CM
WEIGHT:490G/M(+/-20G/M)</t>
  </si>
  <si>
    <t>EBT161173</t>
  </si>
  <si>
    <t>EBT161172</t>
  </si>
  <si>
    <t>ART.EBT161172
COMP:68%PL 30%VI  2%EA
WIDTH:135CM
WEIGHT:450G/M2</t>
  </si>
  <si>
    <t>ART.EBT161173
COMP:65%PL 33%VI 2%EA
WIDTH:134CM
WEIGHT:395G/M2</t>
  </si>
  <si>
    <t>EBT161177</t>
  </si>
  <si>
    <t>ART.EBT161177
COMP:97%PA 3%EA
WIDTH:147CM
WEIGHT:250G/M2</t>
  </si>
  <si>
    <t>EBT161175</t>
  </si>
  <si>
    <t>EBT161176</t>
  </si>
  <si>
    <t>ART.EBT161175
COMP:F:100%PL;G:100%PA
WIDTH:128CM
WEIGHT:</t>
  </si>
  <si>
    <t>ART.EBT161176
COMP:100%PL
WIDTH:145CM
WEIGHT:</t>
  </si>
  <si>
    <t>ART.EBT140660
COMP:38%PL 61%CO 1%EA
WIDTH:54"
WEIGHT:260G/M2</t>
    <phoneticPr fontId="51" type="noConversion"/>
  </si>
  <si>
    <t>ART.EBT160829
COMP:100%PL
WIDTH:140CM
WEIGHT:262G/M2</t>
    <phoneticPr fontId="51" type="noConversion"/>
  </si>
  <si>
    <t>EBT161179</t>
  </si>
  <si>
    <t>EBT161180</t>
  </si>
  <si>
    <t>ART.EBT161179
COMP:97%PL 3%EA
WIDTH:144CM
WEIGHT:365G/M2</t>
  </si>
  <si>
    <t>ART.EBT161180
COMP:98%PL 2%EA
WIDTH:144CM
WEIGHT:320G/M2</t>
  </si>
  <si>
    <t>EBT161178</t>
  </si>
  <si>
    <t>ART.EBT161178
COMP:92%PL 8%EA
WIDTH:140CM
WEIGHT:330G/M2</t>
  </si>
  <si>
    <t>EBT161181</t>
  </si>
  <si>
    <t>ART.EBT161181
COMP:99%PL 1%EA
WIDTH:144CM
WEIGHT:120G/M2</t>
  </si>
  <si>
    <t>ART.EBT140482
COMP:40%WO 60%CF
WIDTH:150CM
WEIGHT:370GSM</t>
    <phoneticPr fontId="51" type="noConversion"/>
  </si>
  <si>
    <t>EBT260714</t>
  </si>
  <si>
    <t>EBT260715</t>
  </si>
  <si>
    <t>EBT260716</t>
  </si>
  <si>
    <t>EBT260717</t>
  </si>
  <si>
    <t>EBT260718</t>
  </si>
  <si>
    <t>EBT260719</t>
  </si>
  <si>
    <t>EBT260720</t>
  </si>
  <si>
    <t>EBT260721</t>
  </si>
  <si>
    <t>ART.EBT260714
COMP:100%CO
WIDTH:142CM
WEIGHT:130GSM</t>
  </si>
  <si>
    <t>ART.EBT260715
COMP:100%PL
WIDTH:134CM
WEIGHT:160GSM</t>
  </si>
  <si>
    <t>ART.EBT260716
COMP:55%LI 45%CO
WIDTH:145CM
WEIGHT:180GSM</t>
  </si>
  <si>
    <t>ART.EBT260718
COMP:97%CO 3%EA
WIDTH:121CM
WEIGHT:123GSM</t>
  </si>
  <si>
    <t>ART.EBT260719
COMP:CO/EA
WIDTH:112CM
WEIGHT:280GSM</t>
  </si>
  <si>
    <t>ART.EBT260720
COMP:65%VI 21%SE 14%LUREX
WIDTH:133CM
WEIGHT:</t>
  </si>
  <si>
    <t>ART.EBT260721
COMP:65%VI 21%SE 14%LUREX
WIDTH:133CM
WEIGHT:</t>
  </si>
  <si>
    <t>EBT161192</t>
  </si>
  <si>
    <t>EBT161193</t>
  </si>
  <si>
    <t>ART.EBT161192
COMP:F:100%PL G:95%PL5%EA
WIDTH:130CM
WEIGHT:356G/M2</t>
  </si>
  <si>
    <t>ART.EBT161193
COMP:F:100%PL G:95%PL5%EA
WIDTH:144CM
WEIGHT:306G/M2</t>
  </si>
  <si>
    <t>EBT161185</t>
  </si>
  <si>
    <t>EBT161186</t>
  </si>
  <si>
    <t>EBT161187</t>
  </si>
  <si>
    <t>EBT161188</t>
  </si>
  <si>
    <t>EBT161189</t>
  </si>
  <si>
    <t>EBT161190</t>
  </si>
  <si>
    <t>EBT161191</t>
  </si>
  <si>
    <t>ART.EBT161185
COMP:100%PL
WIDTH:144CM
WEIGHT:216G/M2</t>
  </si>
  <si>
    <t>ART.EBT161186
COMP:100%PL
WIDTH:144CM
WEIGHT:216G/M2</t>
  </si>
  <si>
    <t>ART.EBT161187
COMP:100%PL
WIDTH:144CM
WEIGHT:216G/M2</t>
  </si>
  <si>
    <t>ART.EBT161188
COMP:100%PL
WIDTH:144CM
WEIGHT:216G/M2</t>
  </si>
  <si>
    <t>ART.EBT161190
COMP:F:88%PL 8%VI 4%EA G:95%PL 5%EA
WIDTH:138CM
WEIGHT:647G/M2</t>
  </si>
  <si>
    <t>ART.EBT161191
COMP:F:71%PL 27%VI 2%EA G:95%PL 5%EA
WIDTH:135CM
WEIGHT:728G/M2</t>
  </si>
  <si>
    <t>EBT161182</t>
  </si>
  <si>
    <t>EBT161183</t>
  </si>
  <si>
    <t>EBT161184</t>
  </si>
  <si>
    <t>ART.EBT161182
COMP:70%VI 30%PA
WIDTH:150CM
WEIGHT:270GM2</t>
  </si>
  <si>
    <t>ART.EBT161183
COMP:68%VI 32%PA
WIDTH:146CM
WEIGHT:285G/M2</t>
  </si>
  <si>
    <t>ART.EBT161184
COMP:74%VI 26%PA 
WIDTH:150CM
WEIGHT:320G/M2</t>
  </si>
  <si>
    <t>EBT161194</t>
  </si>
  <si>
    <t>ART.EBT161194
COMP:F: 99%PL 1%EA, G: 95%PL 5%EA
WIDTH:140CM
WEIGHT:355G/M2</t>
  </si>
  <si>
    <t>EBT161195</t>
  </si>
  <si>
    <t>ART.EBT161195
COMP:100%PL
WIDTH:143CM
WEIGHT:190G/M2</t>
  </si>
  <si>
    <t>EBT260723</t>
  </si>
  <si>
    <t>ART.EBT260723
COMP:F:62%PL35%VI3%EA;G:63%PL33%VI4%PU
WIDTH:165CM
WEIGHT:410GSM</t>
  </si>
  <si>
    <t>ART.EBT130637
COMP:96%PL 4%EA
WIDTH:120CM
WEIGHT:555G/M2</t>
    <phoneticPr fontId="51" type="noConversion"/>
  </si>
  <si>
    <t>EBT130886-FJ</t>
  </si>
  <si>
    <t>ART.EBT130886-FJ
COMP:GROUND:100%NYLON 
WIDTH:CW:132CM
WEIGHT:</t>
  </si>
  <si>
    <t>ART.EBT161171
COMP:F:100%PU;G:100%PL
WIDTH:134CM
WEIGHT:230-240G/M2</t>
    <phoneticPr fontId="51" type="noConversion"/>
  </si>
  <si>
    <t>EBT161219</t>
  </si>
  <si>
    <t>EBT161220</t>
  </si>
  <si>
    <t>EBT161221</t>
  </si>
  <si>
    <t>EBT161222</t>
  </si>
  <si>
    <t>EBT161223</t>
  </si>
  <si>
    <t>EBT161224</t>
  </si>
  <si>
    <t>EBT161225</t>
  </si>
  <si>
    <t>ART.EBT161219
COMP:100%PL
WIDTH:138CM
WEIGHT:</t>
  </si>
  <si>
    <t>ART.EBT161220
COMP:100%PL
WIDTH:136CM
WEIGHT:</t>
  </si>
  <si>
    <t>ART.EBT161221
COMP:100%PL
WIDTH:142CM
WEIGHT:</t>
  </si>
  <si>
    <t>ART.EBT161222
COMP:50%CO 40%PA 10%VI
WIDTH:138CM
WEIGHT:</t>
  </si>
  <si>
    <t>ART.EBT161223
COMP:100%PL
WIDTH:142CM
WEIGHT:</t>
  </si>
  <si>
    <t>ART.EBT161224
COMP:50%CO 40%PA 10%VI
WIDTH:142CM
WEIGHT:</t>
  </si>
  <si>
    <t>ART.EBT161225
COMP:100%PA
WIDTH:140CM
WEIGHT:</t>
  </si>
  <si>
    <t>EBT160501 single layer</t>
  </si>
  <si>
    <t>ART.EBT160501 single layer
COMP:50%PL 50%PU
WIDTH:135CM
WEIGHT:225G/M2</t>
  </si>
  <si>
    <t>EBT260722</t>
  </si>
  <si>
    <t>EBT260724</t>
  </si>
  <si>
    <t>EBT260725</t>
  </si>
  <si>
    <t>EBT260726</t>
  </si>
  <si>
    <t>EBT260727</t>
  </si>
  <si>
    <t>EBT260728</t>
  </si>
  <si>
    <t xml:space="preserve">ART.EBT260722
COMP:65%PL 35% VI 
WIDTH:57/58"
WEIGHT:230-240GSM </t>
  </si>
  <si>
    <t>ART.EBT260723
COMP:FACE:62%PL 35%VI 3%SP BACK:63%PL 33%VI 4%PU
WIDTH:70CM
WEIGHT:410GSM</t>
  </si>
  <si>
    <t>ART.EBT260724
COMP:FACE:37%AC 53%PL 10%WO BACK：100%PL 
WIDTH:147cm
WEIGHT:530gsm</t>
  </si>
  <si>
    <t>ART.EBT260725
COMP:FACE:17%AC 78%PL 5%WO BACK：100%PL
WIDTH:147cm
WEIGHT:409gdm</t>
  </si>
  <si>
    <t>ART.EBT260726
COMP: FACE:35%AC 53%PL 12%WO BACK：100%PL 
WIDTH:142cm
WEIGHT:402gsm</t>
  </si>
  <si>
    <t>ART.EBT260727
COMP:100%CO EMB THREAD:100%PL
WIDTH:125CM
WEIGHT:</t>
  </si>
  <si>
    <t>ART.EBT260728
COMP:70%PL 28%VI 2%EA
WIDTH:140CM
WEIGHT:173GSM</t>
  </si>
  <si>
    <t>EBT160103-JR</t>
  </si>
  <si>
    <t>EBT160104-JR</t>
  </si>
  <si>
    <t>ART.EBT160103-JR
COMP:61%VI 39%AC
WIDTH:142CM
WEIGHT:192G/M2</t>
  </si>
  <si>
    <t>ART.EBT160104-JR
COMP:72%AC 28%VI
WIDTH:144CM
WEIGHT:180G/M2</t>
  </si>
  <si>
    <t>EBT161226</t>
  </si>
  <si>
    <t>ART.EBT161226
COMP:F:100%PL G:100%PL
WIDTH:140CM
WEIGHT:360G/M2</t>
  </si>
  <si>
    <t>EBT161227</t>
  </si>
  <si>
    <t>EBT161228</t>
  </si>
  <si>
    <t>EBT161229</t>
  </si>
  <si>
    <t>EBT161230</t>
  </si>
  <si>
    <t>ART.EBT161228
COMP:95%PL 5%EA
WIDTH:140CM
WEIGHT:280G/M2</t>
  </si>
  <si>
    <t>ART.EBT161229
COMP:95%PL 5%EA
WIDTH:140CM
WEIGHT:245G/M2</t>
  </si>
  <si>
    <t>ART.EBT161230
COMP:100%PL
WIDTH:140CM
WEIGHT:240G/M2</t>
  </si>
  <si>
    <t>ART.EBT161227
COMP: F:50%PU 50%VI G::70%PL+30%PA
WIDTH:134CM
WEIGHT:543G/M2</t>
    <phoneticPr fontId="51" type="noConversion"/>
  </si>
  <si>
    <t>EBT160228</t>
  </si>
  <si>
    <t>EBT160229</t>
  </si>
  <si>
    <t>ART.EBT160228
COMP:100%CO
WIDTH:CW:130CM
WEIGHT:</t>
  </si>
  <si>
    <t>ART.EBT160229
COMP:100%CO
WIDTH:130CM
WEIGHT:</t>
    <phoneticPr fontId="51" type="noConversion"/>
  </si>
  <si>
    <t>ART.EBT160229-FOIL
COMP:100%CO
WIDTH: 130CM
WEIGHT:</t>
  </si>
  <si>
    <t>EBT161174</t>
  </si>
  <si>
    <t>ART.EBT161174
COMP:100%PL
WIDTH:123cm
WEIGHT:</t>
  </si>
  <si>
    <t>EBT161169</t>
  </si>
  <si>
    <t>EBT161170</t>
  </si>
  <si>
    <t>ART.EBT161169
COMP:100%PL
WIDTH:128CM
WEIGHT:</t>
  </si>
  <si>
    <t>ART.EBT161170
COMP:100%PL
WIDTH:128CM
WEIGHT:</t>
  </si>
  <si>
    <t>EBT161231</t>
  </si>
  <si>
    <t>ART.EBT161231
COMP:F:100%PL G:95%PL 5%EA
WIDTH:118CM
WEIGHT:</t>
  </si>
  <si>
    <t>EBT161232</t>
  </si>
  <si>
    <t>ART.EBT161232
COMP:100%PL
WIDTH:144CM
WEIGHT:212G/M2</t>
  </si>
  <si>
    <t>EBT161233</t>
  </si>
  <si>
    <t>ART.EBT161233
COMP:73%VI   27%PA
WIDTH:105CM
WEIGHT:</t>
  </si>
  <si>
    <t>EBT161234</t>
  </si>
  <si>
    <t>ART.EBT161234
COMP:100%PL
WIDTH:140CM
WEIGHT:370G/M2</t>
  </si>
  <si>
    <t>EBT260729</t>
  </si>
  <si>
    <t>EBT260730</t>
  </si>
  <si>
    <t>EBT260731</t>
  </si>
  <si>
    <t>EBT260732</t>
  </si>
  <si>
    <t>EBT260733</t>
  </si>
  <si>
    <t>EBT260734</t>
  </si>
  <si>
    <t>EBT260735</t>
  </si>
  <si>
    <t>EBT260736</t>
  </si>
  <si>
    <t>EBT260737</t>
  </si>
  <si>
    <t>EBT260738</t>
  </si>
  <si>
    <t>EBT260739</t>
  </si>
  <si>
    <t>EBT260740</t>
  </si>
  <si>
    <t>EBT260741</t>
  </si>
  <si>
    <t>EBT260742</t>
  </si>
  <si>
    <t>ART.EBT260729
COMP:100%LINEN 
WIDTH:140cm
WEIGHT:120GSM</t>
  </si>
  <si>
    <t>ART.EBT260730
COMP:100%LINEN 
WIDTH:140cm
WEIGHT:165GSM</t>
  </si>
  <si>
    <t>ART.EBT260732
COMP:65%PL  35%VI  
WIDTH:140cm
WEIGHT:128GSM</t>
  </si>
  <si>
    <t>ART.EBT260733
COMP:FACE:100%PU BACK:100%PL 
WIDTH:130CM
WEIGHT:453GSM</t>
  </si>
  <si>
    <t>ART.EBT260734
COMP:FACE:100%PU BACK:100%PL 
WIDTH:130CM
WEIGHT:462GSM</t>
  </si>
  <si>
    <t>ART.EBT260735
COMP:FACE:100%PU BACK:100%PL 
WIDTH:130CM
WEIGHT:447GSM</t>
  </si>
  <si>
    <t>ART.EBT260738
COMP:40%PA 60%CO
WIDTH:134CM
WEIGHT:140GSM</t>
  </si>
  <si>
    <t>ART.EBT260739
COMP:40%PA 60%CO
WIDTH:133CM
WEIGHT:100GSM</t>
  </si>
  <si>
    <t>ART.EBT260740
COMP:40%PA 60%CO
WIDTH:133CM
WEIGHT:145GSM</t>
  </si>
  <si>
    <t>ART.EBT260741
COMP:40%PA 60%CO
WIDTH:134CM
WEIGHT:120GSM</t>
  </si>
  <si>
    <t>ART.EBT260742
COMP:65%PL 33%VI 2%EA
WIDTH:145CM
WEIGHT:230GSM</t>
  </si>
  <si>
    <t>EBT161236</t>
  </si>
  <si>
    <t>EBT161237</t>
  </si>
  <si>
    <t>EBT161238</t>
  </si>
  <si>
    <t>EBT161235</t>
  </si>
  <si>
    <t>ART.EBT161235
COMP:100%PL
WIDTH:142CM
WEIGHT:160G/M2</t>
  </si>
  <si>
    <t>ART.EBT161236
COMP:96%PL 4%EA
WIDTH:142CM
WEIGHT:160G/M2</t>
  </si>
  <si>
    <t>ART.EBT161238
COMP:100%PL
WIDTH:142CM
WEIGHT:147G/M2</t>
  </si>
  <si>
    <t>EBT10172</t>
  </si>
  <si>
    <t>EBT260642</t>
  </si>
  <si>
    <t>ART.EBT260642
COMP:48%PL38%AC14%CO
WIDTH:141CM
WEIGHT:350GSM</t>
  </si>
  <si>
    <t>EBT161025-210</t>
  </si>
  <si>
    <t>EBT161239</t>
  </si>
  <si>
    <t>EBT161240</t>
  </si>
  <si>
    <t>ART.EBT161025-210
COMP:72%PL 26%VI 2%EA
WIDTH:158CM
WEIGHT:210G/M2</t>
  </si>
  <si>
    <t>ART.EBT161239
COMP:100%PL
WIDTH:135CM
WEIGHT:G:205G/M2</t>
  </si>
  <si>
    <t>ART.EBT161240
COMP:100%PL
WIDTH:135CM
WEIGHT:G:205G/M2</t>
  </si>
  <si>
    <t>EBT161025-170</t>
    <phoneticPr fontId="51" type="noConversion"/>
  </si>
  <si>
    <t>EBT161241</t>
  </si>
  <si>
    <t>EBT161243</t>
  </si>
  <si>
    <t>EBT161244</t>
  </si>
  <si>
    <t>EBT161245</t>
  </si>
  <si>
    <t>EBT161242</t>
  </si>
  <si>
    <t>ART.EBT161242
COMP:FACE:60%WO40%PL          GROUND: 95%PL5%EA
WIDTH:145CM
WEIGHT:690GSM</t>
  </si>
  <si>
    <t>ART.EBT161243
COMP:FACE:60%WO40%PL          GROUND: 95%PL5%EA
WIDTH:145CM
WEIGHT:650GSM</t>
  </si>
  <si>
    <t xml:space="preserve">ART.EBT161244
COMP:FACE:60%WO40%PL          GROUND:100%PL
WIDTH:145CM
WEIGHT:600GSM </t>
  </si>
  <si>
    <t xml:space="preserve">ART.EBT161245
COMP:FACE:60%WO40%PL          GROUND:100%PL
WIDTH:143CM
WEIGHT:575GSM </t>
  </si>
  <si>
    <t>EBT10081</t>
  </si>
  <si>
    <t>ART.EBT10081
COMP:40%W50%P 10%OTHERS
WIDTH:58/59"
WEIGHT:759G/M</t>
  </si>
  <si>
    <t>ART.EBT140623
COMP:40%WO 45%VI 15%PL
WIDTH:140CM
WEIGHT:320G/M2</t>
    <phoneticPr fontId="51" type="noConversion"/>
  </si>
  <si>
    <t>ART.EBT140623B
COMP:F:40%WO 45%VI 15%PL 15%P,G:95%PL 5%EA
WIDTH:135CM
WEIGHT:567G/M2</t>
    <phoneticPr fontId="51" type="noConversion"/>
  </si>
  <si>
    <t>EBT161246</t>
  </si>
  <si>
    <t>ART.EBT161246
COMP:97%PL3%EA
WIDTH:138CM
WEIGHT:245GSM</t>
  </si>
  <si>
    <t>EBT260743</t>
  </si>
  <si>
    <t>EBT260744</t>
  </si>
  <si>
    <t>EBT260745</t>
  </si>
  <si>
    <t>EBT260746</t>
  </si>
  <si>
    <t>EBT260747</t>
  </si>
  <si>
    <t>EBT260748</t>
  </si>
  <si>
    <t>EBT260749</t>
  </si>
  <si>
    <t>ART.EBT260743
COMP:FACE:70%PL 28%VI 2%EA BACK：95%PL 5%EA
WIDTH:140CM
WEIGHT:453GSM</t>
  </si>
  <si>
    <t>ART.EBT260744
COMP:63%PL 33%VI 4%EA
WIDTH:140CM
WEIGHT:225GSM</t>
  </si>
  <si>
    <t>ART.EBT260745
COMP:63%PL 33%VI 4%EA
WIDTH:140CM
WEIGHT:225GSM</t>
  </si>
  <si>
    <t>ART.EBT260746
COMP:63%PL 33%VI 4%EA
WIDTH:140CM
WEIGHT:225GSM</t>
  </si>
  <si>
    <t>ART.EBT260747
COMP:63%PL 33%VI 4%EA
WIDTH:145CM
WEIGHT:220GSM</t>
  </si>
  <si>
    <t>ART.EBT260748
COMP:63%PL 33%VI 4%EA
WIDTH:145CM
WEIGHT:225GSM</t>
  </si>
  <si>
    <t>ART.EBT260749
COMP:53%LI 43%CO 4%PL
WIDTH:142CM
WEIGHT:130GSM</t>
  </si>
  <si>
    <t>EBT161178-SINGLE</t>
  </si>
  <si>
    <t>ART.EBT161178-SINGLE
COMP:92%PL 8%EA
WIDTH:145CM
WEIGHT:155G/M2</t>
  </si>
  <si>
    <t>EBT161247</t>
  </si>
  <si>
    <t>ART.EBT161247
COMP:100%PL
WIDTH:135CM
WEIGHT:G:205G/M2</t>
  </si>
  <si>
    <t>EBT07924-MSD</t>
  </si>
  <si>
    <t>ART.EBT07924-MSD
COMP:78%C20%P2%SP
WIDTH:57/8"
WEIGHT:150G/M2</t>
  </si>
  <si>
    <t>EBT160596-370</t>
    <phoneticPr fontId="51" type="noConversion"/>
  </si>
  <si>
    <t>ART.EBT160596-370
COMP:97%PL 3%EA
WIDTH:143CM
WEIGHT:370G/M2</t>
    <phoneticPr fontId="51" type="noConversion"/>
  </si>
  <si>
    <t>EBT160596</t>
    <phoneticPr fontId="51" type="noConversion"/>
  </si>
  <si>
    <t>ART.EBT160596
COMP:97%PL 3%EA
WIDTH:142CM
WEIGHT:420G/M2</t>
    <phoneticPr fontId="51" type="noConversion"/>
  </si>
  <si>
    <t>EBT161250</t>
  </si>
  <si>
    <t>EBT161251</t>
  </si>
  <si>
    <t>EBT161252</t>
  </si>
  <si>
    <t>EBT161253</t>
  </si>
  <si>
    <t>EBT161248</t>
  </si>
  <si>
    <t>EBT161249</t>
  </si>
  <si>
    <t>ART.EBT161248
COMP:F: sequin, G: 95%VI 5%EA
WIDTH:125CM
WEIGHT:</t>
  </si>
  <si>
    <t>ART.EBT161249
COMP:F: sequin, G: 95%VI 5%EA
WIDTH:125CM
WEIGHT:</t>
  </si>
  <si>
    <t>ART.EBT161250
COMP:F: sequin, G: 100%PA
WIDTH:125CM
WEIGHT:</t>
  </si>
  <si>
    <t>ART.EBT161251
COMP:F: sequin, G: 100%PL
WIDTH:125CM
WEIGHT:</t>
  </si>
  <si>
    <t>ART.EBT161252
COMP:F: sequin, G: 100%PL
WIDTH:125CM
WEIGHT:</t>
  </si>
  <si>
    <t>ART.EBT161253
COMP:F: sequin, G: 100%PL
WIDTH:125CM
WEIGHT:</t>
  </si>
  <si>
    <t>EBT161254</t>
  </si>
  <si>
    <t>EBT161255</t>
  </si>
  <si>
    <t>ART.EBT161254
COMP:F: sequin, G: 100%PL
WIDTH:125CM
WEIGHT:</t>
  </si>
  <si>
    <t>ART.EBT161255
COMP:F: sequin, G: 100%PL
WIDTH:125CM
WEIGHT:</t>
  </si>
  <si>
    <t>EBT161256</t>
  </si>
  <si>
    <t>ART.EBT161256
COMP:F: 95%PL 5%EA G:100%PA
WIDTH:122CM
WEIGHT:</t>
  </si>
  <si>
    <t>ART.EBT250030
COMP:20%SE 80%VI
WIDTH:136CM
WEIGHT:165G/M2</t>
    <phoneticPr fontId="51" type="noConversion"/>
  </si>
  <si>
    <t>ART.EBT250029
COMP:25%PA 75%VI
WIDTH:136CM
WEIGHT:167G/M2</t>
    <phoneticPr fontId="51" type="noConversion"/>
  </si>
  <si>
    <t>EBT260750</t>
  </si>
  <si>
    <t>EBT260751</t>
  </si>
  <si>
    <t>EBT260752</t>
  </si>
  <si>
    <t>ART.EBT260750
COMP:30%WO 70%PL
WIDTH:144cm
WEIGHT:459GSM</t>
  </si>
  <si>
    <t>ART.EBT260751
COMP:100%OT
WIDTH:144cm
WEIGHT:365GSM</t>
  </si>
  <si>
    <t>ART.EBT260752
COMP:100%OT
WIDTH:144cm
WEIGHT:378GSM</t>
  </si>
  <si>
    <t>EBT161257</t>
  </si>
  <si>
    <t>EBT161258</t>
  </si>
  <si>
    <t>EBT161259</t>
  </si>
  <si>
    <t>ART.EBT161257
COMP:100%PL
WIDTH:128CM
WEIGHT:</t>
  </si>
  <si>
    <t>ART.EBT161258
COMP:100%PL
WIDTH:128CM
WEIGHT:</t>
  </si>
  <si>
    <t>ART.EBT161259
COMP:100%PL
WIDTH:130CM
WEIGHT:245GSM</t>
  </si>
  <si>
    <t>EBT161264</t>
  </si>
  <si>
    <t>EBT161265</t>
  </si>
  <si>
    <t>ART.EBT161264
COMP:F: sequin, G: 100%PA
WIDTH:125CM
WEIGHT:</t>
  </si>
  <si>
    <t>ART.EBT161265
COMP:F: sequin, G: 95%VI 5%EA
WIDTH:125CM
WEIGHT:</t>
  </si>
  <si>
    <t>EBT161260</t>
  </si>
  <si>
    <t>EBT161261</t>
  </si>
  <si>
    <t>EBT161262</t>
  </si>
  <si>
    <t>EBT161263</t>
  </si>
  <si>
    <t>ART.EBT161260
COMP:100%AC
WIDTH:150CM
WEIGHT:1100G/M</t>
  </si>
  <si>
    <t>ART.EBT161261
COMP:100%AC
WIDTH:150CM
WEIGHT:1100G/M</t>
  </si>
  <si>
    <t>ART.EBT161262
COMP:76% PL 20%VI 4%EA
WIDTH:145CM
WEIGHT:300G/M2</t>
  </si>
  <si>
    <t>ART.EBT161263
COMP:70%CO 30%PL
WIDTH:145CM
WEIGHT:290G/M2</t>
  </si>
  <si>
    <t>EBT161266</t>
  </si>
  <si>
    <t>ART.EBT161266
COMP:60%PL40%WO
WIDTH:145CM
WEIGHT:400GSM</t>
  </si>
  <si>
    <t>EBT161282</t>
  </si>
  <si>
    <t>EBT161283</t>
  </si>
  <si>
    <t>ART.EBT161282
COMP:100%PL
WIDTH:157CM
WEIGHT:160G/M2</t>
  </si>
  <si>
    <t>ART.EBT161283
COMP:75%PL 22%VI 3%EA
WIDTH:157CM
WEIGHT:340G/M2</t>
  </si>
  <si>
    <t>EBT161267</t>
  </si>
  <si>
    <t>EBT161268</t>
  </si>
  <si>
    <t>EBT161269</t>
  </si>
  <si>
    <t>EBT161270</t>
  </si>
  <si>
    <t>EBT161271</t>
  </si>
  <si>
    <t>EBT161272</t>
  </si>
  <si>
    <t>EBT161273</t>
  </si>
  <si>
    <t>ART.EBT161267
COMP:78%PL 19%VI 3%EA
WIDTH:145CM
WEIGHT:282G/M2</t>
  </si>
  <si>
    <t>ART.EBT161268
COMP:73%PL 25%VI 2%EA
WIDTH:145CM
WEIGHT:240G/M2</t>
  </si>
  <si>
    <t>ART.EBT161269
COMP:65%PL 32%VI 3%EA
WIDTH:145CM
WEIGHT:185G/M2</t>
  </si>
  <si>
    <t>ART.EBT161270
COMP:33%PL 64%VI 3%EA
WIDTH:145CM
WEIGHT:185G/M2</t>
  </si>
  <si>
    <t>ART.EBT161271
COMP:60%PL 28%VI 3%EA
WIDTH:145CM
WEIGHT:280G/M2</t>
  </si>
  <si>
    <t>ART.EBT161272
COMP:63%PL 22%VI 10%WO 5%EA
WIDTH:145CM
WEIGHT:206G/M2</t>
  </si>
  <si>
    <t>ART.EBT161273
COMP:80%PL 15%VI 5%EA
WIDTH:142CM
WEIGHT:238G/M2</t>
  </si>
  <si>
    <t>EBT260753</t>
  </si>
  <si>
    <t>EBT260754</t>
  </si>
  <si>
    <t>EBT260755</t>
  </si>
  <si>
    <t>EBT260756</t>
  </si>
  <si>
    <t>EBT260757</t>
  </si>
  <si>
    <t>EBT260758</t>
  </si>
  <si>
    <t>EBT260759</t>
  </si>
  <si>
    <t>EBT260760</t>
  </si>
  <si>
    <t>EBT260761</t>
  </si>
  <si>
    <t>EBT260762</t>
  </si>
  <si>
    <t>EBT260763</t>
  </si>
  <si>
    <t>EBT260764</t>
  </si>
  <si>
    <t>EBT260765</t>
  </si>
  <si>
    <t>EBT260766</t>
  </si>
  <si>
    <t>EBT260767</t>
  </si>
  <si>
    <t>EBT260768</t>
  </si>
  <si>
    <t>EBT260769</t>
  </si>
  <si>
    <t>EBT260770</t>
  </si>
  <si>
    <t>EBT260771</t>
  </si>
  <si>
    <t>EBT260772</t>
  </si>
  <si>
    <t>EBT260773</t>
  </si>
  <si>
    <t>EBT260774</t>
  </si>
  <si>
    <t>EBT260775</t>
  </si>
  <si>
    <t>EBT260776</t>
  </si>
  <si>
    <t>EBT260777</t>
  </si>
  <si>
    <t>EBT260778</t>
  </si>
  <si>
    <t>EBT260779</t>
  </si>
  <si>
    <t>EBT260780</t>
  </si>
  <si>
    <t>EBT260781</t>
  </si>
  <si>
    <t>EBT260782</t>
  </si>
  <si>
    <t>EBT260783</t>
  </si>
  <si>
    <t>EBT260784</t>
  </si>
  <si>
    <t>EBT260785</t>
  </si>
  <si>
    <t>EBT260786</t>
  </si>
  <si>
    <t>EBT260787</t>
  </si>
  <si>
    <t>EBT260788</t>
  </si>
  <si>
    <t>EBT260789</t>
  </si>
  <si>
    <t>EBT260790</t>
  </si>
  <si>
    <t>EBT260791</t>
  </si>
  <si>
    <t>EBT260792</t>
  </si>
  <si>
    <t>EBT260793</t>
  </si>
  <si>
    <t>EBT260794</t>
  </si>
  <si>
    <t>EBT260795</t>
  </si>
  <si>
    <t>EBT260796</t>
  </si>
  <si>
    <t>ART.EBT260753
COMP:97%CO 3%EL 
WIDTH:142CM
WEIGHT:220GSM</t>
  </si>
  <si>
    <t>ART.EBT260754
COMP:97%CO 3%EL 
WIDTH:142CM
WEIGHT:204GSM</t>
  </si>
  <si>
    <t>ART.EBT260755
COMP:97%CO 3%EL 
WIDTH:142CM
WEIGHT:208GSM</t>
  </si>
  <si>
    <t>ART.EBT260756
COMP:97%CO 3%EL 
WIDTH:142CM
WEIGHT:210GSM</t>
  </si>
  <si>
    <t>ART.EBT260757
COMP:97%CO 3%EL 
WIDTH:142CM
WEIGHT:212GSM </t>
  </si>
  <si>
    <t>ART.EBT260758
COMP:97%CO 3%EL 
WIDTH:142CM
WEIGHT:211GSM</t>
  </si>
  <si>
    <t>ART.EBT260759
COMP:97%CO 3%EL 
WIDTH:142CM
WEIGHT:216GSM</t>
  </si>
  <si>
    <t>ART.EBT260760
COMP:35%NY 65%VI 
WIDTH:122CM
WEIGHT:</t>
  </si>
  <si>
    <t>ART.EBT260761
COMP:FACE：100%AC GROUND : 100% PL
WIDTH:150CM
WEIGHT:1000G/M</t>
  </si>
  <si>
    <t>ART.EBT260777
COMP:55%VI  45%PL 
WIDTH:142cm
WEIGHT:125gsm</t>
  </si>
  <si>
    <t>ART.EBT260778
COMP:65%PL   35%VI 
WIDTH:142cm
WEIGHT:128GSM</t>
  </si>
  <si>
    <t>ART.EBT260779
COMP:65%PL   35%VI 
WIDTH:120CM
WEIGHT:110GSM</t>
  </si>
  <si>
    <t>ART.EBT260780
COMP:75% PL  20%VI  5% WO
WIDTH:142cm
WEIGHT:88GSM</t>
  </si>
  <si>
    <t>ART.EBT260781
COMP:50%PL 27%VI 20%PA 3%EA
WIDTH:139CM
WEIGHT:230GSM</t>
  </si>
  <si>
    <t>ART.EBT260782
COMP:50%PL 27%VI 20%PA 3%EA
WIDTH:139CM
WEIGHT:225GSM</t>
  </si>
  <si>
    <t>ART.EBT260783
COMP:72%PL 25%CO 3%EA
WIDTH:114CM
WEIGHT:290GSM</t>
  </si>
  <si>
    <t>ART.EBT260784
COMP:72%PL 25%CO 3%EA
WIDTH:114CM
WEIGHT:280GSM</t>
  </si>
  <si>
    <t>ART.EBT260785
COMP:72%PL 25%CO 3%EA
WIDTH:113CM
WEIGHT:288GSM</t>
  </si>
  <si>
    <t>ART.EBT260786
COMP:72%PL 25%CO 3%EA
WIDTH:114CM
WEIGHT:280GSM</t>
  </si>
  <si>
    <t>ART.EBT260787
COMP:72%CO 27%LI 1%EA 
WIDTH:140CM
WEIGHT:197GSM</t>
  </si>
  <si>
    <t>ART.EBT260788
COMP:72%CO 27%LI 1%EA S
WIDTH:130CM
WEIGHT:203GSM</t>
  </si>
  <si>
    <t>ART.EBT260789
COMP:71%CO 28%LI 1%EA 
WIDTH:127CM
WEIGHT:211GSM</t>
  </si>
  <si>
    <t>ART.EBT260790
COMP:71%CO 28%LI 1%EA 
WIDTH:133CM
WEIGHT:212GSM</t>
  </si>
  <si>
    <t>ART.EBT260791
COMP:71%CO 28%LI 1%EA 
WIDTH:132CM
WEIGHT:208GSM</t>
  </si>
  <si>
    <t>ART.EBT260792
COMP:74%VI 22%PA 4%EA
WIDTH:150CM
WEIGHT:386GSM</t>
  </si>
  <si>
    <t>ART.EBT260793
COMP:63%PL 33%VI 4%EA
WIDTH:142CM
WEIGHT:335GSM</t>
  </si>
  <si>
    <t>ART.EBT260794
COMP:64%PL 34%VI 2%EA
WIDTH:142CM
WEIGHT:277GSM</t>
  </si>
  <si>
    <t>ART.EBT260795
COMP:70%PL 25%VI 5%EA
WIDTH:142CM
WEIGHT:300GSM</t>
  </si>
  <si>
    <t>ART.EBT260796
COMP:75%PL 23%VI 2%EA
WIDTH:142CM
WEIGHT:240GSM</t>
  </si>
  <si>
    <t>EBT161284</t>
  </si>
  <si>
    <t>ART.EBT161284
COMP:G:100%PL F:100%PL
WIDTH:140CM
WEIGHT:370G/M2</t>
  </si>
  <si>
    <t>EBT161276-FOIL</t>
    <phoneticPr fontId="51" type="noConversion"/>
  </si>
  <si>
    <t>EBT161277-FOIL</t>
    <phoneticPr fontId="51" type="noConversion"/>
  </si>
  <si>
    <t>EBT161280</t>
  </si>
  <si>
    <t>EBT161281</t>
  </si>
  <si>
    <t>ART.EBT161280
COMP:F:100%PL G:95%PL 5%EA
WIDTH:125CM
WEIGHT:</t>
  </si>
  <si>
    <t>ART.EBT161281
COMP:F:100%PA G:95%PL 5%EA
WIDTH:125CM
WEIGHT:</t>
  </si>
  <si>
    <t>EBT160568-BONDING</t>
    <phoneticPr fontId="51" type="noConversion"/>
  </si>
  <si>
    <t>ART.EBT160568-BONDING
COMP:G:100%PA EMB:100%PL G:95%PL 5%EA
WIDTH:125CM
WEIGHT:</t>
    <phoneticPr fontId="51" type="noConversion"/>
  </si>
  <si>
    <t>ART.EBT161277-FOIL
COMP:100%CO
WIDTH:128CM
WEIGHT:</t>
    <phoneticPr fontId="51" type="noConversion"/>
  </si>
  <si>
    <t>ART.EBT161276-FOIL
COMP:100%CO
WIDTH:128CM
WEIGHT:</t>
    <phoneticPr fontId="51" type="noConversion"/>
  </si>
  <si>
    <t>EBT161285</t>
  </si>
  <si>
    <t>EBT161286</t>
  </si>
  <si>
    <t>EBT161287</t>
  </si>
  <si>
    <t>EBT161288</t>
  </si>
  <si>
    <t>EBT161279</t>
  </si>
  <si>
    <t>EBT161275</t>
  </si>
  <si>
    <t>ART.EBT161285
COMP:40%VI 48%PL 9%PA 3%EA
WIDTH:142CM
WEIGHT:275G/M2</t>
  </si>
  <si>
    <t>ART.EBT161286
COMP:79%VI 18%PA 3%EA
WIDTH:142CM
WEIGHT:265G/M2</t>
  </si>
  <si>
    <t>ART.EBT161287
COMP:33%VI 53%PL 10%PA 4%EA
WIDTH:142CM
WEIGHT:260G/M2</t>
  </si>
  <si>
    <t>ART.EBT161288
COMP:34%VI 48%PL 16%PA 2%EA
WIDTH:142CM
WEIGHT:300G/M2</t>
  </si>
  <si>
    <t>EBT161278</t>
  </si>
  <si>
    <t>ART.EBT161278
COMP: 76%PL 19%R 5%SP
WIDTH:145CM
WEIGHT:360G/M2</t>
  </si>
  <si>
    <t>ART.EBT161279
COMP: 76%PL 19%R 5%SP
WIDTH:145CM
WEIGHT:360G/M2</t>
  </si>
  <si>
    <t>ART.EBT161275
COMP: 76%PL 19%R 5%SP
WIDTH:145CM
WEIGHT:360G/M2</t>
  </si>
  <si>
    <t>EBT130711</t>
  </si>
  <si>
    <t>ART.EBT130711
COMP:G:95%PL 5%EA F:100%PL
WIDTH:138CM
WEIGHT:426GSM</t>
  </si>
  <si>
    <t>EBT161289</t>
  </si>
  <si>
    <t>EBT161290</t>
  </si>
  <si>
    <t>ART.EBT161289
COMP:F:100%PU G:100%PL
WIDTH:135CM
WEIGHT:230G/M2</t>
  </si>
  <si>
    <t>ART.EBT161290
COMP:F: 100%PU G:100%VI
WIDTH:132CM
WEIGHT:210G/M2</t>
  </si>
  <si>
    <t>EBT161274</t>
  </si>
  <si>
    <t>ART.EBT161274
COMP:70%PL 29%VI 1%EA
WIDTH:145CM
WEIGHT:253G/M2</t>
  </si>
  <si>
    <t>EBT151049-A</t>
  </si>
  <si>
    <t>ART.EBT151049-A
COMP:100%CO
WIDTH:125CM
WEIGHT:170G/M2</t>
  </si>
  <si>
    <t>EBT151049-PS</t>
  </si>
  <si>
    <t>ART.EBT151049-PS
COMP:100%CO
WIDTH:125CM
WEIGHT:170G/M2</t>
  </si>
  <si>
    <t>EBT161294</t>
  </si>
  <si>
    <t>EBT161295</t>
  </si>
  <si>
    <t>EBT161296</t>
  </si>
  <si>
    <t>EBT161297</t>
  </si>
  <si>
    <t>ART.EBT161294
COMP:100%CO EMB:100%PL
WIDTH:128CM
WEIGHT:G:135G/M2</t>
  </si>
  <si>
    <t>ART.EBT161295
COMP:100%CO EMB:100%PL
WIDTH:125CM
WEIGHT:G:135G/M2</t>
  </si>
  <si>
    <t>ART.EBT161296
COMP:100%CO EMB:100%PL
WIDTH:128CM
WEIGHT:G:135G/M2</t>
  </si>
  <si>
    <t>ART.EBT161297
COMP:100%CO
WIDTH:128CM
WEIGHT:G:135G/M2</t>
  </si>
  <si>
    <t>EBT161298</t>
  </si>
  <si>
    <t>EBT161299</t>
  </si>
  <si>
    <t>ART.EBT161298
COMP:100%PL
WIDTH:134CM
WEIGHT:G:210G/M2</t>
  </si>
  <si>
    <t>ART.EBT161299
COMP:100%PL
WIDTH:134CM
WEIGHT:G:225G/M2</t>
  </si>
  <si>
    <t xml:space="preserve">EBT161300 </t>
  </si>
  <si>
    <t>ART.EBT161300 
COMP:100%PL
WIDTH:120MC
WEIGHT:</t>
  </si>
  <si>
    <t>ART.EBT161237
COMP:82%PL 12%EA
WIDTH:138CM
WEIGHT:305G/M2</t>
    <phoneticPr fontId="51" type="noConversion"/>
  </si>
  <si>
    <t>EBT0235</t>
  </si>
  <si>
    <t>ART.EBT0235
COMP:94%PL 6%EA
WIDTH:142CM
WEIGHT:150G/M2</t>
  </si>
  <si>
    <t>EBT161301</t>
    <phoneticPr fontId="51" type="noConversion"/>
  </si>
  <si>
    <t>ART.EBT161241
COMP:F: 75%VI 25%PA, G: 95%PL 5%EA
WIDTH:130CM
WEIGHT:375G/M2</t>
    <phoneticPr fontId="51" type="noConversion"/>
  </si>
  <si>
    <t>ART.EBT260444
COMP:F:25%NY 75%VI G:95%PL 5%SP
WIDTH:130CM
WEIGHT:382G/M2</t>
    <phoneticPr fontId="51" type="noConversion"/>
  </si>
  <si>
    <t>EBT161302</t>
  </si>
  <si>
    <t>ART.EBT161302
COMP:F:60%PL40%WO;G：100%PL
WIDTH:140CM
WEIGHT:550GSM</t>
  </si>
  <si>
    <t>EBT260797</t>
  </si>
  <si>
    <t>EBT260798</t>
  </si>
  <si>
    <t>EBT260799</t>
  </si>
  <si>
    <t>EBT260800</t>
  </si>
  <si>
    <t>EBT260801</t>
  </si>
  <si>
    <t>EBT260802</t>
  </si>
  <si>
    <t>EBT260803</t>
  </si>
  <si>
    <t>EBT260804</t>
  </si>
  <si>
    <t>ART.EBT260797
COMP:97%CO  3%EA
WIDTH:130CM
WEIGHT:145GSM</t>
  </si>
  <si>
    <t>ART.EBT260799
COMP:97%CO 3%EA  
WIDTH:126CM
WEIGHT:200GSM</t>
  </si>
  <si>
    <t>ART.EBT260800
COMP:97%CO 3%EA 
WIDTH:144CM
WEIGHT:200GSM</t>
  </si>
  <si>
    <t>ART.EBT260801
COMP:100%CO 
WIDTH:145CM
WEIGHT:112GSM</t>
  </si>
  <si>
    <t>ART.EBT260802
COMP:100%CO 
WIDTH:145CM
WEIGHT:110GSM</t>
  </si>
  <si>
    <t>ART.EBT260803
COMP:66%PL 24%VI  8%WO 2%EA 
WIDTH:144CM
WEIGHT:250GSM</t>
  </si>
  <si>
    <t>ART.EBT260804
COMP:65%PL 35% VI 
WIDTH:144cm
WEIGHT:</t>
  </si>
  <si>
    <t>ART.EBT160121
COMP:82%VI 18%PA
WIDTH:136CM
WEIGHT:115G/M2</t>
    <phoneticPr fontId="51" type="noConversion"/>
  </si>
  <si>
    <t>EBT161306</t>
  </si>
  <si>
    <t>ART.EBT161306
COMP:92%PL 8%EA
WIDTH:144CM
WEIGHT:209G/M2</t>
  </si>
  <si>
    <t>EBT161310</t>
  </si>
  <si>
    <t>EBT161311</t>
  </si>
  <si>
    <t>EBT161308</t>
  </si>
  <si>
    <t>EBT161309</t>
  </si>
  <si>
    <t>ART.EBT161308
COMP:F: 63%PL 33%VI 4%EA, 
G: 96%VI 4%EA
WIDTH:133CM
WEIGHT:415G/M2</t>
  </si>
  <si>
    <t>ART.EBT161309
COMP:F: 63%PL 33%VI 4%EA, 
G: 96%VI 4%EA
WIDTH:140CM
WEIGHT:475G/M2</t>
  </si>
  <si>
    <t>ART.EBT161310
COMP:F: 65%PL 35%VI G:100%PL 
WIDTH:138CM
WEIGHT:306G/M2</t>
  </si>
  <si>
    <t>ART.EBT161311
COMP:F: 63%PL 33%VI 4%EA, 
G: 96%VI 4%EA
WIDTH:126CM 
WEIGHT:380G/M2</t>
  </si>
  <si>
    <t>ART.EBT150989
COMP:F:80%PL 10%CO 10%AF G: 100%PL 
WIDTH:142CM
WEIGHT:490G/M2</t>
    <phoneticPr fontId="51" type="noConversion"/>
  </si>
  <si>
    <t>EBT161312</t>
  </si>
  <si>
    <t>EBT161313</t>
  </si>
  <si>
    <t>ART.EBT161312
COMP:78%PL 20%PC 1%PA 1%EA
WIDTH:142CM
WEIGHT:300G/M2</t>
  </si>
  <si>
    <t>ART.EBT161313
COMP:86%PL 11%MTL 3%EA
WIDTH:134CM
WEIGHT:155G/M2</t>
  </si>
  <si>
    <t>ART.EBT140327
COMP:100%PU
100%POLY
WIDTH:120CM
WEIGHT:350G/M2</t>
    <phoneticPr fontId="51" type="noConversion"/>
  </si>
  <si>
    <t>EBT161303</t>
  </si>
  <si>
    <t>ART.EBT161303
COMP:95%PL;5%EA
WIDTH:144CM
WEIGHT:175G/M2</t>
  </si>
  <si>
    <t>EBT161314</t>
  </si>
  <si>
    <t>EBT161315</t>
  </si>
  <si>
    <t>EBT161316</t>
  </si>
  <si>
    <t>EBT161317</t>
  </si>
  <si>
    <t>EBT161318</t>
  </si>
  <si>
    <t>EBT161319</t>
  </si>
  <si>
    <t>ART.EBT161314
COMP:90%PL 6%CO 4%MTL
WIDTH:136CM
WEIGHT:348G/M2</t>
  </si>
  <si>
    <t>ART.EBT161315
COMP:87%PL 7%CO 6%MTL
WIDTH:136CM
WEIGHT:289G/M2</t>
  </si>
  <si>
    <t>ART.EBT161316
COMP:80%PL 20%CO
WIDTH:139CM
WEIGHT:268G/M2</t>
  </si>
  <si>
    <t>ART.EBT161317
COMP:79%PL 21%CO
WIDTH:139CM
WEIGHT:273G/M2</t>
  </si>
  <si>
    <t>ART.EBT161319
COMP:89%PL 11%MTL
WIDTH:144CM
WEIGHT:262G/M2</t>
  </si>
  <si>
    <t>ART.EBT161318
COMP:52%CO 30%PL 18%VI
WIDTH:142CM
WEIGHT:280G/M2</t>
    <phoneticPr fontId="51" type="noConversion"/>
  </si>
  <si>
    <t>EBT161307</t>
  </si>
  <si>
    <t>ART.EBT161307
COMP:100%PL
WIDTH:145CM
WEIGHT:</t>
  </si>
  <si>
    <t>EBT161320</t>
  </si>
  <si>
    <t xml:space="preserve">ART.EBT161320
COMP:F:95%PL;5%EA
WIDTH:142CM
WEIGHT:288G/M2 </t>
    <phoneticPr fontId="51" type="noConversion"/>
  </si>
  <si>
    <t>ART.EBT250024
COMP:LACE:90%PA 10%EA G: 70%PA 30%LUREX
WIDTH:140CM
WEIGHT:165G/M2</t>
    <phoneticPr fontId="51" type="noConversion"/>
  </si>
  <si>
    <t>EBT260805</t>
  </si>
  <si>
    <t>EBT260806</t>
  </si>
  <si>
    <t>EBT260807</t>
  </si>
  <si>
    <t>ART.EBT260805
COMP:FACE: 89%PL 11%elastomultiester BACK:89%PL 11%elastomultiester 
WIDTH:145cm
WEIGHT:430gam</t>
  </si>
  <si>
    <t>ART.EBT260807
COMP:70%PL 20%VI 8%WO 2%EA
WIDTH:144CM
WEIGHT:252GSM</t>
  </si>
  <si>
    <t>ART.EBT250062
COMP:F:30%WO 70%OTHER G:65%PL 35%VI
WIDTH:144CM
WEIGHT:554G/M2</t>
    <phoneticPr fontId="51" type="noConversion"/>
  </si>
  <si>
    <t>ART.EBT260591
COMP:30%WO 70%PL
WIDTH:145CM
WEIGHT:610G/M2</t>
    <phoneticPr fontId="51" type="noConversion"/>
  </si>
  <si>
    <t>ART.EBT260480
COMP:31%CO 67.5%PL 1.5%EA
WIDTH:142CM
WEIGHT:310-320GSM</t>
    <phoneticPr fontId="51" type="noConversion"/>
  </si>
  <si>
    <t>EBT170002</t>
  </si>
  <si>
    <t>ART.EBT170002
COMP:G:100%PL F:100%PU
WIDTH:140CM
WEIGHT:175GSM</t>
  </si>
  <si>
    <t>EBT151285-POLY</t>
  </si>
  <si>
    <t>ART.EBT151285-POLY
COMP:FACE: SEQUINS BACK: 100%PL MESH
WIDTH:126CM
WEIGHT:305G/M2</t>
  </si>
  <si>
    <t>EBT170004</t>
  </si>
  <si>
    <t>ART.EBT170004
COMP:F:75%PL;25%VI;
G:100%PL
WIDTH:142CM
WEIGHT:360G/M2</t>
    <phoneticPr fontId="51" type="noConversion"/>
  </si>
  <si>
    <t>EBT170003</t>
  </si>
  <si>
    <t>ART.EBT170003
COMP:100%PL
WIDTH:128CM
WEIGHT:</t>
  </si>
  <si>
    <t>BAS07924-MSD</t>
  </si>
  <si>
    <t>ART.BAS07924-MSD
COMP:78%C20%P2%SP
WIDTH:57/8"
WEIGHT:150G/M2</t>
  </si>
  <si>
    <t>ART.EBT130665-P69-26
COMP:64%PL  34%VI  2%EA
WIDTH:144cm
WEIGHT:235-245G/M2</t>
  </si>
  <si>
    <t>EBT161304</t>
  </si>
  <si>
    <t>EBT161305</t>
  </si>
  <si>
    <t>EBT170001</t>
  </si>
  <si>
    <t>ART.EBT170001
COMP:60%PL 40%WO
WIDTH:150CM
WEIGHT:345GSM</t>
  </si>
  <si>
    <t>ART.EBT161304
COMP:60%WO40%PL          
WIDTH:145CM
WEIGHT:450GSM</t>
  </si>
  <si>
    <t>ART.EBT161305
COMP:60%WO40%PL          
WIDTH:143CM
WEIGHT:425GSM</t>
  </si>
  <si>
    <t>EBT170007</t>
  </si>
  <si>
    <t>EBT170008</t>
  </si>
  <si>
    <t>EBT170009</t>
  </si>
  <si>
    <t>EBT170010</t>
  </si>
  <si>
    <t>EBT170011</t>
  </si>
  <si>
    <t>ART.EBT170007
COMP:100%VI
WIDTH:144CM
WEIGHT:285G/M2</t>
  </si>
  <si>
    <t>ART.EBT170008
COMP:100%VI
WIDTH:144CM
WEIGHT:285G/M2</t>
  </si>
  <si>
    <t>ART.EBT170009
COMP:100%VI
WIDTH:142CM
WEIGHT:290G/M2</t>
  </si>
  <si>
    <t>ART.EBT170010
COMP:100%VI
WIDTH:144CM
WEIGHT:236G/M2</t>
  </si>
  <si>
    <t>ART.EBT170011
COMP:100%VI
WIDTH:144CM
WEIGHT:285G/M2</t>
  </si>
  <si>
    <t>EBT170005</t>
  </si>
  <si>
    <t>EBT170006</t>
  </si>
  <si>
    <t>ART.EBT170005
COMP:78%PL 20%LUREX 2%EA
WIDTH:162CM
WEIGHT:270G/M2</t>
  </si>
  <si>
    <t>ART.EBT170006
COMP:78%PL 20%LUREX 2%EA
WIDTH:162CM
WEIGHT:270G/M2</t>
  </si>
  <si>
    <t>EBT260544</t>
  </si>
  <si>
    <t>EBT161291</t>
  </si>
  <si>
    <t>EBT161292</t>
  </si>
  <si>
    <t>EBT161293</t>
  </si>
  <si>
    <t>ART.EBT161291
COMP:F: 76%PL 19%VI 5%EA G:95%PL 5%EA
WIDTH:140CM
WEIGHT:580G/M2</t>
  </si>
  <si>
    <t>ART.EBT161292
COMP:F: 76%PL 19%VI 5%EA G:95%PL 5%EA
WIDTH:140CM
WEIGHT:580G/M2</t>
  </si>
  <si>
    <t>ART.EBT161293
COMP:F: 76%PL 19%VI 5%EA G:95%PL 5%EA
WIDTH:140CM
WEIGHT:580G/M2</t>
  </si>
  <si>
    <t>EBT170012</t>
  </si>
  <si>
    <t>EBT170013</t>
  </si>
  <si>
    <t>EBT170014</t>
  </si>
  <si>
    <t>EBT170015</t>
  </si>
  <si>
    <t>EBT170016</t>
  </si>
  <si>
    <t>EBT170017</t>
  </si>
  <si>
    <t>EBT170018</t>
  </si>
  <si>
    <t>EBT170020</t>
  </si>
  <si>
    <t>EBT170021</t>
  </si>
  <si>
    <t xml:space="preserve">ART.EBT170012
COMP:100%PL
WIDTH:56"
WEIGHT:110GSM </t>
  </si>
  <si>
    <t xml:space="preserve">ART.EBT170013
COMP:100%PL
WIDTH:57"
WEIGHT:114GSM </t>
  </si>
  <si>
    <t xml:space="preserve">ART.EBT170014
COMP:100%PL
WIDTH:57"
WEIGHT:135GSM </t>
  </si>
  <si>
    <t xml:space="preserve">ART.EBT170015
COMP:100%VI
WIDTH:55"
WEIGHT:156GSM </t>
  </si>
  <si>
    <t xml:space="preserve">ART.EBT170016
COMP:100%PL
WIDTH:55"
WEIGHT:175GSM </t>
  </si>
  <si>
    <t xml:space="preserve">ART.EBT170017
COMP:100%VI
WIDTH:53"
WEIGHT:115GSM </t>
  </si>
  <si>
    <t xml:space="preserve">ART.EBT170018
COMP:95%PL5%EA
WIDTH:57"
WEIGHT:145GSM </t>
  </si>
  <si>
    <t xml:space="preserve">EBT170018-PRINT </t>
  </si>
  <si>
    <t xml:space="preserve">ART.EBT170018-PRINT 
COMP:95%PL5%EA
WIDTH:57"
WEIGHT:145GSM </t>
  </si>
  <si>
    <t>EBT170019</t>
  </si>
  <si>
    <t>ART.EBT170019
COMP:100%PA
WIDTH:128CM 
WEIGHT:</t>
  </si>
  <si>
    <t>ART.EBT170020
COMP:100%PL
WIDTH:128CM 
WEIGHT:</t>
  </si>
  <si>
    <t>ART.EBT170021
COMP:100%PL
WIDTH:128CM 
WEIGHT:</t>
  </si>
  <si>
    <t>EBT170022</t>
  </si>
  <si>
    <t>EBT170023</t>
  </si>
  <si>
    <t xml:space="preserve">ART.EBT170023
COMP:100%PL
WIDTH:50"
WEIGHT:175GSM </t>
  </si>
  <si>
    <t>ART.EBT150301
COMP:40%WO/60%PL
WIDTH:148CM
WEIGHT:475G/M2</t>
    <phoneticPr fontId="51" type="noConversion"/>
  </si>
  <si>
    <t>ART.EBT260806
COMP:100%PL
WIDTH:145CM
WEIGHT:140GSM</t>
    <phoneticPr fontId="51" type="noConversion"/>
  </si>
  <si>
    <t>ART.EBT260544
COMP:72%PL 25%CO 3%EA
WIDTH:132CM
WEIGHT:305GSM</t>
    <phoneticPr fontId="51" type="noConversion"/>
  </si>
  <si>
    <t>ART.EBT260661
COMP:65%VI 35%RAYON
WIDTH:142CM
WEIGHT:125GSM</t>
    <phoneticPr fontId="51" type="noConversion"/>
  </si>
  <si>
    <t>EBT170024</t>
  </si>
  <si>
    <t>EBT170025</t>
  </si>
  <si>
    <t>EBT170026</t>
  </si>
  <si>
    <t>EBT170027</t>
  </si>
  <si>
    <t>ART.EBT170024
COMP:65%PA 35%CO G:95%PL 5%EA
WIDTH:134CM
WEIGHT:390G/M2</t>
  </si>
  <si>
    <t>ART.EBT170025
COMP:F: 100%PL G: 100%PL
WIDTH:136CM
WEIGHT:300G/M2</t>
  </si>
  <si>
    <t>ART.EBT170026
COMP:F: 67%PA 33%CO, G: 100%PL
WIDTH:132CM
WEIGHT:295G/M2</t>
  </si>
  <si>
    <t>ART.EBT170027
COMP:F:50%PA 40%CO 10%VI G: 100%PL
WIDTH:136CM
WEIGHT:260G/M2</t>
  </si>
  <si>
    <t>ART.EBT170022
COMP:92%PA 8%EA
WIDTH:135CM
WEIGHT:220G/M2</t>
    <phoneticPr fontId="51" type="noConversion"/>
  </si>
  <si>
    <t>ART.EBT170022
COMP:92%PA 8%EA
WIDTH:135CM
WEIGHT:220G/M2</t>
    <phoneticPr fontId="51" type="noConversion"/>
  </si>
  <si>
    <t>EBT170028</t>
  </si>
  <si>
    <t>EBT170029</t>
  </si>
  <si>
    <t>EBT170030</t>
  </si>
  <si>
    <t>EBT170031</t>
  </si>
  <si>
    <t>EBT170032</t>
  </si>
  <si>
    <t>EBT170033</t>
  </si>
  <si>
    <t>EBT170034</t>
  </si>
  <si>
    <t>EBT170035</t>
  </si>
  <si>
    <t>EBT170036</t>
  </si>
  <si>
    <t>ART.EBT170028
COMP:100%VI
WIDTH:134CM
WEIGHT:95G/M2</t>
  </si>
  <si>
    <t>ART.EBT170029
COMP:100%VI
WIDTH:142CM
WEIGHT:160G/M2</t>
  </si>
  <si>
    <t>ART.EBT170030
COMP:100%PL
WIDTH:142CM
WEIGHT:165G/M2</t>
  </si>
  <si>
    <t>ART.EBT170031
COMP:53%CO 43%PA 4%EA
WIDTH:142CM
WEIGHT:250G/M2</t>
  </si>
  <si>
    <t>ART.EBT170032
COMP:71%CO 24%PA 5%EA
WIDTH:142CM
WEIGHT:206G/M2</t>
  </si>
  <si>
    <t>ART.EBT170033
COMP:79%CO 17%PA 4%EA
WIDTH:135CM
WEIGHT:195G/M2</t>
  </si>
  <si>
    <t>ART.EBT170034
COMP:62%TENCEL 38%CO
WIDTH:144CM
WEIGHT:207G/M2</t>
  </si>
  <si>
    <t>ART.EBT170035
COMP:97%VI 3%EA
WIDTH:133CM
WEIGHT:198G/M2</t>
  </si>
  <si>
    <t>ART.EBT170036
COMP:63%CO 32%PA 5%EA
WIDTH:134CM
WEIGHT:195G/M2</t>
  </si>
  <si>
    <t>ART.EBT161301
COMP:F:100%PL G:100%PA
WIDTH:125CM
WEIGHT:</t>
    <phoneticPr fontId="51" type="noConversion"/>
  </si>
  <si>
    <t>EBT170037</t>
  </si>
  <si>
    <t>EBT170038</t>
  </si>
  <si>
    <t>EBT170039</t>
  </si>
  <si>
    <t>EBT170040</t>
  </si>
  <si>
    <t>EBT170041</t>
  </si>
  <si>
    <t>ART.EBT170037
COMP:100%CO
WIDTH:130CM
WEIGHT:153G/M2</t>
  </si>
  <si>
    <t>ART.EBT170038
COMP:100%CO
WIDTH:130CM
WEIGHT:130G/M2</t>
  </si>
  <si>
    <t>ART.EBT170039
COMP:100%CO
WIDTH:130CM
WEIGHT:122G/M2</t>
  </si>
  <si>
    <t>ART.EBT170040
COMP:100%CO
WIDTH:130CM
WEIGHT:100G/M2</t>
  </si>
  <si>
    <t>ART.EBT170041
COMP:100%CO
WIDTH:130CM
WEIGHT:105G/M2</t>
  </si>
  <si>
    <t xml:space="preserve">ART.EBT151207
COMP:100%CO
WIDTH:122CM
WEIGHT:
</t>
    <phoneticPr fontId="51" type="noConversion"/>
  </si>
  <si>
    <t>ART.EBT151207FOIL
COMP:100%CO
WIDTH:125CM
WEIGHT:</t>
    <phoneticPr fontId="51" type="noConversion"/>
  </si>
  <si>
    <t>EBT170042</t>
  </si>
  <si>
    <t>EBT170043</t>
  </si>
  <si>
    <t>ART.EBT170043
COMP:FACE: 100%PL BACK: 95%PL 5%EA
WIDTH:140CM
WEIGHT:560G/M2</t>
  </si>
  <si>
    <t>EBT170044</t>
  </si>
  <si>
    <t>ART.EBT170044
COMP:63%PL 25%PA 8%VI 4%EA
WIDTH:148CM
WEIGHT:255G/M2</t>
  </si>
  <si>
    <t>EBT170005B</t>
  </si>
  <si>
    <t>EBT170006B</t>
  </si>
  <si>
    <t>EBT170045</t>
  </si>
  <si>
    <t>ART.EBT170045
COMP:F: 65%PA  35%VI G: 100%PL 
WIDTH:135CM
WEIGHT:</t>
  </si>
  <si>
    <t>ART.EBT170005B
COMP:F:78%PL 20%LUREX 2%EA G:96%PL 4%EA
WIDTH:140CM
WEIGHT:510G/M2</t>
    <phoneticPr fontId="51" type="noConversion"/>
  </si>
  <si>
    <t>ART.EBT170006B
COMP:F:78%PL 20%LUREX 2%EA G:96%PL 4%EA
WIDTH:140CM
WEIGHT:510G/M2</t>
    <phoneticPr fontId="51" type="noConversion"/>
  </si>
  <si>
    <t>ART.EBT160229-FOIL
COMP:100%CO
WIDTH:130CM
WEIGHT:G:70G/M2</t>
  </si>
  <si>
    <t>EBT170046</t>
  </si>
  <si>
    <t>EBT170047</t>
  </si>
  <si>
    <t>EBT170048</t>
  </si>
  <si>
    <t>EBT170049</t>
  </si>
  <si>
    <t>EBT170050</t>
  </si>
  <si>
    <t>ART.EBT170046
COMP:100%VI
WIDTH:130CM 
WEIGHT:165G/M2</t>
  </si>
  <si>
    <t>EBT260189-360</t>
  </si>
  <si>
    <t>ART.EBT260189-360
COMP:30% WOOL 70%PL
WIDTH:143cm
WEIGHT:360G/M2</t>
  </si>
  <si>
    <t>ART.EBT250002YD 
COMP:63%PL 33%VI 4%EA 
WIDTH:145CM
WEIGHT:225G/M2</t>
    <phoneticPr fontId="51" type="noConversion"/>
  </si>
  <si>
    <t>EBT150870</t>
    <phoneticPr fontId="51" type="noConversion"/>
  </si>
  <si>
    <t>ART.EBT150870
COMP:95%PL 5%EA
WIDTH:140CM
WEIGHT:300G/M2</t>
    <phoneticPr fontId="51" type="noConversion"/>
  </si>
  <si>
    <t>EBT170054</t>
  </si>
  <si>
    <t>ART.EBT170054
COMP:95%PL 5%EA
WIDTH:142CM
WEIGHT:290G/M2</t>
  </si>
  <si>
    <t>EBT260545</t>
  </si>
  <si>
    <t>EBT260546</t>
  </si>
  <si>
    <t>ART.EBT260545
COMP:72%PL 25%CO 3%EA
WIDTH:132CM
WEIGHT:314GSM</t>
  </si>
  <si>
    <t>ART.EBT260546
COMP:72%PL 25%CO 3%EA
WIDTH:132CM
WEIGHT:308GSM</t>
  </si>
  <si>
    <t>ART.EBT250489
COMP:64%PL 33%VI 3%EA
WIDTH:147CM
WEIGHT:256G/M2</t>
    <phoneticPr fontId="51" type="noConversion"/>
  </si>
  <si>
    <t>EBT270003</t>
  </si>
  <si>
    <t>EBT350004</t>
  </si>
  <si>
    <t>EBT270004</t>
  </si>
  <si>
    <t>EBT270005</t>
  </si>
  <si>
    <t>ART.EBT350004
COMP:48%PL 43%CO 6%PA 3%EA
WIDTH:140CM
WEIGHT:230G/M2</t>
  </si>
  <si>
    <t>EBT350007</t>
  </si>
  <si>
    <t>ART.EBT350007
COMP:48%PL 43%CO 6%PA 3%EA
WIDTH:140CM
WEIGHT:230G/M2</t>
  </si>
  <si>
    <t>ART.EBT260736
COMP:68%PL 18%VI 10%WO 4%EA
WIDTH:144CM
WEIGHT:222GSM</t>
    <phoneticPr fontId="51" type="noConversion"/>
  </si>
  <si>
    <t>ART.EBT260737
COMP:70%PL 16%VI 10%WO 4%EA
WIDTH:144CM
WEIGHT:213GSM</t>
    <phoneticPr fontId="51" type="noConversion"/>
  </si>
  <si>
    <t>ART.EBT260762
COMP:68%PL 18%VI 10%WO 4%EA
WIDTH:144CM
WEIGHT:222GSM</t>
    <phoneticPr fontId="51" type="noConversion"/>
  </si>
  <si>
    <t>ART.EBT260763
COMP:68%PL 18%VI 10%WO 4%EA
WIDTH:144CM
WEIGHT:222GSM</t>
    <phoneticPr fontId="51" type="noConversion"/>
  </si>
  <si>
    <t>ART.EBT260764
COMP:68%PL 18%VI 10%WO 4%EA
WIDTH:144CM
WEIGHT:222GSM</t>
    <phoneticPr fontId="51" type="noConversion"/>
  </si>
  <si>
    <t>ART.EBT260765
COMP:68%PL 18%VI 10%WO 4%EA
WIDTH:144CM
WEIGHT:222GSM</t>
    <phoneticPr fontId="51" type="noConversion"/>
  </si>
  <si>
    <t>ART.EBT260766
COMP:68%PL 18%VI 10%WO 4%EA
WIDTH:144CM
WEIGHT:222-230GSM</t>
    <phoneticPr fontId="51" type="noConversion"/>
  </si>
  <si>
    <t>ART.EBT260767
COMP:68%PL 18%VI 10%WO 4%EA
WIDTH:144CM
WEIGHT:222-230GSM</t>
    <phoneticPr fontId="51" type="noConversion"/>
  </si>
  <si>
    <t>ART.EBT260768
COMP:68%PL 18%VI 10%WO 4%EA
WIDTH:144CM
WEIGHT:222-230GSM</t>
    <phoneticPr fontId="51" type="noConversion"/>
  </si>
  <si>
    <t>ART.EBT260769
COMP:68%PL 18%VI 10%WO 4%EA
WIDTH:144CM
WEIGHT:222-230GSM</t>
    <phoneticPr fontId="51" type="noConversion"/>
  </si>
  <si>
    <t>ART.EBT260770
COMP:68%PL 18%VI 10%WO 4%EA
WIDTH:144CM
WEIGHT:220-230GSM</t>
    <phoneticPr fontId="51" type="noConversion"/>
  </si>
  <si>
    <t>ART.EBT260771
COMP:70%PL 16%VI 10%WO 4%EA
WIDTH:144CM
WEIGHT:213-220GSM</t>
    <phoneticPr fontId="51" type="noConversion"/>
  </si>
  <si>
    <t>ART.EBT260772
COMP:70%PL 16%VI 10%WO 4%EA
WIDTH:144CM
WEIGHT:213-220GSM</t>
    <phoneticPr fontId="51" type="noConversion"/>
  </si>
  <si>
    <t>ART.EBT260773
COMP:70%PL 16%VI 10%WO 4%EA
WIDTH:144CM
WEIGHT:213-220GSM</t>
    <phoneticPr fontId="51" type="noConversion"/>
  </si>
  <si>
    <t>ART.EBT260774
COMP:70%PL 16%VI 10%WO 4%EA
WIDTH:144CM
WEIGHT:213-220GSM</t>
    <phoneticPr fontId="51" type="noConversion"/>
  </si>
  <si>
    <t>ART.EBT260775
COMP:70%PL 16%VI 10%WO 4%EA
WIDTH:144CM
WEIGHT:213-220GSM</t>
    <phoneticPr fontId="51" type="noConversion"/>
  </si>
  <si>
    <t>ART.EBT260776
COMP:70%PL 16%VI 10%WO 4%EA
WIDTH:144CM
WEIGHT:213GSM</t>
    <phoneticPr fontId="51" type="noConversion"/>
  </si>
  <si>
    <t>ART.EBT260798
COMP:97%CO 3%EA
WIDTH:137CM
WEIGHT:156GSM</t>
    <phoneticPr fontId="51" type="noConversion"/>
  </si>
  <si>
    <t>ART.EBT140098
COMP:15%WO 85%OMERS
WIDTH:57/58"
WEIGHT:375-385G/M2</t>
    <phoneticPr fontId="51" type="noConversion"/>
  </si>
  <si>
    <t>ART.EBT160067
COMP:43%PL 54%CO 3%EA
WIDTH:139CM
WEIGHT:245G/M2</t>
    <phoneticPr fontId="51" type="noConversion"/>
  </si>
  <si>
    <t>ART.EBT170050
COMP:100%VI
WIDTH:130CM 
WEIGHT:165G/M2</t>
    <phoneticPr fontId="51" type="noConversion"/>
  </si>
  <si>
    <t>ART.EBT170047
COMP:100%VI
WIDTH:130CM 
WEIGHT:165G/M2</t>
    <phoneticPr fontId="51" type="noConversion"/>
  </si>
  <si>
    <t>ART.EBT170048
COMP:100%VI
WIDTH:130CM 
WEIGHT:165G/M2</t>
    <phoneticPr fontId="51" type="noConversion"/>
  </si>
  <si>
    <t>ART.EBT170049
COMP:100%VI
WIDTH:130CM 
WEIGHT:165G/M2</t>
    <phoneticPr fontId="51" type="noConversion"/>
  </si>
  <si>
    <t>ART.EBT260731
COMP:97%CO 3%EA 
WIDTH:140cm
WEIGHT:210GSM</t>
    <phoneticPr fontId="51" type="noConversion"/>
  </si>
  <si>
    <t>ART.EBT260717
COMP:97%CO 3%EA
WIDTH:120CM
WEIGHT:120GSM</t>
    <phoneticPr fontId="51" type="noConversion"/>
  </si>
  <si>
    <t>EBT260638</t>
  </si>
  <si>
    <t>ART.EBT260638
COMP:91%PL 9%EA
WIDTH:140CM
WEIGHT:245GSM</t>
  </si>
  <si>
    <t>EBT260633</t>
  </si>
  <si>
    <t>EBT260636</t>
  </si>
  <si>
    <t>EBT260637</t>
  </si>
  <si>
    <t>ART.EBT260633
COMP:79%VI 13%PL 8%PA
WIDTH:152CM
WEIGHT:310GSM</t>
  </si>
  <si>
    <t>EBT260635</t>
  </si>
  <si>
    <t>ART.EBT260635
COMP:100%PL
WIDTH:125CM
WEIGHT:170GSM</t>
  </si>
  <si>
    <t>ART.EBT260636
COMP:100% PL
WIDTH:114CM
WEIGHT:153GSM</t>
  </si>
  <si>
    <t>ART.EBT260637
COMP:F：100%CO G：100%PL
WIDTH:135CM
WEIGHT:</t>
  </si>
  <si>
    <t>ART.EBT260626
COMP:97%CO 3%EA
WIDTH:56/57"
WEIGHT:135G/M2</t>
    <phoneticPr fontId="51" type="noConversion"/>
  </si>
  <si>
    <t>EBT260629</t>
  </si>
  <si>
    <t>ART.EBT260629
COMP:79%VI 13%PL 8%PA
WIDTH:151CM
WEIGHT:325GSM</t>
  </si>
  <si>
    <t>ART.EBT260592
COMP:10%LUREX 25%PA 65%VI 
WIDTH:140CM
WEIGHT:</t>
    <phoneticPr fontId="51" type="noConversion"/>
  </si>
  <si>
    <t>ART.EBT260593
COMP:10%LUREX 25%PA 65%VI 
WIDTH:140CM
WEIGHT:</t>
    <phoneticPr fontId="51" type="noConversion"/>
  </si>
  <si>
    <t>ART.EBT260595
COMP:15%PA 10%LUREX 75%VI
WIDTH:140CM
WEIGHT:</t>
    <phoneticPr fontId="51" type="noConversion"/>
  </si>
  <si>
    <t>ART.EBT260596
COMP:10%LUREX 25%PA 65%VI 
WIDTH:140CM
WEIGHT:</t>
    <phoneticPr fontId="51" type="noConversion"/>
  </si>
  <si>
    <t>ART.EBT260556
COMP:93%PA 7%EA
WIDTH:145CM
WEIGHT:102G/M2</t>
    <phoneticPr fontId="51" type="noConversion"/>
  </si>
  <si>
    <t>ART.EBT260557
COMP:95%PA 5%EA
WIDTH:145CM
WEIGHT:120G/M2</t>
    <phoneticPr fontId="51" type="noConversion"/>
  </si>
  <si>
    <t>ART.EBT260540
COMP:63%AC 34%PA 3%EA
WIDTH:49/50"
WEIGHT:237GSM</t>
    <phoneticPr fontId="51" type="noConversion"/>
  </si>
  <si>
    <t>ART.EBT260500
COMP:65%PL  32%VI  3%EA
WIDTH:142CM
WEIGHT:280GSM</t>
    <phoneticPr fontId="51" type="noConversion"/>
  </si>
  <si>
    <t>ART.EBT260436
COMP:25%PA 75% VI
WIDTH:135CM
WEIGHT:156G/M2</t>
    <phoneticPr fontId="51" type="noConversion"/>
  </si>
  <si>
    <t>ART.EBT260426
COMP:36% WO 58%PC 6%PA
WIDTH:145CM
WEIGHT:460G/M2</t>
    <phoneticPr fontId="51" type="noConversion"/>
  </si>
  <si>
    <t>ART.EBT260427
COMP:36% WO 58%PC 6%PA
WIDTH:145CM
WEIGHT:460G/M2</t>
    <phoneticPr fontId="51" type="noConversion"/>
  </si>
  <si>
    <t>ART.EBT260428
COMP:36% WO 58%PC 6%PA 
WIDTH:145CM
WEIGHT:460G/M2</t>
    <phoneticPr fontId="51" type="noConversion"/>
  </si>
  <si>
    <t>ART.EBT260429
COMP:36% WO 58%PC 6%PA 
WIDTH:145CM
WEIGHT:460G/M2</t>
    <phoneticPr fontId="51" type="noConversion"/>
  </si>
  <si>
    <t>ART.EBT260430
COMP:36% WO 58%PC 6%PA 
WIDTH:145CM
WEIGHT:460G/M2</t>
    <phoneticPr fontId="51" type="noConversion"/>
  </si>
  <si>
    <t>ART.EBT260431
COMP:36% WO 58%PC 6%PA
WIDTH:145CM
WEIGHT:460G/M2</t>
    <phoneticPr fontId="51" type="noConversion"/>
  </si>
  <si>
    <t>ART.EBT260432
COMP:36% WO 58%PC 6%PA
WIDTH:145CM
WEIGHT:460G/M2</t>
    <phoneticPr fontId="51" type="noConversion"/>
  </si>
  <si>
    <t>EBT350001</t>
  </si>
  <si>
    <t>EBT350002</t>
  </si>
  <si>
    <t>EBT350003</t>
  </si>
  <si>
    <t>EBT350005</t>
  </si>
  <si>
    <t>EBT350006</t>
  </si>
  <si>
    <t>EBT350008</t>
  </si>
  <si>
    <t>EBT260720-1</t>
  </si>
  <si>
    <t>ART.EBT350001
COMP:48%PL 43%CO 6%PA 3%EA
WIDTH:140CM
WEIGHT:230G/M2</t>
  </si>
  <si>
    <t>ART.EBT350002
COMP:48%PL 43%CO 6%PA 3%EA
WIDTH:140CM
WEIGHT:230G/M2</t>
  </si>
  <si>
    <t>ART.EBT350003
COMP:48%PL 43%CO 6%PA 3%EA
WIDTH:140CM
WEIGHT:230G/M2</t>
  </si>
  <si>
    <t>ART.EBT350005
COMP:48%PL 43%CO 6%PA 3%EA
WIDTH:140CM
WEIGHT:230G/M2</t>
  </si>
  <si>
    <t>ART.EBT350006
COMP:48%PL 43%CO 6%PA 3%EA
WIDTH:140CM
WEIGHT:230G/M2</t>
  </si>
  <si>
    <t>ART.EBT350008
COMP:48%PL 43%CO 6%PA 3%EA
WIDTH:140CM
WEIGHT:230G/M2</t>
  </si>
  <si>
    <t>ART.EBT260720-1
COMP:65%VI 21%SE 14%LUREX
WIDTH:133CM
WEIGHT:</t>
  </si>
  <si>
    <t>EBT270006</t>
  </si>
  <si>
    <t>EBT270007</t>
  </si>
  <si>
    <t>EBT270008</t>
  </si>
  <si>
    <t>EBT270009</t>
  </si>
  <si>
    <t>EBT270010</t>
  </si>
  <si>
    <t>EBT270011</t>
  </si>
  <si>
    <t>EBT270012</t>
  </si>
  <si>
    <t>EBT270013</t>
  </si>
  <si>
    <t>ART.EBT270006
COMP:100%LI
WIDTH:135CM
WEIGHT:172GSM</t>
  </si>
  <si>
    <t>ART.EBT270007
COMP:94%CO 6%EA 
WIDTH:137CM
WEIGHT:290GSM</t>
  </si>
  <si>
    <t xml:space="preserve">ART.EBT270008
COMP:94%CO 6%EA 
WIDTH:127CM
WEIGHT:250GSM </t>
  </si>
  <si>
    <t>ART.EBT270009
COMP:65%CO 26%PL 7%LUREX 2%EA
WIDTH:173CM
WEIGHT:290GSM</t>
  </si>
  <si>
    <t>ART.EBT270010
COMP:65%CO 26%PL 7%LUREX 2%EA
WIDTH:173CM
WEIGHT:274GSM</t>
  </si>
  <si>
    <t>ART.EBT270011
COMP:65%CO 26%PL 7%LUREX 2%EA
WIDTH:173CM
WEIGHT:270GSM</t>
  </si>
  <si>
    <t>ART.EBT270012
COMP:65%CO 26%PL 7%LUREX 2%EA
WIDTH:173CM
WEIGHT:242GSM</t>
  </si>
  <si>
    <t>ART.EBT270013
COMP:13%CO 37%AC 49%PL 1%EA
WIDTH:136CM
WEIGHT:374GSM</t>
  </si>
  <si>
    <t>EBT170056</t>
  </si>
  <si>
    <t>EBT170055</t>
  </si>
  <si>
    <t>ART.EBT170056
COMP:97%PL  3%EA
WIDTH:140CM
WEIGHT:500G/M2</t>
  </si>
  <si>
    <t>EBT150493-280DC</t>
  </si>
  <si>
    <t>ART.EBT150493-280DC
COMP:Shell:95%PL;5%EA
G:100%PL
WIDTH:144CM
WEIGHT:310G/M2</t>
  </si>
  <si>
    <t>ART.EBT160864
COMP:92%PL 8%EA
WIDTH:127CM
WEIGHT:</t>
    <phoneticPr fontId="51" type="noConversion"/>
  </si>
  <si>
    <t>EBT170061</t>
  </si>
  <si>
    <t>EBT170062</t>
  </si>
  <si>
    <t>ART.EBT170061
COMP:65%CO  33%PA 2%VI
WIDTH:145CM
WEIGHT:</t>
  </si>
  <si>
    <t>ART.EBT170062
COMP:65%CO  33%PA 2%VI
WIDTH:145CM
WEIGHT:</t>
  </si>
  <si>
    <t>EBT161038B</t>
  </si>
  <si>
    <t>EBT170055B</t>
  </si>
  <si>
    <t>ART.EBT260490
COMP:60% PES 28% VIS 9% WO 2%EA
WIDTH:145CM
WEIGHT:230G/M2</t>
    <phoneticPr fontId="51" type="noConversion"/>
  </si>
  <si>
    <t xml:space="preserve">EBT170067 </t>
  </si>
  <si>
    <t>ART.EBT170067 
COMP:100%PL
WIDTH:147CM
WEIGHT:300GSM</t>
  </si>
  <si>
    <t>EBT170069</t>
  </si>
  <si>
    <t>ART.EBT170069
COMP:100%PL
WIDTH:140CM
WEIGHT:200GSM</t>
  </si>
  <si>
    <t>EBT270014</t>
  </si>
  <si>
    <t>EBT270015</t>
  </si>
  <si>
    <t>EBT270016</t>
  </si>
  <si>
    <t>EBT270017</t>
  </si>
  <si>
    <t>EBT270018</t>
  </si>
  <si>
    <t>EBT270019</t>
  </si>
  <si>
    <t>EBT270020</t>
  </si>
  <si>
    <t>EBT270021</t>
  </si>
  <si>
    <t>EBT270022</t>
  </si>
  <si>
    <t>EBT270023</t>
  </si>
  <si>
    <t>EBT270024</t>
  </si>
  <si>
    <t>EBT270025</t>
  </si>
  <si>
    <t>EBT270026</t>
  </si>
  <si>
    <t>EBT270027</t>
  </si>
  <si>
    <t>EBT270028</t>
  </si>
  <si>
    <t>EBT270029</t>
  </si>
  <si>
    <t>EBT270030</t>
  </si>
  <si>
    <t>EBT270031</t>
  </si>
  <si>
    <t>EBT270032</t>
  </si>
  <si>
    <t>EBT270033</t>
  </si>
  <si>
    <t>EBT270034</t>
  </si>
  <si>
    <t>EBT270035</t>
  </si>
  <si>
    <t>EBT270036</t>
  </si>
  <si>
    <t>EBT270037</t>
  </si>
  <si>
    <t>EBT270038</t>
  </si>
  <si>
    <t>EBT270039</t>
  </si>
  <si>
    <t>EBT270040</t>
  </si>
  <si>
    <t>EBT270041</t>
  </si>
  <si>
    <t>EBT270042</t>
  </si>
  <si>
    <t>EBT270043</t>
  </si>
  <si>
    <t>EBT270044</t>
  </si>
  <si>
    <t>EBT270046</t>
  </si>
  <si>
    <t>EBT270047</t>
  </si>
  <si>
    <t>EBT270048</t>
  </si>
  <si>
    <t>EBT270049</t>
  </si>
  <si>
    <t>EBT270050</t>
  </si>
  <si>
    <t>EBT270051</t>
  </si>
  <si>
    <t>EBT270052</t>
  </si>
  <si>
    <t>EBT270053</t>
  </si>
  <si>
    <t>EBT270054</t>
  </si>
  <si>
    <t>EBT270055</t>
  </si>
  <si>
    <t>EBT270056</t>
  </si>
  <si>
    <t>EBT270057</t>
  </si>
  <si>
    <t>EBT270058</t>
  </si>
  <si>
    <t>EBT270059</t>
  </si>
  <si>
    <t>EBT270060</t>
  </si>
  <si>
    <t>EBT270061</t>
  </si>
  <si>
    <t>EBT270062</t>
  </si>
  <si>
    <t>EBT270063</t>
  </si>
  <si>
    <t>EBT270064</t>
  </si>
  <si>
    <t>EBT270065</t>
  </si>
  <si>
    <t>EBT270066</t>
  </si>
  <si>
    <t>EBT270068</t>
  </si>
  <si>
    <t>EBT270069</t>
  </si>
  <si>
    <t>EBT270070</t>
  </si>
  <si>
    <t>EBT270071</t>
  </si>
  <si>
    <t>EBT270072</t>
  </si>
  <si>
    <t>EBT270073</t>
  </si>
  <si>
    <t>EBT270074</t>
  </si>
  <si>
    <t>EBT270075</t>
  </si>
  <si>
    <t>EBT270076</t>
  </si>
  <si>
    <t>EBT270077</t>
  </si>
  <si>
    <t>EBT270078</t>
  </si>
  <si>
    <t>EBT270079</t>
  </si>
  <si>
    <t>EBT270080</t>
  </si>
  <si>
    <t>ART.EBT270014
COMP:100%PL
WIDTH:150cm
WEIGHT:104G/M2</t>
  </si>
  <si>
    <t>ART.EBT270015
COMP:100%PL
WIDTH:150cm
WEIGHT:100G/M2</t>
  </si>
  <si>
    <t>ART.EBT270016
COMP:100%PL
WIDTH:150cm
WEIGHT:90G/M2</t>
  </si>
  <si>
    <t>ART.EBT270017
COMP:100%PL
WIDTH:144CM
WEIGHT:95GSM</t>
  </si>
  <si>
    <t>ART.EBT270018
COMP:100%OT
WIDTH:145CM
WEIGHT:400GSM</t>
  </si>
  <si>
    <t>ART.EBT270019
COMP:100% OT 
WIDTH:145CM
WEIGHT:400GSM</t>
  </si>
  <si>
    <t>ART.EBT270020
COMP:100% OT 
WIDTH:145CM
WEIGHT:400GSM</t>
  </si>
  <si>
    <t>ART.EBT270021
COMP:40%PA 30%CO 30%VI
WIDTH:145CM
WEIGHT:170GSM</t>
  </si>
  <si>
    <t>ART.EBT270022
COMP:25%PA 75%VI 
WIDTH:137CM
WEIGHT:122GSM</t>
  </si>
  <si>
    <t>ART.EBT270023
COMP:25%PA 75%VI 
WIDTH:137CM
WEIGHT:120GSM</t>
  </si>
  <si>
    <t>ART.EBT270024
COMP:25%PA 75%VI 
WIDTH:137CM
WEIGHT:98GSM</t>
  </si>
  <si>
    <t>ART.EBT270025
COMP:98%CO 2%PL 
WIDTH:144CM
WEIGHT:250GSM</t>
  </si>
  <si>
    <t>ART.EBT270026
COMP:35%SE 65%VI  
WIDTH:110CM
WEIGHT:</t>
  </si>
  <si>
    <t>ART.EBT270027
COMP:35%SE 65%VI 
WIDTH:110CM
WEIGHT:</t>
  </si>
  <si>
    <t>ART.EBT270028
COMP:35%SE 65%VI  
WIDTH:110CM
WEIGHT:</t>
  </si>
  <si>
    <t>ART.EBT270029
COMP:35%SE 65%VI  
WIDTH:110CM
WEIGHT:</t>
  </si>
  <si>
    <t>ART.EBT270030
COMP:45%SE 55%VI 
WIDTH:136CM
WEIGHT:</t>
  </si>
  <si>
    <t>ART.EBT270031
COMP:45%SE 55%VI 
WIDTH:136CM
WEIGHT:</t>
  </si>
  <si>
    <t>ART.EBT270032
COMP:45%SE 55%VI 
WIDTH:136CM
WEIGHT:</t>
  </si>
  <si>
    <t>ART.EBT270033
COMP:45%SE 55%VI 
WIDTH:136CM
WEIGHT:</t>
  </si>
  <si>
    <t>ART.EBT270034
COMP:68%VI 27%NY 5%EA
WIDTH:150CM
WEIGHT:360gsm</t>
  </si>
  <si>
    <t>ART.EBT270035
COMP:97%CO 3%EA
WIDTH:144CM
WEIGHT:228GSM</t>
  </si>
  <si>
    <t>ART.EBT270036
COMP:30%PA 65%VI 5%EA
WIDTH:150CM
WEIGHT:370gsm</t>
  </si>
  <si>
    <t>ART.EBT270037
COMP:35%PA 65%VI 
WIDTH:136CM
WEIGHT:</t>
  </si>
  <si>
    <t>ART.EBT270038
COMP:35%PA 65%VI 
WIDTH:136CM
WEIGHT:</t>
  </si>
  <si>
    <t>ART.EBT270039
COMP:77%CO 20%PA 3% EA 
WIDTH:122CM
WEIGHT:187GSM(5.52OZ/SY)</t>
  </si>
  <si>
    <t>ART.EBT270040
COMP:63%VI 34%PA 3%EA 
WIDTH:142CM
WEIGHT:150GSM</t>
  </si>
  <si>
    <t>ART.EBT270041
COMP:69%CO 27%PA 4%EA
WIDTH:144CM
WEIGHT:160GSM</t>
  </si>
  <si>
    <t>ART.EBT270042
COMP:35%PA 62%VI 3%EA
WIDTH:144CM
WEIGHT:160GSM</t>
  </si>
  <si>
    <t>ART.EBT270043
COMP:100%CO
WIDTH:144CM
WEIGHT:109GSM</t>
  </si>
  <si>
    <t>ART.EBT270044
COMP:100% CO 
WIDTH:57/58”
WEIGHT:100gsm</t>
  </si>
  <si>
    <t>ART.EBT270046
COMP:97% CO 3% EA
WIDTH:200g/m2
WEIGHT:57/58"</t>
  </si>
  <si>
    <t>ART.EBT270047
COMP:71.5%CO 27.5%LI 1%EA 
WIDTH:127CM
WEIGHT:213GSM</t>
  </si>
  <si>
    <t>ART.EBT270048
COMP:76%CO 24%LI 
WIDTH:138CM
WEIGHT:180GSM</t>
  </si>
  <si>
    <t>ART.EBT270049
COMP:71%CO 28%LI 1%EA
WIDTH:127CM
WEIGHT:210GSM</t>
  </si>
  <si>
    <t>ART.EBT270050
COMP:60%CO 40%LI
WIDTH:57/58"
WEIGHT:170G/M2</t>
  </si>
  <si>
    <t>ART.EBT270051
COMP:26%LI 28%CO 43%VI  3%EA
WIDTH:120CM
WEIGHT:185GSM</t>
  </si>
  <si>
    <t>ART.EBT270052
COMP:81%PL 17%VI 2%EA
WIDTH:57/58"
WEIGHT:260GSM</t>
  </si>
  <si>
    <t>ART.EBT270053
COMP:66%PL 32%VI 2%EA
WIDTH:57/58"
WEIGHT:240GSM</t>
  </si>
  <si>
    <t>ART.EBT270054
COMP:55%LI 45%VI
WIDTH:57"
WEIGHT:176GSM</t>
  </si>
  <si>
    <t>ART.EBT270055
COMP:55%LI 45%VI
WIDTH:55/56"
WEIGHT:177GSM</t>
  </si>
  <si>
    <t>ART.EBT270056
COMP:55%LI 45%CO
WIDTH: 140CM,
WEIGHT:125G/M2</t>
  </si>
  <si>
    <t>ART.EBT270057
COMP:50%LI 50%VI
WIDTH:144CM
WEIGHT:125GSM</t>
  </si>
  <si>
    <t>ART.EBT270058
COMP:48%CO 44%LI 8%P
WIDTH:57/58"
WEIGHT:202g/m2</t>
  </si>
  <si>
    <t>ART.EBT270059
COMP:100%CO
WIDTH:145CM
WEIGHT:60GSM</t>
  </si>
  <si>
    <t>ART.EBT270060
COMP:64%PL  34%VI  2%EA
WIDTH:57/58''
WEIGHT:240GSM</t>
  </si>
  <si>
    <t>ART.EBT270061
COMP:70%PL 28%VI 2%EA
WIDTH:57/58"
WEIGHT:240GSM</t>
  </si>
  <si>
    <t>ART.EBT270062
COMP:63%PL 33%VI 4%EA
WIDTH:57/58"
WEIGHT:240GSM</t>
  </si>
  <si>
    <t>ART.EBT270063
COMP:66%PL 32%VI 2%EA
WIDTH:57/58"
WEIGHT:240GSM</t>
  </si>
  <si>
    <t>ART.EBT270064
COMP:65%PL 33%VI 2%EA
WIDTH:57/58"
WEIGHT:250G/M2</t>
  </si>
  <si>
    <t>ART.EBT270065
COMP:65%PL 33%VI 2%EA
WIDTH:57/58"
WEIGHT:233G/M2</t>
  </si>
  <si>
    <t>ART.EBT270066
COMP:50%PA 50%CO
WIDTH:145cm
WEIGHT:90GSM</t>
  </si>
  <si>
    <t>ART.EBT270068
COMP:63%PL 27%CO 5%MET 5%EA
WIDTH:140CM
WEIGHT:193GSM</t>
  </si>
  <si>
    <t>ART.EBT270069
COMP:100%CO 
WIDTH:57/58"
WEIGHT:118gsm</t>
  </si>
  <si>
    <t>ART.EBT270070
COMP:100%CO 
WIDTH:57/58"
WEIGHT:98GSM</t>
  </si>
  <si>
    <t>ART.EBT270071
COMP:100%CO 
WIDTH:57/58"
WEIGHT:109GSM</t>
  </si>
  <si>
    <t>ART.EBT270072
COMP:100%CO 
WIDTH:57/58"
WEIGHT:106GSM</t>
  </si>
  <si>
    <t>ART.EBT270073
COMP:100%CO 
WIDTH:57/58"
WEIGHT:113GSM</t>
  </si>
  <si>
    <t>ART.EBT270074
COMP:22%PL 67%PC 11%WO
WIDTH:58"
WEIGHT:255gsm</t>
  </si>
  <si>
    <t>ART.EBT270075
COMP:75%PC 17%PL 8%VI
WIDTH:58"
WEIGHT:335gsm</t>
  </si>
  <si>
    <t>ART.EBT270076
COMP:60%PL 40%CO
WIDTH:142CM
WEIGHT:170G/M2</t>
  </si>
  <si>
    <t>ART.EBT270077
COMP:100%CO
WIDTH:143CM
WEIGHT:103GSM</t>
  </si>
  <si>
    <t>ART.EBT270078
COMP:98%CO 2%EA 
WIDTH:137CM
WEIGHT:270G/M2</t>
  </si>
  <si>
    <t>ART.EBT270079
COMP:98%CO 2%EA 
WIDTH:53/54"
WEIGHT:206GSM</t>
  </si>
  <si>
    <t>ART.EBT270080
COMP:100%PL
WIDTH:56/57"
WEIGHT:230G/M2</t>
  </si>
  <si>
    <t>EBT170074</t>
  </si>
  <si>
    <t>EBT170075</t>
  </si>
  <si>
    <t>EBT170076</t>
  </si>
  <si>
    <t>EBT170077</t>
  </si>
  <si>
    <t>EBT170078</t>
  </si>
  <si>
    <t>EBT170079</t>
  </si>
  <si>
    <t>EBT170080</t>
  </si>
  <si>
    <t>EBT170081</t>
  </si>
  <si>
    <t>EBT170082</t>
  </si>
  <si>
    <t>ART.EBT170074
COMP:52%CO 45%PA 3%EA
WIDTH:144CM
WEIGHT:250G/M2</t>
  </si>
  <si>
    <t>ART.EBT170075
COMP:62%C0 34%PL 4%EA
WIDTH:144CM
WEIGHT:210G/M2</t>
  </si>
  <si>
    <t>ART.EBT170076
COMP:76%VI 21%PA 3%EA
WIDTH:144CM
WEIGHT:225G/M2</t>
  </si>
  <si>
    <t>ART.EBT170077
COMP:76%VI 21%PA 3%EA
WIDTH:142CM
WEIGHT:255G/M2</t>
  </si>
  <si>
    <t>ART.EBT170078
COMP:F:58%VI 42%PL G:90%L 10%EA
WIDTH:140CM
WEIGHT:387G/M2</t>
  </si>
  <si>
    <t>ART.EBT170079
COMP:F:95%VI 5%EA G:90%PL 10%EA
WIDTH:142CM
WEIGHT:465G/M2</t>
  </si>
  <si>
    <t>ART.EBT170080
COMP:F:88%PL 12%EA G:90%PL 10%EA
WIDTH:142CM
WEIGHT:350G/M2</t>
  </si>
  <si>
    <t>ART.EBT170081
COMP:F:70%PA 30%CO G:90%PL 10%EA
WIDTH:135CM
WEIGHT:460G/M2</t>
  </si>
  <si>
    <t>ART.EBT170082
COMP:F:95%PL 5%EA G:90%PL 10%EA
WIDTH:144CM
WEIGHT:475G/M2</t>
  </si>
  <si>
    <t>EBT170070</t>
  </si>
  <si>
    <t>EBT170071</t>
  </si>
  <si>
    <t>EBT170072</t>
  </si>
  <si>
    <t>EBT170073</t>
  </si>
  <si>
    <t>ART.EBT170070
COMP:100%PL
WIDTH:125CM
WEIGHT:</t>
  </si>
  <si>
    <t>ART.EBT170071
COMP:100%CO
WIDTH:140CM
WEIGHT:118G/M2</t>
  </si>
  <si>
    <t>ART.EBT170072
COMP:83%PL 12%VI 5%EA
WIDTH:140CM
WEIGHT:290G/M2</t>
  </si>
  <si>
    <t>ART.EBT170073
COMP:78%PL 18%VI 4%EA
WIDTH:140CM
WEIGHT:260G/M2</t>
  </si>
  <si>
    <t>EBT170083</t>
  </si>
  <si>
    <t>EBT170084</t>
  </si>
  <si>
    <t>EBT170085</t>
  </si>
  <si>
    <t>ART.EBT170083
COMP:74%PL 20%VI 6%EA
WIDTH:140CM
WEIGHT:270G/M2</t>
  </si>
  <si>
    <t>ART.EBT170084
COMP:72%PL 22%VI 6%EA
WIDTH:140CM
WEIGHT:275G/M2</t>
  </si>
  <si>
    <t>ART.EBT170085
COMP:77%PL 16%VI 7%EA
WIDTH:140CM
WEIGHT:295G/M2</t>
  </si>
  <si>
    <t>EBT170086</t>
  </si>
  <si>
    <t>EBT170087</t>
  </si>
  <si>
    <t>ART.EBT170086
COMP:50%PL 50%CO
WIDTH:128CM 
WEIGHT:</t>
  </si>
  <si>
    <t>ART.EBT170087
COMP:50%PL 50%CO
WIDTH:128CM 
WEIGHT:</t>
  </si>
  <si>
    <t>EBT170106</t>
  </si>
  <si>
    <t>ART.EBT170106
COMP:100%PL
WIDTH:125CM
WEIGHT:170G/M2</t>
  </si>
  <si>
    <t>EBT170091</t>
  </si>
  <si>
    <t>EBT170092</t>
  </si>
  <si>
    <t>EBT170092-print</t>
  </si>
  <si>
    <t>EBT170093</t>
  </si>
  <si>
    <t>EBT170094</t>
  </si>
  <si>
    <t>EBT170095</t>
  </si>
  <si>
    <t>EBT170096</t>
  </si>
  <si>
    <t>EBT170097</t>
  </si>
  <si>
    <t>EBT170098</t>
  </si>
  <si>
    <t>EBT170099</t>
  </si>
  <si>
    <t>EBT170100</t>
  </si>
  <si>
    <t>EBT170101</t>
  </si>
  <si>
    <t>EBT170102</t>
  </si>
  <si>
    <t>EBT170103</t>
  </si>
  <si>
    <t>EBT170104</t>
  </si>
  <si>
    <t>EBT170105</t>
  </si>
  <si>
    <t>ART.EBT170091
COMP:100%VI (56%VI;44%Rayon)
WIDTH:142CM
WEIGHT:174G/M2</t>
  </si>
  <si>
    <t>ART.EBT170092
COMP:100%VI
WIDTH:136CM 
WEIGHT:190G/M2</t>
  </si>
  <si>
    <t>ART.EBT170093
COMP:72%CO 14%VI 14%LI
WIDTH:134CM
WEIGHT:140G/M2</t>
  </si>
  <si>
    <t>ART.EBT170094
COMP:70%CO 30%LI
WIDTH:138CM
WEIGHT:120G/M2</t>
  </si>
  <si>
    <t>ART.EBT170095
COMP:22%SE 72%VI 6%PL
WIDTH:140CM
WEIGHT:106G/M2</t>
  </si>
  <si>
    <t>ART.EBT170096
COMP:12%SE 73%VI 15%PA
WIDTH:133CM
WEIGHT:116G/M2</t>
  </si>
  <si>
    <t>ART.EBT170097
COMP:75%VI 25%SE
WIDTH:137CM
WEIGHT:</t>
  </si>
  <si>
    <t>ART.EBT170098
COMP:72%VI 22%SE 6%PL
WIDTH:137CM
WEIGHT:</t>
  </si>
  <si>
    <t>ART.EBT170099
COMP:66%VI 24%SE 10%PL
WIDTH:137CM
WEIGHT:</t>
  </si>
  <si>
    <t>ART.EBT170100
COMP:73%VI 12%SE 15%PA
WIDTH:132CM
WEIGHT:</t>
  </si>
  <si>
    <t>ART.EBT170101
COMP:70%VI 30%SE
WIDTH:114CM
WEIGHT:</t>
  </si>
  <si>
    <t>ART.EBT170102
COMP:69%VI 26%PA 5%SE
WIDTH:137CM
WEIGHT:</t>
  </si>
  <si>
    <t>ART.EBT170103
COMP:67%VI 33%PL 
WIDTH:137CM
WEIGHT:</t>
  </si>
  <si>
    <t>ART.EBT170104
COMP:62%CO 34%PL  4%EA
WIDTH:140CM
WEIGHT:210G/M2</t>
  </si>
  <si>
    <t>EBT170090</t>
  </si>
  <si>
    <t>ART.EBT170090
COMP:86%PA 14%EA
WIDTH:140CM
WEIGHT:224G/M2</t>
  </si>
  <si>
    <t>EBT170129</t>
  </si>
  <si>
    <t>EBT170107</t>
  </si>
  <si>
    <t>EBT170108</t>
  </si>
  <si>
    <t>EBT170109</t>
  </si>
  <si>
    <t>EBT170110</t>
  </si>
  <si>
    <t>EBT170111</t>
  </si>
  <si>
    <t>EBT170112</t>
  </si>
  <si>
    <t>EBT170113</t>
  </si>
  <si>
    <t>EBT170114</t>
  </si>
  <si>
    <t>EBT170115</t>
  </si>
  <si>
    <t>EBT170116</t>
  </si>
  <si>
    <t>EBT170117</t>
  </si>
  <si>
    <t>EBT170118</t>
  </si>
  <si>
    <t>EBT170119</t>
  </si>
  <si>
    <t>EBT170120</t>
  </si>
  <si>
    <t>EBT170121</t>
  </si>
  <si>
    <t>EBT170122</t>
  </si>
  <si>
    <t>EBT170124</t>
  </si>
  <si>
    <t>EBT170125</t>
  </si>
  <si>
    <t>EBT170126</t>
  </si>
  <si>
    <t>EBT170127</t>
  </si>
  <si>
    <t>EBT170128</t>
  </si>
  <si>
    <t>ART.EBT170129
COMP:100%CO
WIDTH:128CM
WEIGHT:</t>
  </si>
  <si>
    <t>ART.EBT170107
COMP:100%PL
WIDTH:124CM
WEIGHT:410G/M2</t>
  </si>
  <si>
    <t>ART.EBT170109
COMP:95%PL 5%EA
WIDTH:122CM
WEIGHT:</t>
  </si>
  <si>
    <t>ART.EBT170110
COMP:100%PL
WIDTH:125CM
WEIGHT:</t>
  </si>
  <si>
    <t>ART.EBT170111
COMP:100%PL
WIDTH:128CM
WEIGHT:</t>
  </si>
  <si>
    <t>ART.EBT170112
COMP:100%PL
WIDTH:128CM
WEIGHT:</t>
  </si>
  <si>
    <t>ART.EBT170113
COMP:97%PL 3%EA
WIDTH:140CM
WEIGHT:88G/M2</t>
  </si>
  <si>
    <t>ART.EBT170114
COMP:100%PL
WIDTH:145CM
WEIGHT:105G/M2</t>
  </si>
  <si>
    <t>ART.EBT170115
COMP:97%PL 3%EA
WIDTH:144CM
WEIGHT:80G/M2</t>
  </si>
  <si>
    <t>ART.EBT170116
COMP:100%TENCEL
WIDTH:145CM
WEIGHT:145G/M2</t>
  </si>
  <si>
    <t>ART.EBT170117
COMP:100%PL
WIDTH:142cm
WEIGHT:85G/M2</t>
  </si>
  <si>
    <t>ART.EBT170118
COMP:25%PL 75%TENCEL
WIDTH:144CM
WEIGHT:60G/M2</t>
  </si>
  <si>
    <t>ART.EBT170119
COMP:100%PL
WIDTH:145CM
WEIGHT:165G/M2</t>
  </si>
  <si>
    <t>ART.EBT170120
COMP:100%PL
WIDTH:144CM
WEIGHT:85G/M2</t>
  </si>
  <si>
    <t>ART.EBT170121
COMP:100%PL
WIDTH:144CM
WEIGHT:144G/M2</t>
  </si>
  <si>
    <t>ART.EBT170122
COMP:100%PL
WIDTH:145CM
WEIGHT:85G/M2</t>
  </si>
  <si>
    <t>ART.EBT170124
COMP:97%PL 3%EA
WIDTH:144CM
WEIGHT:155G/M2</t>
  </si>
  <si>
    <t>ART.EBT170125
COMP:100%PL
WIDTH:144CM
WEIGHT:165G/M2</t>
  </si>
  <si>
    <t>ART.EBT170126
COMP:95%PL 5%EA
WIDTH:144CM
WEIGHT:135G/M2</t>
  </si>
  <si>
    <t>ART.EBT170127
COMP:47%VI 53%TENCEL
WIDTH:144CM
WEIGHT:119G/M2</t>
  </si>
  <si>
    <t>ART.EBT170128
COMP:100%VI
WIDTH:135CM
WEIGHT:180G/M2</t>
  </si>
  <si>
    <t>EBT270084</t>
  </si>
  <si>
    <t>EBT270085</t>
  </si>
  <si>
    <t>EBT270086</t>
  </si>
  <si>
    <t>EBT270087</t>
  </si>
  <si>
    <t>EBT270088</t>
  </si>
  <si>
    <t>EBT270089</t>
  </si>
  <si>
    <t>EBT270090</t>
  </si>
  <si>
    <t>EBT270091</t>
  </si>
  <si>
    <t>EBT270092</t>
  </si>
  <si>
    <t>EBT270093</t>
  </si>
  <si>
    <t>EBT270094</t>
  </si>
  <si>
    <t>EBT270095</t>
  </si>
  <si>
    <t>EBT270096</t>
  </si>
  <si>
    <t>EBT270097</t>
  </si>
  <si>
    <t>EBT270098</t>
  </si>
  <si>
    <t>EBT270099</t>
  </si>
  <si>
    <t>EBT270100</t>
  </si>
  <si>
    <t>EBT270101</t>
  </si>
  <si>
    <t>EBT270102</t>
  </si>
  <si>
    <t>EBT270103</t>
  </si>
  <si>
    <t>EBT270104</t>
  </si>
  <si>
    <t>EBT270105</t>
  </si>
  <si>
    <t>EBT270106</t>
  </si>
  <si>
    <t>EBT270107</t>
  </si>
  <si>
    <t>EBT270108</t>
  </si>
  <si>
    <t>EBT270109</t>
  </si>
  <si>
    <t>EBT270110</t>
  </si>
  <si>
    <t>EBT270111</t>
  </si>
  <si>
    <t>EBT270112</t>
  </si>
  <si>
    <t>EBT270113</t>
  </si>
  <si>
    <t>EBT270114</t>
  </si>
  <si>
    <t>EBT270115</t>
  </si>
  <si>
    <t>EBT270116</t>
  </si>
  <si>
    <t>EBT270117</t>
  </si>
  <si>
    <t>EBT270118</t>
  </si>
  <si>
    <t>EBT270119</t>
  </si>
  <si>
    <t>EBT270120</t>
  </si>
  <si>
    <t>EBT270121</t>
  </si>
  <si>
    <t>EBT270122</t>
  </si>
  <si>
    <t>EBT270123</t>
  </si>
  <si>
    <t>EBT270124</t>
  </si>
  <si>
    <t>EBT270125</t>
  </si>
  <si>
    <t>EBT270126</t>
  </si>
  <si>
    <t>EBT270127</t>
  </si>
  <si>
    <t>EBT270128</t>
  </si>
  <si>
    <t>EBT270129</t>
  </si>
  <si>
    <t>ART.EBT270084
COMP:55%PL 45%VI
WIDTH:145CM
WEIGHT:140GSM</t>
  </si>
  <si>
    <t>ART.EBT270085
COMP:43%PL 57%VI
WIDTH:145CM
WEIGHT:128GSM</t>
  </si>
  <si>
    <t>ART.EBT270086
COMP:100%VI
WIDTH:148CM
WEIGHT:169GSM</t>
  </si>
  <si>
    <t>ART.EBT270087
COMP:57%VI 43%RAYON
WIDTH:142CM
WEIGHT:89GSM</t>
  </si>
  <si>
    <t>ART.EBT270088
COMP:43%VI 57%RAYON
WIDTH:148CM
WEIGHT:147GSM</t>
  </si>
  <si>
    <t>ART.EBT270089
COMP:52%VI 48%RAYON
WIDTH:135CM
WEIGHT:95GSM</t>
  </si>
  <si>
    <t>ART.EBT270090
COMP:55%VI 45%RAYON
WIDTH:134CM
WEIGHT:178GSM</t>
  </si>
  <si>
    <t>ART.EBT270091
COMP:57%RAYON 43%VI
WIDTH:145CM
WEIGHT:220GSM</t>
  </si>
  <si>
    <t>ART.EBT270092
COMP:100%PL
WIDTH:145CM
WEIGHT:86GSM</t>
  </si>
  <si>
    <t>ART.EBT270093
COMP:100%PL
WIDTH:145CM
WEIGHT:158GSM</t>
  </si>
  <si>
    <t>ART.EBT270094
COMP:100%PL
WIDTH:145CM
WEIGHT:187GSM</t>
  </si>
  <si>
    <t>ART.EBT270095
COMP:100%PL
WIDTH:145CM
WEIGHT:100GSM</t>
  </si>
  <si>
    <t>ART.EBT270096
COMP:100%PL
WIDTH:145CM
WEIGHT:197GSM</t>
  </si>
  <si>
    <t>ART.EBT270097
COMP:100%PL
WIDTH:145CM
WEIGHT:110GSM</t>
  </si>
  <si>
    <t>ART.EBT270098
COMP:98%PL 2%EA
WIDTH:145CM
WEIGHT:176GSM</t>
  </si>
  <si>
    <t>ART.EBT270099
COMP:100%PL SATEEN  
WIDTH:145CM
WEIGHT:100GSM</t>
  </si>
  <si>
    <t>ART.EBT270100
COMP:100%PL CHIFFON
WIDTH:145CM
WEIGHT:32GSM</t>
  </si>
  <si>
    <t>ART.EBT270101
COMP:100%PL CHIFFON 
WIDTH:145CM
WEIGHT:44GSM</t>
  </si>
  <si>
    <t>ART.EBT270102
COMP:100%PL GGT
WIDTH:145CM
WEIGHT:75GSM</t>
  </si>
  <si>
    <t>ART.EBT270103
COMP:100%PL GGT
WIDTH:145CM
WEIGHT:83GSM</t>
  </si>
  <si>
    <t>ART.EBT270104
COMP:100%POLY
WIDTH:145CM
WEIGHT:170GSM</t>
  </si>
  <si>
    <t>ART.EBT270105
COMP:100%PL DOUBLE GGT
WIDTH:145CM
WEIGHT:130GSM</t>
  </si>
  <si>
    <t xml:space="preserve">ART.EBT270106
COMP:100% PL CHIFFION
WIDTH:145CM
WEIGHT:61GSM </t>
  </si>
  <si>
    <t>ART.EBT270107
COMP:100%PL CHIFFION
WIDTH:145CM
WEIGHT:76GSM</t>
  </si>
  <si>
    <t>ART.EBT270108
COMP:100%PL CHIFFON
WIDTH:145CM
WEIGHT:75GSM</t>
  </si>
  <si>
    <t>ART.EBT270109
COMP:100%PL  SATIN 
WIDTH:145CM
WEIGHT:90GSM</t>
  </si>
  <si>
    <t>ART.EBT270110
COMP:96%PL 4%EA
WIDTH:59/60'
WEIGHT:247gsm</t>
  </si>
  <si>
    <t>ART.EBT270111
COMP:100%VI
WIDTH:136cm
WEIGHT:90gsm</t>
  </si>
  <si>
    <t>ART.EBT270112
COMP:100%VI
WIDTH:128CM
WEIGHT:60gsm </t>
  </si>
  <si>
    <t xml:space="preserve">ART.EBT270113
COMP:100% VI GGT SATEEN
WIDTH:142-145CM
WEIGHT:160GSM </t>
  </si>
  <si>
    <t>ART.EBT270114
COMP:58% PL 42%VI SATEEN
WIDTH:140cm
WEIGHT:115GSM</t>
  </si>
  <si>
    <t>ART.EBT270115
COMP:100% POLY MOSSCRPON,
WIDTH:145CM
WEIGHT:105GSM</t>
  </si>
  <si>
    <t>ART.EBT270116
COMP:100%PL 
WIDTH:145CM
WEIGHT:199GSM</t>
  </si>
  <si>
    <t>ART.EBT270117
COMP:25%SE 75%CO YD STRIPE 13MM
WIDTH:137CM
WEIGHT:13MM</t>
  </si>
  <si>
    <t>ART.EBT270118
COMP:30%SE 70%CO 11MM Y/D CHECK FABRIC
WIDTH:137CM
WEIGHT:11MM</t>
  </si>
  <si>
    <t>ART.EBT270119
COMP:30%SE70%CO 11MM Y/D CHECK FABRIC
WIDTH:137CM
WEIGHT:11MM</t>
  </si>
  <si>
    <t>ART.EBT270120
COMP:100%PL SATEEN
WIDTH:145CM
WEIGHT:99GSM</t>
  </si>
  <si>
    <t>ART.EBT270121
COMP:100%PL
WIDTH:145CM
WEIGHT:150gsm</t>
  </si>
  <si>
    <t xml:space="preserve">ART.EBT270122
COMP:36%PL 64%VI
WIDTH:　140CM
WEIGHT:160GSM </t>
  </si>
  <si>
    <t>ART.EBT270123
COMP:100%VI
WIDTH:142CM
WEIGHT:172GSM</t>
  </si>
  <si>
    <t>ART.EBT270124
COMP:100%PL
WIDTH:140CM
WEIGHT:176GSM</t>
  </si>
  <si>
    <t>ART.EBT270125
COMP:100%PL
WIDTH:145CM
WEIGHT:100GSM</t>
  </si>
  <si>
    <t>ART.EBT270126
COMP:100%PL
WIDTH:145cm
WEIGHT:106GSM</t>
  </si>
  <si>
    <t>ART.EBT270127
COMP:100% PL SATEEN
WIDTH:145cm
WEIGHT:112GSM</t>
  </si>
  <si>
    <t>ART.EBT270128
COMP:100%POLY
WIDTH:145cm
WEIGHT:186g/㎡</t>
  </si>
  <si>
    <t>ART.EBT270129
COMP:100%POLY
WIDTH:145cm
WEIGHT:220G/M2</t>
  </si>
  <si>
    <t>ART.EBT270110
COMP:96%PL 4%EA
WIDTH:146CM
WEIGHT:247G/M2</t>
  </si>
  <si>
    <t>ART.EBT270123
COMP:100%VI
WIDTH:142CM
WEIGHT:172G/M2</t>
  </si>
  <si>
    <t>EBT170130</t>
  </si>
  <si>
    <t>EBT170131</t>
  </si>
  <si>
    <t>ART.EBT170130
COMP:F:97%PL 3%EA G:95%PL 5%EA
WIDTH:140CM
WEIGHT:335G/M2</t>
  </si>
  <si>
    <t>ART.EBT170131
COMP:F:97%PL 3%EA G:95%PL 5%EA
WIDTH:140CM
WEIGHT:375G/M2</t>
    <phoneticPr fontId="51" type="noConversion"/>
  </si>
  <si>
    <t>ART.EBT170042
COMP:45%PA 44%CO 11%EA
WIDTH:134CM
WEIGHT:215G/M2</t>
    <phoneticPr fontId="51" type="noConversion"/>
  </si>
  <si>
    <t>ART.EBT170092-print
COMP:100%VI
WIDTH:135CM 
WEIGHT:180G/M2</t>
    <phoneticPr fontId="51" type="noConversion"/>
  </si>
  <si>
    <t>EBT270045</t>
  </si>
  <si>
    <t>EBT270082</t>
  </si>
  <si>
    <t>EBT270083</t>
  </si>
  <si>
    <t>ART.EBT270045
COMP:98%PL 2%EA
WIDTH:133CM
WEIGHT:180G/M2</t>
  </si>
  <si>
    <t>ART.EBT270082
COMP:100%CO
WIDTH:145CM
WEIGHT:245G/M2</t>
  </si>
  <si>
    <t>ART.EBT270083
COMP:75%CO 23%PL 2%EA
WIDTH:145CM
WEIGHT:270G/M2</t>
  </si>
  <si>
    <t>EBT270147</t>
  </si>
  <si>
    <t>EBT270148</t>
  </si>
  <si>
    <t>EBT270149</t>
  </si>
  <si>
    <t>EBT270150</t>
  </si>
  <si>
    <t>EBT270151</t>
  </si>
  <si>
    <t>EBT270152</t>
  </si>
  <si>
    <t>ART.EBT270147
COMP:BASE：100%CO THREAD:100%PL
WIDTH:130CM
WEIGHT:</t>
  </si>
  <si>
    <t>ART.EBT270148
COMP:BASE：100%CO THREAD:100%PL
WIDTH:130CM
WEIGHT:</t>
  </si>
  <si>
    <t>ART.EBT270149
COMP:BASE：100%CO THREAD:100%PL
WIDTH:130CM
WEIGHT:</t>
  </si>
  <si>
    <t>ART.EBT270150
COMP:BASE：100%CO THREAD:100%PL
WIDTH:125CM
WEIGHT:</t>
  </si>
  <si>
    <t>ART.EBT270151
COMP:BASE：100%CO THREAD:100%PL
WIDTH:120CM
WEIGHT:</t>
  </si>
  <si>
    <t>ART.EBT270152
COMP:BASE：100%CO THREAD:100%PL
WIDTH:125CM
WEIGHT:</t>
  </si>
  <si>
    <t>EBT170123</t>
  </si>
  <si>
    <t>ART.EBT170123
COMP:100%PL
WIDTH:144CM
WEIGHT:60G/M2</t>
  </si>
  <si>
    <t>EBT170176</t>
  </si>
  <si>
    <t>EBT170177</t>
  </si>
  <si>
    <t>EBT170178</t>
  </si>
  <si>
    <t>EBT170183</t>
  </si>
  <si>
    <t>EBT170184</t>
  </si>
  <si>
    <t>EBT170185</t>
  </si>
  <si>
    <t>EBT170186</t>
  </si>
  <si>
    <t>EBT170187</t>
  </si>
  <si>
    <t>EBT170188</t>
  </si>
  <si>
    <t>EBT170189</t>
  </si>
  <si>
    <t>EBT170191</t>
  </si>
  <si>
    <t>EBT170192</t>
  </si>
  <si>
    <t>ART.EBT170176
COMP:65%PL 35%VI
WIDTH:144CM
WEIGHT:245G/M2</t>
  </si>
  <si>
    <t>ART.EBT170177
COMP:64%PL 34%VI 2%EA
WIDTH:144CM
WEIGHT:290G/M2</t>
  </si>
  <si>
    <t>ART.EBT170178
COMP:64%PL 34%VI 2%EA
WIDTH:144CM
WEIGHT:270G/M2</t>
  </si>
  <si>
    <t>ART.EBT170183
COMP:95.3%PL 0.7% MET 4%EA
WIDTH:135CM
WEIGHT:144G/M2</t>
  </si>
  <si>
    <t>ART.EBT170184
COMP:52%PA 48%VI
WIDTH:165CM
WEIGHT:121G/M2</t>
  </si>
  <si>
    <t>ART.EBT170185
COMP:41%CO 47%PL 3%EA 9% MET
WIDTH:120CM
WEIGHT:235G/M2</t>
  </si>
  <si>
    <t>ART.EBT170186
COMP:64%PL32%CO 4%EA
WIDTH:138CM
WEIGHT:239G/M2</t>
  </si>
  <si>
    <t>ART.EBT170187
COMP:95%PL 1%MET 4%EA
WIDTH:138CM
WEIGHT:161G/M2</t>
  </si>
  <si>
    <t>ART.EBT170188
COMP:93%PL 7%PA
WIDTH:144CM
WEIGHT:184G/M2</t>
  </si>
  <si>
    <t>ART.EBT170189
COMP:41%CO 47%PL 3%EA 9% MET
WIDTH:120CM
WEIGHT:224G/M2</t>
  </si>
  <si>
    <t>EBT170174</t>
  </si>
  <si>
    <t>EBT170175</t>
  </si>
  <si>
    <t>ART.EBT170175
COMP:100%PL 
WIDTH:125CM
WEIGHT:</t>
  </si>
  <si>
    <t>EBT170135</t>
  </si>
  <si>
    <t>EBT170136</t>
  </si>
  <si>
    <t>EBT170137</t>
  </si>
  <si>
    <t>EBT170138</t>
  </si>
  <si>
    <t>EBT170139</t>
  </si>
  <si>
    <t>EBT170140</t>
  </si>
  <si>
    <t>EBT170141</t>
  </si>
  <si>
    <t>EBT170142</t>
  </si>
  <si>
    <t>EBT170143</t>
  </si>
  <si>
    <t>EBT170144</t>
  </si>
  <si>
    <t>EBT170145</t>
  </si>
  <si>
    <t>EBT170146</t>
  </si>
  <si>
    <t>EBT170147</t>
  </si>
  <si>
    <t>EBT170148</t>
  </si>
  <si>
    <t>EBT170149</t>
  </si>
  <si>
    <t>EBT170150</t>
  </si>
  <si>
    <t>EBT170151</t>
  </si>
  <si>
    <t>EBT170152</t>
  </si>
  <si>
    <t>EBT170153</t>
  </si>
  <si>
    <t>EBT170154</t>
  </si>
  <si>
    <t>EBT170155</t>
  </si>
  <si>
    <t>EBT170156</t>
  </si>
  <si>
    <t>EBT170157</t>
  </si>
  <si>
    <t>EBT170158</t>
  </si>
  <si>
    <t>EBT170159</t>
  </si>
  <si>
    <t>EBT170160</t>
  </si>
  <si>
    <t>EBT170161</t>
  </si>
  <si>
    <t>EBT170162</t>
  </si>
  <si>
    <t>EBT170163</t>
  </si>
  <si>
    <t>EBT170164</t>
  </si>
  <si>
    <t>EBT170165</t>
  </si>
  <si>
    <t>EBT170166</t>
  </si>
  <si>
    <t>EBT170167</t>
  </si>
  <si>
    <t>EBT170170</t>
  </si>
  <si>
    <t>EBT170171</t>
  </si>
  <si>
    <t>EBT170172</t>
  </si>
  <si>
    <t>EBT170173</t>
  </si>
  <si>
    <t>EBT270130</t>
  </si>
  <si>
    <t>EBT270131</t>
  </si>
  <si>
    <t>EBT270132</t>
  </si>
  <si>
    <t>EBT270133</t>
  </si>
  <si>
    <t>EBT270134</t>
  </si>
  <si>
    <t>EBT270135</t>
  </si>
  <si>
    <t>EBT270136</t>
  </si>
  <si>
    <t>EBT270137</t>
  </si>
  <si>
    <t>EBT270138</t>
  </si>
  <si>
    <t>EBT270139</t>
  </si>
  <si>
    <t>EBT270140</t>
  </si>
  <si>
    <t>EBT270141</t>
  </si>
  <si>
    <t>EBT270142</t>
  </si>
  <si>
    <t>EBT270143</t>
  </si>
  <si>
    <t>EBT270144</t>
  </si>
  <si>
    <t>EBT270145</t>
  </si>
  <si>
    <t>EBT270146</t>
  </si>
  <si>
    <t>ART.EBT170135
COMP:100%PL
WIDTH:125CM
WEIGHT:</t>
  </si>
  <si>
    <t>ART.EBT170136
COMP:100%PL
WIDTH:125CM
WEIGHT:</t>
  </si>
  <si>
    <t>ART.EBT170137
COMP:100%PL
WIDTH:125CM
WEIGHT:</t>
  </si>
  <si>
    <t>ART.EBT170138
COMP:100%PA
WIDTH:125CM
WEIGHT:</t>
  </si>
  <si>
    <t>ART.EBT170139
COMP:100%CO
WIDTH:125CM
WEIGHT:</t>
  </si>
  <si>
    <t>ART.EBT170140
COMP:100%PA
WIDTH:125CM
WEIGHT:</t>
  </si>
  <si>
    <t>ART.EBT170141
COMP:100%PL
WIDTH:125CM
WEIGHT:</t>
  </si>
  <si>
    <t>ART.EBT170142
COMP:100%PL
WIDTH:125CM
WEIGHT:</t>
  </si>
  <si>
    <t>ART.EBT170143
COMP:100%PL
WIDTH:125CM
WEIGHT:</t>
  </si>
  <si>
    <t>ART.EBT170144
COMP:100%PL
WIDTH:125CM
WEIGHT:</t>
  </si>
  <si>
    <t>ART.EBT170145
COMP:100%PL
WIDTH:125CM
WEIGHT:</t>
  </si>
  <si>
    <t>ART.EBT170146
COMP:100%PL
WIDTH:125CM
WEIGHT:</t>
  </si>
  <si>
    <t>ART.EBT170147
COMP:100%PL
WIDTH:125CM
WEIGHT:</t>
  </si>
  <si>
    <t>ART.EBT170148
COMP:100%PL
WIDTH:125CM
WEIGHT:</t>
  </si>
  <si>
    <t>ART.EBT170149
COMP:100%PL
WIDTH:125CM
WEIGHT:</t>
  </si>
  <si>
    <t>ART.EBT170150
COMP:100%PL
WIDTH:125CM
WEIGHT:</t>
  </si>
  <si>
    <t>ART.EBT170151
COMP:100%PL
WIDTH:125CM
WEIGHT:</t>
  </si>
  <si>
    <t>ART.EBT170152
COMP:100%PL
WIDTH:125CM
WEIGHT:</t>
  </si>
  <si>
    <t>ART.EBT170153
COMP:100%PL
WIDTH:125CM
WEIGHT:</t>
  </si>
  <si>
    <t>ART.EBT170154
COMP:100%PL
WIDTH:118CM
WEIGHT:</t>
  </si>
  <si>
    <t>ART.EBT170155
COMP:100%PL
WIDTH:120CM
WEIGHT:</t>
  </si>
  <si>
    <t>ART.EBT170156
COMP:100%PL
WIDTH:125CM
WEIGHT:</t>
  </si>
  <si>
    <t>ART.EBT170157
COMP:100%PL
WIDTH:125CM
WEIGHT:</t>
  </si>
  <si>
    <t>ART.EBT170158
COMP:100%PL
WIDTH:125CM
WEIGHT:</t>
  </si>
  <si>
    <t>ART.EBT170159
COMP:100%PL
WIDTH:125CM
WEIGHT:</t>
  </si>
  <si>
    <t>ART.EBT170160
COMP:100%PA
WIDTH:125CM
WEIGHT:</t>
  </si>
  <si>
    <t>ART.EBT170161
COMP:100%PL
WIDTH:125CM
WEIGHT:</t>
  </si>
  <si>
    <t>ART.EBT170162
COMP:100%PL
WIDTH:125CM
WEIGHT:</t>
  </si>
  <si>
    <t>ART.EBT170163
COMP:100%PL
WIDTH:122CM
WEIGHT:</t>
  </si>
  <si>
    <t>ART.EBT170164
COMP:100%PL
WIDTH:112CM
WEIGHT:</t>
  </si>
  <si>
    <t>ART.EBT170165
COMP:100%CO
WIDTH:125CM
WEIGHT:</t>
  </si>
  <si>
    <t>ART.EBT170166
COMP:100%PL
WIDTH:120CM
WEIGHT:</t>
  </si>
  <si>
    <t>ART.EBT170167
COMP:100%PL
WIDTH:108CM
WEIGHT:</t>
  </si>
  <si>
    <t>ART.EBT170170
COMP:70%PL 27%VI 3%EA
WIDTH:140CM
WEIGHT:442G/M2</t>
  </si>
  <si>
    <t>ART.EBT170171
COMP:68%PL 30%VI 2%EA
WIDTH:140CM
WEIGHT:287G/M2</t>
  </si>
  <si>
    <t>ART.EBT170172
COMP:69.5%CO 30.5%PA
WIDTH:140CM
WEIGHT:</t>
  </si>
  <si>
    <t>ART.EBT170173
COMP:30%PA 35%CO 35%VI
WIDTH:140CM
WEIGHT:</t>
  </si>
  <si>
    <t>ART.EBT270130
COMP:100%CO
WIDTH:142CM
WEIGHT:</t>
  </si>
  <si>
    <t>ART.EBT270131
COMP:100%CO 
WIDTH:142CM
WEIGHT:113G/M2</t>
  </si>
  <si>
    <t>ART.EBT270132
COMP:100%CO   
WIDTH:144CM
WEIGHT:126GSM</t>
  </si>
  <si>
    <t>ART.EBT270133
COMP:100%CO 
WIDTH:142CM
WEIGHT:106GSM</t>
  </si>
  <si>
    <t>ART.EBT270134
COMP:100%CO 
WIDTH:142CM
WEIGHT:120GSM</t>
  </si>
  <si>
    <t>ART.EBT270135
COMP:30% PA 68% CO 2% EA 
WIDTH:142cm
WEIGHT:85GSM</t>
  </si>
  <si>
    <t>ART.EBT270136
COMP:30% PA 68% CO 2% EA 
WIDTH:142cm
WEIGHT:85GSM</t>
  </si>
  <si>
    <t>ART.EBT270137
COMP:30% PA 68% CO 2% EA 
WIDTH:142cm
WEIGHT:85GSM</t>
  </si>
  <si>
    <t>ART.EBT270138
COMP:30% PA 68% CO 2% EA 
WIDTH:142cm
WEIGHT:85GSM</t>
  </si>
  <si>
    <t>ART.EBT270139
COMP:30% PA 68% CO 2% EA 
WIDTH:142cm
WEIGHT:85GSM</t>
  </si>
  <si>
    <t>ART.EBT270140
COMP:30% PA 68% CO 2% EA 
WIDTH:142cm
WEIGHT:85GSM</t>
  </si>
  <si>
    <t>ART.EBT270141
COMP:30% PA 68% CO 2% EA 
WIDTH:142cm
WEIGHT:85GSM</t>
  </si>
  <si>
    <t>ART.EBT270142
COMP:30% PA 68% CO 2% EA 
WIDTH:142cm
WEIGHT:85GSM</t>
  </si>
  <si>
    <t>ART.EBT270143
COMP:30% PA 68% CO 2% EA 
WIDTH:142cm
WEIGHT:85GSM</t>
  </si>
  <si>
    <t>ART.EBT270144
COMP:30% PA 68% CO 2% EA 
WIDTH:142cm
WEIGHT:85GSM</t>
  </si>
  <si>
    <t>ART.EBT270145
COMP:30% PA 68% CO 2% EA 
WIDTH:142cm
WEIGHT:85GSM</t>
  </si>
  <si>
    <t>ART.EBT270146
COMP:30% PA 68% CO 2% EA 
WIDTH:142cm
WEIGHT:85GSM</t>
  </si>
  <si>
    <t>EBT270153</t>
  </si>
  <si>
    <t>EBT270154</t>
  </si>
  <si>
    <t>EBT270155</t>
  </si>
  <si>
    <t>EBT270156</t>
  </si>
  <si>
    <t>EBT270157</t>
  </si>
  <si>
    <t>EBT270158</t>
  </si>
  <si>
    <t>EBT270159</t>
  </si>
  <si>
    <t>EBT270160</t>
  </si>
  <si>
    <t>EBT270161</t>
  </si>
  <si>
    <t>EBT270162</t>
  </si>
  <si>
    <t>EBT270163</t>
  </si>
  <si>
    <t>EBT270164</t>
  </si>
  <si>
    <t>EBT270165</t>
  </si>
  <si>
    <t>EBT270166</t>
  </si>
  <si>
    <t>EBT270167</t>
  </si>
  <si>
    <t>EBT270168</t>
  </si>
  <si>
    <t>EBT270169</t>
  </si>
  <si>
    <t>EBT270170</t>
  </si>
  <si>
    <t>EBT270171</t>
  </si>
  <si>
    <t>EBT270172</t>
  </si>
  <si>
    <t>EBT270173</t>
  </si>
  <si>
    <t>EBT270174</t>
  </si>
  <si>
    <t>EBT270175</t>
  </si>
  <si>
    <t>EBT270176</t>
  </si>
  <si>
    <t>EBT270177</t>
  </si>
  <si>
    <t>EBT270178</t>
  </si>
  <si>
    <t>EBT270179</t>
  </si>
  <si>
    <t>EBT270180</t>
  </si>
  <si>
    <t>EBT270181</t>
  </si>
  <si>
    <t>EBT270182</t>
  </si>
  <si>
    <t>EBT270183</t>
  </si>
  <si>
    <t>EBT270184</t>
  </si>
  <si>
    <t>EBT270185</t>
  </si>
  <si>
    <t>EBT270186</t>
  </si>
  <si>
    <t>EBT270187</t>
  </si>
  <si>
    <t>EBT270188</t>
  </si>
  <si>
    <t>EBT270189</t>
  </si>
  <si>
    <t>EBT270190</t>
  </si>
  <si>
    <t>EBT270191</t>
  </si>
  <si>
    <t>EBT270192</t>
  </si>
  <si>
    <t>EBT270193</t>
  </si>
  <si>
    <t>EBT270194</t>
  </si>
  <si>
    <t>EBT270195</t>
  </si>
  <si>
    <t>EBT270196</t>
  </si>
  <si>
    <t>EBT270197</t>
  </si>
  <si>
    <t>EBT270198</t>
  </si>
  <si>
    <t>EBT270199</t>
  </si>
  <si>
    <t>EBT270200</t>
  </si>
  <si>
    <t>EBT270201</t>
  </si>
  <si>
    <t>EBT270202</t>
  </si>
  <si>
    <t>EBT270203</t>
  </si>
  <si>
    <t>EBT270204</t>
  </si>
  <si>
    <t>EBT270205</t>
  </si>
  <si>
    <t>EBT270206</t>
  </si>
  <si>
    <t>EBT270207</t>
  </si>
  <si>
    <t>EBT270208</t>
  </si>
  <si>
    <t>EBT270209</t>
  </si>
  <si>
    <t>EBT270210</t>
  </si>
  <si>
    <t>EBT270211</t>
  </si>
  <si>
    <t>EBT270212</t>
  </si>
  <si>
    <t>EBT270213</t>
  </si>
  <si>
    <t>EBT270214</t>
  </si>
  <si>
    <t>EBT270215</t>
  </si>
  <si>
    <t>EBT270216</t>
  </si>
  <si>
    <t>EBT270217</t>
  </si>
  <si>
    <t>EBT270218</t>
  </si>
  <si>
    <t>EBT270219</t>
  </si>
  <si>
    <t>EBT270220</t>
  </si>
  <si>
    <t>EBT270221</t>
  </si>
  <si>
    <t>EBT270222</t>
  </si>
  <si>
    <t>EBT270223</t>
  </si>
  <si>
    <t>EBT270224</t>
  </si>
  <si>
    <t>EBT270225</t>
  </si>
  <si>
    <t>EBT270226</t>
  </si>
  <si>
    <t>EBT270227</t>
  </si>
  <si>
    <t>EBT270228</t>
  </si>
  <si>
    <t>EBT270229</t>
  </si>
  <si>
    <t>EBT270230</t>
  </si>
  <si>
    <t>EBT270231</t>
  </si>
  <si>
    <t>EBT270232</t>
  </si>
  <si>
    <t>EBT270233</t>
  </si>
  <si>
    <t>EBT270234</t>
  </si>
  <si>
    <t>EBT270235</t>
  </si>
  <si>
    <t>EBT270236</t>
  </si>
  <si>
    <t>EBT270237</t>
  </si>
  <si>
    <t>EBT270238</t>
  </si>
  <si>
    <t>EBT270239</t>
  </si>
  <si>
    <t>EBT270240</t>
  </si>
  <si>
    <t>EBT270241</t>
  </si>
  <si>
    <t>EBT270242</t>
  </si>
  <si>
    <t>EBT270243</t>
  </si>
  <si>
    <t>EBT270244</t>
  </si>
  <si>
    <t>EBT270245</t>
  </si>
  <si>
    <t>EBT270246</t>
  </si>
  <si>
    <t>EBT270247</t>
  </si>
  <si>
    <t>EBT270248</t>
  </si>
  <si>
    <t>ART.EBT270154
COMP:100%OT
WIDTH:
WEIGHT:590G/M</t>
  </si>
  <si>
    <t>ART.EBT270155
COMP:10%WO 90%OT
WIDTH:
WEIGHT:690G/M</t>
  </si>
  <si>
    <t>ART.EBT270156
COMP:50%WO 50%OT
WIDTH:
WEIGHT:590G/M</t>
  </si>
  <si>
    <t>ART.EBT270157
COMP:50%WO 50%OT
WIDTH:
WEIGHT:500G/M</t>
  </si>
  <si>
    <t>ART.EBT270158
COMP:64%PL 33%CO 3%EA
WIDTH:116CM
WEIGHT:214gsm</t>
  </si>
  <si>
    <t>ART.EBT270159
COMP:71%CO 27%PL 2%EA  
WIDTH:145CM
WEIGHT:266GSM</t>
  </si>
  <si>
    <t>ART.EBT270160
COMP:25%PA 75%VI 
WIDTH:136CM
WEIGHT:</t>
  </si>
  <si>
    <t>ART.EBT270161
COMP:25%PA 75%VI  
WIDTH:136CM
WEIGHT:106GSM</t>
  </si>
  <si>
    <t>ART.EBT270162
COMP:25%PA 75%VI  
WIDTH:136CM
WEIGHT:</t>
  </si>
  <si>
    <t>ART.EBT270163
COMP:25%PA 75%VI  
WIDTH:136CM
WEIGHT:</t>
  </si>
  <si>
    <t>ART.EBT270164
COMP:100%CO
WIDTH:145CM
WEIGHT:120GSM</t>
  </si>
  <si>
    <t>ART.EBT270165
COMP:100%AC
WIDTH:145CM
WEIGHT:220GSM</t>
  </si>
  <si>
    <t>ART.EBT270166
COMP:PA1% VI11% PL20% A68%
WIDTH:145CM
WEIGHT:265gsm</t>
  </si>
  <si>
    <t>ART.EBT270167
COMP:13%VI 8%LI 52%PL 26%CO 1%PU
WIDTH:142CM
WEIGHT:280GSM</t>
  </si>
  <si>
    <t>ART.EBT270168
COMP:67%AC 18%PL 15%WO
WIDTH:145CM
WEIGHT:275GSM</t>
  </si>
  <si>
    <t>ART.EBT270169
COMP:40%PL 27%AC 12%VI 15%CO 6%PA
WIDTH:143CM
WEIGHT:250GSM</t>
  </si>
  <si>
    <t>ART.EBT270170
COMP:51%AC 25%PL 24%VI
WIDTH:143CM
WEIGHT:225GSM</t>
  </si>
  <si>
    <t>ART.EBT270171
COMP:70%CO 30%PL
WIDTH:143CM
WEIGHT:190GSM</t>
  </si>
  <si>
    <t>ART.EBT270172
COMP:54%VI 46%PL
WIDTH:136CM
WEIGHT:125GSM</t>
  </si>
  <si>
    <t>ART.EBT270173
COMP:54%VI 46%PL
WIDTH:133CM
WEIGHT:125GSM</t>
  </si>
  <si>
    <t>ART.EBT270174
COMP:9%AC  10%VI  39%PL 42%CO
WIDTH:144CM
WEIGHT:195GSM</t>
  </si>
  <si>
    <t>ART.EBT270175
COMP:40%AC 40%PL 20%VI
WIDTH:140CM
WEIGHT:260GSM</t>
  </si>
  <si>
    <t>ART.EBT270176
COMP:51%AC 32%CO  11%PL 6%VI
WIDTH:145CM
WEIGHT:225GSM</t>
  </si>
  <si>
    <t>ART.EBT270177
COMP:53%CO 33%PL 13%VI  1%PU
WIDTH:138CM
WEIGHT:294GSM</t>
  </si>
  <si>
    <t>ART.EBT270178
COMP:48%PL 32%CO 14%VI 6%AC
WIDTH:145CM
WEIGHT:205GSM</t>
  </si>
  <si>
    <t>ART.EBT270179
COMP:54%PL 28%VI 17%AC
WIDTH:143CM
WEIGHT:270GSM</t>
  </si>
  <si>
    <t>ART.EBT270180
COMP:16%AC 41%PL 43%CO
WIDTH:149CM
WEIGHT:170GSM</t>
  </si>
  <si>
    <t>ART.EBT270181
COMP:15%AC 85%CO
WIDTH:142CM
WEIGHT:220GSM</t>
  </si>
  <si>
    <t>ART.EBT270182
COMP:54%CO 30%PL 16%CI
WIDTH:140CM
WEIGHT:310GSM</t>
  </si>
  <si>
    <t>ART.EBT270183
COMP:52%PL 21%AC 27%VI
WIDTH:146CM
WEIGHT:195GSM</t>
  </si>
  <si>
    <t>ART.EBT270184
COMP:28%VI 70%CO 2%PU
WIDTH:138CM
WEIGHT:260GSM</t>
  </si>
  <si>
    <t>ART.EBT270185
COMP:28%VI 70%CO 2%PU
WIDTH:132CM
WEIGHT:260GSM</t>
  </si>
  <si>
    <t>ART.EBT270186
COMP:100%CO 
WIDTH:146CM
WEIGHT:98GSM</t>
  </si>
  <si>
    <t>ART.EBT270187
COMP:65%PL 35%CO
WIDTH:146CM
WEIGHT:100GSM</t>
  </si>
  <si>
    <t>ART.EBT270188
COMP:100%CO
WIDTH:145CM
WEIGHT:69GSM</t>
  </si>
  <si>
    <t>ART.EBT270189
COMP:99%CO 1%EA
WIDTH:120CM
WEIGHT:72GSM</t>
  </si>
  <si>
    <t>ART.EBT270190
COMP:100%CO 
WIDTH:142CM
WEIGHT:108GSM</t>
  </si>
  <si>
    <t>ART.EBT270191
COMP:65%PL 35%CO 
WIDTH:142CM
WEIGHT:96GSM</t>
  </si>
  <si>
    <t>ART.EBT270192
COMP:98%CO 2%EA
WIDTH:120CM
WEIGHT:166GSM</t>
  </si>
  <si>
    <t>ART.EBT270193
COMP:100%CO
WIDTH:142CM
WEIGHT:187GSM</t>
  </si>
  <si>
    <t>ART.EBT270194
COMP:100%CO 
WIDTH:120CM
WEIGHT:164GSM</t>
  </si>
  <si>
    <t>ART.EBT270195
COMP:65%PL 35%CO 
WIDTH:142CM
WEIGHT:144GSM</t>
  </si>
  <si>
    <t>ART.EBT270196
COMP:100% CO 
WIDTH:142CM
WEIGHT:111GSM</t>
  </si>
  <si>
    <t>ART.EBT270197
COMP:100%CO 
WIDTH:144CM
WEIGHT:113GSM</t>
  </si>
  <si>
    <t>ART.EBT270198
COMP:99%CO 1%EA 
WIDTH:132CM
WEIGHT:86GSM</t>
  </si>
  <si>
    <t>ART.EBT270199
COMP:65%PL 35%CO
WIDTH:140CM
WEIGHT:110GSM</t>
  </si>
  <si>
    <t>ART.EBT270200
COMP:100%CO 
WIDTH:118CM
WEIGHT:116GSM</t>
  </si>
  <si>
    <t>ART.EBT270201
COMP:98%PL  2%EA
WIDTH:148CM
WEIGHT:98GSM</t>
  </si>
  <si>
    <t>ART.EBT270202
COMP:100%PL
WIDTH:142CM
WEIGHT:98GSM</t>
  </si>
  <si>
    <t>ART.EBT270203
COMP:64%PL 34%VI 2%EA
WIDTH:142CM
WEIGHT:222GSM</t>
  </si>
  <si>
    <t>ART.EBT270204
COMP:100%CO 
WIDTH:110CM
WEIGHT:100GSM</t>
  </si>
  <si>
    <t>ART.EBT270205
COMP:65%PL 32%VI 3%EL  
WIDTH:137CM
WEIGHT:215GSM</t>
  </si>
  <si>
    <t>ART.EBT270206
COMP:98%PL 2%EA
WIDTH:142CM
WEIGHT:245GSM</t>
  </si>
  <si>
    <t>ART.EBT270207
COMP:55%CO 45%AC
WIDTH:141CM
WEIGHT:300GSM</t>
  </si>
  <si>
    <t>ART.EBT270208
COMP:80%PL 20%CO
WIDTH:142CM
WEIGHT:275GSM</t>
  </si>
  <si>
    <t>ART.EBT270209
COMP:52%PL 27%VI 21%AC
WIDTH:145CM
WEIGHT:235GSM</t>
  </si>
  <si>
    <t>ART.EBT270210
COMP:80%PL 20%AC
WIDTH:142CM
WEIGHT:287GSM</t>
  </si>
  <si>
    <t>ART.EBT270211
COMP:73%CO 26.5%PL 0.5%MET
WIDTH:141CM
WEIGHT:341GSM</t>
  </si>
  <si>
    <t>ART.EBT270212
COMP:86%AC 10%PL  4%VI
WIDTH:145CM
WEIGHT:228GSM</t>
  </si>
  <si>
    <t>ART.EBT270213
COMP:97%PL 3%AC
WIDTH:142CM
WEIGHT:368GSM</t>
  </si>
  <si>
    <t>ART.EBT270214
COMP:MESH EMB
WIDTH:128CM
WEIGHT:</t>
  </si>
  <si>
    <t>ART.EBT270215
COMP:52%VI 48%RAYON
WIDTH:132CM
WEIGHT:127GSM</t>
  </si>
  <si>
    <t>ART.EBT270216
COMP:52%VI 48%RAYON
WIDTH:130CM
WEIGHT:130GSM</t>
  </si>
  <si>
    <t>ART.EBT270217
COMP:100%VI  
WIDTH:136CM
WEIGHT:135GSM</t>
  </si>
  <si>
    <t>ART.EBT270218
COMP:100%PL 
WIDTH:144CM
WEIGHT:176GSM</t>
  </si>
  <si>
    <t>ART.EBT270219
COMP:53%VI 47%RAYON
WIDTH:126-128CM
WEIGHT:128GSM</t>
  </si>
  <si>
    <t>ART.EBT270220
COMP:100%PL 
WIDTH:145cm
WEIGHT:52GSM</t>
  </si>
  <si>
    <t>ART.EBT270221
COMP:100%PL
WIDTH:152CM
WEIGHT:62GSM</t>
  </si>
  <si>
    <t>ART.EBT270222
COMP:100%VI
WIDTH:138CM
WEIGHT:112GSM</t>
  </si>
  <si>
    <t>ART.EBT270223
COMP:100%PL
WIDTH:57/58”
WEIGHT:93GSM</t>
  </si>
  <si>
    <t>ART.EBT270224
COMP:79%PL 18%VI 3%EA
WIDTH:160CM
WEIGHT:270GSM</t>
  </si>
  <si>
    <t>ART.EBT270225
COMP:56%VI 9%PL 30%PA 5%EA
WIDTH:148CM
WEIGHT:300GSM</t>
  </si>
  <si>
    <t>ART.EBT270226
COMP:39%PL 35%PA 19%VI 7%EA
WIDTH:160CM
WEIGHT:290GSM</t>
  </si>
  <si>
    <t>ART.EBT270227
COMP:100%VI
WIDTH:145CM
WEIGHT:81GSM</t>
  </si>
  <si>
    <t>ART.EBT270228
COMP: 100%LI
WIDTH:120CM
WEIGHT:125GSM</t>
  </si>
  <si>
    <t>ART.EBT270229
COMP:97% CO 3% EA 
WIDTH:133CM
WEIGHT:235GSM</t>
  </si>
  <si>
    <t>ART.EBT270230
COMP:100%PL
WIDTH:150CM
WEIGHT:109GSM</t>
  </si>
  <si>
    <t>ART.EBT270231
COMP:100%PL 
WIDTH:150CM
WEIGHT:80GSM</t>
  </si>
  <si>
    <t>ART.EBT270232
COMP:100%CO
WIDTH:132CM
WEIGHT:81GSM</t>
  </si>
  <si>
    <t>ART.EBT270233
COMP:
WIDTH:142CM
WEIGHT:143GSM</t>
  </si>
  <si>
    <t>ART.EBT270234
COMP:70%PL 23%VI 7%MET
WIDTH:147CM
WEIGHT:190G/M</t>
  </si>
  <si>
    <t>ART.EBT270235
COMP:98%PL 2%EA
WIDTH:132CM
WEIGHT:104GSM</t>
  </si>
  <si>
    <t>ART.EBT270236
COMP:100%PL
WIDTH:142CM
WEIGHT:120GSM</t>
  </si>
  <si>
    <t>ART.EBT270237
COMP:97%CO 3%EA 
WIDTH:117CM
WEIGHT:220GSM</t>
  </si>
  <si>
    <t>ART.EBT270238
COMP:97%CO 3%EA 
WIDTH:144CM
WEIGHT:163GSM</t>
  </si>
  <si>
    <t>ART.EBT270239
COMP:100%VI
WIDTH:134CM
WEIGHT:123GSM</t>
  </si>
  <si>
    <t>ART.EBT270240
COMP:100%CO 
WIDTH:144CM
WEIGHT:90GSM</t>
  </si>
  <si>
    <t>ART.EBT270241
COMP:94%CO 6%EA 
WIDTH:134CM
WEIGHT:278GSM</t>
  </si>
  <si>
    <t>ART.EBT270242
COMP:97%CO 3%EA 
WIDTH:144CM
WEIGHT:205GSM</t>
  </si>
  <si>
    <t>ART.EBT270243
COMP:97%CO 3%EA
WIDTH:144CM
WEIGHT:156GSM</t>
  </si>
  <si>
    <t>ART.EBT270244
COMP:52%CP 42%VI 6%EA 
WIDTH:134CM
WEIGHT:286GSM</t>
  </si>
  <si>
    <t>ART.EBT270245
COMP:70%CO 30%LI
WIDTH:134CM
WEIGHT:128GSM</t>
  </si>
  <si>
    <t>ART.EBT270246
COMP:97%CO 3%EA 
WIDTH:130CM
WEIGHT:205GSM</t>
  </si>
  <si>
    <t>ART.EBT270247
COMP:65%PL 33%VI 2%EA
WIDTH:145CM
WEIGHT:230GSM</t>
  </si>
  <si>
    <t>ART.EBT270248
COMP:99%PL 1%SP
WIDTH:
WEIGHT:290-300GSM</t>
  </si>
  <si>
    <t>EBT170193</t>
  </si>
  <si>
    <t>EBT170194</t>
  </si>
  <si>
    <t>EBT170195</t>
  </si>
  <si>
    <t>EBT170196</t>
  </si>
  <si>
    <t>EBT170197</t>
  </si>
  <si>
    <t>EBT170198</t>
  </si>
  <si>
    <t>EBT170199</t>
  </si>
  <si>
    <t>EBT170200</t>
  </si>
  <si>
    <t>EBT170201</t>
  </si>
  <si>
    <t>EBT170202</t>
  </si>
  <si>
    <t>EBT170203</t>
  </si>
  <si>
    <t>EBT170204</t>
  </si>
  <si>
    <t>EBT170205</t>
  </si>
  <si>
    <t>EBT170206</t>
  </si>
  <si>
    <t>EBT170207</t>
  </si>
  <si>
    <t>EBT170208</t>
  </si>
  <si>
    <t>EBT170209</t>
  </si>
  <si>
    <t>EBT170210</t>
  </si>
  <si>
    <t>EBT170211</t>
  </si>
  <si>
    <t>EBT170212</t>
  </si>
  <si>
    <t>EBT170213</t>
  </si>
  <si>
    <t>ART.EBT170193
COMP:89%PL 7%MET 4%EA
WIDTH:144CM
WEIGHT:200G/M2</t>
  </si>
  <si>
    <t>ART.EBT170194
COMP:86%PL 11%MET 3%EA
WIDTH:127CM
WEIGHT:165G/M2</t>
  </si>
  <si>
    <t>ART.EBT170195
COMP:55%CO 40%PL 5%EA
WIDTH:145CM
WEIGHT:210G/M2</t>
  </si>
  <si>
    <t>ART.EBT170196
COMP:89%PL 7%MET 4%EA
WIDTH:144CM
WEIGHT:200G/M2</t>
  </si>
  <si>
    <t>ART.EBT170197
COMP:89%PL 7%MET 4%EA
WIDTH:144CM
WEIGHT:200G/M2</t>
  </si>
  <si>
    <t>ART.EBT170198
COMP:89%PL 7%MET 4%EA
WIDTH:144CM
WEIGHT:200G/M2</t>
  </si>
  <si>
    <t>ART.EBT170199
COMP:100%PL
WIDTH:144CM
WEIGHT:290G/M2</t>
  </si>
  <si>
    <t>ART.EBT170200
COMP:100%PL
WIDTH:144CM
WEIGHT:225G/M2</t>
  </si>
  <si>
    <t>ART.EBT170201
COMP:100%PL
WIDTH:147CM
WEIGHT:220G/M2</t>
  </si>
  <si>
    <t>ART.EBT170202
COMP:100%PL
WIDTH:144CM
WEIGHT:75G/M2</t>
  </si>
  <si>
    <t>ART.EBT170203
COMP:100%PL
WIDTH:144CM
WEIGHT:333G/M2</t>
  </si>
  <si>
    <t>ART.EBT170204
COMP:95%PL 5%EA
WIDTH:144CM
WEIGHT:455G/M2</t>
  </si>
  <si>
    <t>ART.EBT170205
COMP:45%PL 41%PC 14%LUREX
WIDTH:144CM
WEIGHT:285G/M2</t>
  </si>
  <si>
    <t>ART.EBT170206
COMP:84%CO 16%PL
WIDTH:144CM
WEIGHT:235G/M2</t>
  </si>
  <si>
    <t>ART.EBT170207
COMP:65%PL 35%CO
WIDTH:125CM
WEIGHT:270G/M2</t>
  </si>
  <si>
    <t>ART.EBT170209
COMP:85%PL 15%LUREX
WIDTH:147CM
WEIGHT:320G/M2</t>
  </si>
  <si>
    <t>ART.EBT170212
COMP:100%PL
WIDTH:140CM
WEIGHT:314G/M2</t>
  </si>
  <si>
    <t>ART.EBT170213
COMP:95%PA 5%EA
WIDTH:125CM
WEIGHT:430G/M2</t>
  </si>
  <si>
    <t>EBT170179</t>
  </si>
  <si>
    <t>EBT170180</t>
  </si>
  <si>
    <t>EBT170181</t>
  </si>
  <si>
    <t>ART.EBT170179
COMP:66%PL 18%CO 16%PC
WIDTH:144CM
WEIGHT:340G/M2</t>
  </si>
  <si>
    <t>ART.EBT170180
COMP:65%PL 30%VI 5%EA
WIDTH:144CM
WEIGHT:320G/M2</t>
  </si>
  <si>
    <t>ART.EBT170181
COMP:65%PL 30%VI 5%EA
WIDTH:144CM
WEIGHT:380-400G/M2</t>
  </si>
  <si>
    <t>EBT170214</t>
  </si>
  <si>
    <t>EBT170215</t>
  </si>
  <si>
    <t>EBT170216</t>
  </si>
  <si>
    <t>EBT170218</t>
  </si>
  <si>
    <t>EBT170219</t>
  </si>
  <si>
    <t>EBT170220</t>
  </si>
  <si>
    <t>EBT170221</t>
  </si>
  <si>
    <t>EBT170222</t>
  </si>
  <si>
    <t>EBT170223</t>
  </si>
  <si>
    <t>EBT170224</t>
  </si>
  <si>
    <t>EBT170225</t>
  </si>
  <si>
    <t>EBT170226</t>
  </si>
  <si>
    <t>EBT170227</t>
  </si>
  <si>
    <t>EBT170228</t>
  </si>
  <si>
    <t>EBT170229</t>
  </si>
  <si>
    <t>EBT170230</t>
  </si>
  <si>
    <t>EBT170231</t>
  </si>
  <si>
    <t>ART.EBT170214
COMP:62%CO 32%PA 6%EA
WIDTH:144CM
WEIGHT:190G/M2</t>
  </si>
  <si>
    <t>ART.EBT170215
COMP:100%PL
WIDTH:144CM
WEIGHT:159G/M2</t>
  </si>
  <si>
    <t>ART.EBT170216
COMP:100%PL
WIDTH:144CM
WEIGHT:65G/M2</t>
  </si>
  <si>
    <t>ART.EBT170218
COMP:100%PL
WIDTH:144CM
WEIGHT:123G/M2</t>
  </si>
  <si>
    <t>ART.EBT170219
COMP:100%PL
WIDTH:144CM
WEIGHT:120G/M2</t>
  </si>
  <si>
    <t>ART.EBT170220
COMP:100%PL
WIDTH:144CM
WEIGHT:130G/M2</t>
  </si>
  <si>
    <t>ART.EBT170221
COMP:100%PL
WIDTH:144CM
WEIGHT:138G/M2</t>
  </si>
  <si>
    <t>ART.EBT170222
COMP:100%PL
WIDTH:144CM
WEIGHT:69G/M2</t>
  </si>
  <si>
    <t>ART.EBT170224
COMP:100%PL
WIDTH:142CM
WEIGHT:199G/M2</t>
  </si>
  <si>
    <t>ART.EBT170225
COMP:100%PL
WIDTH:142CM
WEIGHT:226G/M2</t>
  </si>
  <si>
    <t>ART.EBT170226
COMP:100%PL
WIDTH:142CM
WEIGHT:233G/M2</t>
  </si>
  <si>
    <t>ART.EBT170227
COMP:100%PL
WIDTH:137CM
WEIGHT:320G/M2</t>
  </si>
  <si>
    <t>ART.EBT170228
COMP:100%PL
WIDTH:144CM
WEIGHT:172G/M2</t>
  </si>
  <si>
    <t>ART.EBT170229
COMP:100%PL
WIDTH:144CM
WEIGHT:133G/M2</t>
  </si>
  <si>
    <t>ART.EBT170230
COMP:100%PL
WIDTH:144CM
WEIGHT:128G/M2</t>
  </si>
  <si>
    <t>ART.EBT170231
COMP:100%PL
WIDTH:144CM
WEIGHT:138G/M2</t>
  </si>
  <si>
    <t>EBT170182</t>
  </si>
  <si>
    <t>ART.EBT170182
COMP:86%PL 11%MET 3%EA
WIDTH:137CM
WEIGHT:155G/M2</t>
  </si>
  <si>
    <t>EBT170092PFD</t>
  </si>
  <si>
    <t>ART.EBT170092PFD
COMP:100%VI
WIDTH:142CM 
WEIGHT:177G/M2</t>
  </si>
  <si>
    <t>ART.EBT170210
COMP:96%PL 4%EA
WIDTH:125CM
WEIGHT:290G/M2</t>
    <phoneticPr fontId="51" type="noConversion"/>
  </si>
  <si>
    <t>ART.EBT170211
COMP:96%PL 4%EA
WIDTH:125CM
WEIGHT:290G/M2</t>
    <phoneticPr fontId="51" type="noConversion"/>
  </si>
  <si>
    <t>EBT170232</t>
  </si>
  <si>
    <t>EBT170233</t>
  </si>
  <si>
    <t>EBT170234</t>
  </si>
  <si>
    <t>EBT170235</t>
  </si>
  <si>
    <t>EBT170236</t>
  </si>
  <si>
    <t>EBT170237</t>
  </si>
  <si>
    <t>EBT170238</t>
  </si>
  <si>
    <t>EBT170239</t>
  </si>
  <si>
    <t>EBT170240</t>
  </si>
  <si>
    <t>EBT170241</t>
  </si>
  <si>
    <t>EBT170242</t>
  </si>
  <si>
    <t>EBT170243</t>
  </si>
  <si>
    <t>EBT170244</t>
  </si>
  <si>
    <t>EBT170245</t>
  </si>
  <si>
    <t>EBT170246</t>
  </si>
  <si>
    <t>EBT170247</t>
  </si>
  <si>
    <t>ART.EBT160715
COMP:32%PA 63%VI 5%EA
WIDTH:144CM
WEIGHT:306G/M2</t>
    <phoneticPr fontId="51" type="noConversion"/>
  </si>
  <si>
    <t>ART.EBT170232
COMP:75%PL 25%VI
WIDTH:114CM
WEIGHT:</t>
  </si>
  <si>
    <t>ART.EBT170233
COMP:75%PL 25%VI
WIDTH:114CM
WEIGHT:</t>
  </si>
  <si>
    <t>ART.EBT170234
COMP:100%PL
WIDTH:155CM
WEIGHT:510G/M</t>
  </si>
  <si>
    <t>ART.EBT170235
COMP:100%PL
WIDTH:155CM
WEIGHT:500G/M</t>
  </si>
  <si>
    <t>ART.EBT170236
COMP:100%PL
WIDTH:155CM
WEIGHT:510G/M</t>
  </si>
  <si>
    <t>ART.EBT170237
COMP:96%PL 4%EA
WIDTH:160CM
WEIGHT:280G/M2</t>
  </si>
  <si>
    <t>ART.EBT170238
COMP:96%PL 4%EA
WIDTH:160CM
WEIGHT:260G/M2</t>
  </si>
  <si>
    <t>ART.EBT170239
COMP:95%PL 5%EA
WIDTH:140CM
WEIGHT:365G/M2</t>
  </si>
  <si>
    <t>ART.EBT170240
COMP:98%PL 2%EA
WIDTH:150CM
WEIGHT:390G/M2</t>
  </si>
  <si>
    <t>ART.EBT170241
COMP:95%PL 5%EA
WIDTH:145CM
WEIGHT:330G/M2</t>
  </si>
  <si>
    <t>ART.EBT170242
COMP:98%PL 2%EA
WIDTH:145CM
WEIGHT:395G/M2</t>
  </si>
  <si>
    <t>ART.EBT170243
COMP:98%PL 2%EA
WIDTH:145CM
WEIGHT:390G/M2</t>
  </si>
  <si>
    <t>ART.EBT170244
COMP:95%PL 5%EA
WIDTH:145CM
WEIGHT:320G/M2</t>
  </si>
  <si>
    <t>ART.EBT170245
COMP:95%PL 5%EA
WIDTH:145CM
WEIGHT:350G/M2</t>
  </si>
  <si>
    <t>ART.EBT170246
COMP:95%PL 5%EA
WIDTH:145CM
WEIGHT:335G/M2</t>
  </si>
  <si>
    <t>ART.EBT170247
COMP:95%PL 5%EA
WIDTH:150CM
WEIGHT:264G/M2</t>
  </si>
  <si>
    <t>ART.EBT170105
COMP:88%PA；12%EA
WIDTH:144CM
WEIGHT:225G/M2</t>
    <phoneticPr fontId="51" type="noConversion"/>
  </si>
  <si>
    <t>EBT170250</t>
  </si>
  <si>
    <t>EBT170251</t>
  </si>
  <si>
    <t>EBT170252</t>
  </si>
  <si>
    <t>ART.EBT170251
COMP:35.1%VI 31.1%PA 22.6%CO 11.2%PL
WIDTH:138CM
WEIGHT:</t>
  </si>
  <si>
    <t>ART.EBT170252
COMP:39%CO 25%PA 20%VI 16%PL
WIDTH:138CM
WEIGHT:</t>
  </si>
  <si>
    <t>EBT170253</t>
  </si>
  <si>
    <t>ART.EBT170253
COMP:100%PL
WIDTH:125CM
WEIGHT:430G/M2</t>
    <phoneticPr fontId="51" type="noConversion"/>
  </si>
  <si>
    <t>EBT170134</t>
  </si>
  <si>
    <t>ART.EBT170134
COMP:F:94%PL 6%EA  G:100%PL  
WIDTH:144CM
WEIGHT:300G/M2</t>
    <phoneticPr fontId="51" type="noConversion"/>
  </si>
  <si>
    <t>ART.EBT170208
COMP:90%PL 10%LUREX
WIDTH:144CM
WEIGHT:200G/M2</t>
    <phoneticPr fontId="51" type="noConversion"/>
  </si>
  <si>
    <t>EBT170132</t>
  </si>
  <si>
    <t>ART.EBT170132
COMP:F:63%PL 33%VI 4%EA G:70%PL 30%VI
WIDTH:137CM
WEIGHT:447G/M2</t>
  </si>
  <si>
    <t>EBT170133</t>
  </si>
  <si>
    <t>EBT170254</t>
  </si>
  <si>
    <t>ART.EBT170133
COMP:100%PL
WIDTH:137cm
WEIGHT:</t>
  </si>
  <si>
    <t>ART.EBT170254
COMP:100%PL
WIDTH:137CM
WEIGHT:</t>
  </si>
  <si>
    <t>EBT170255</t>
  </si>
  <si>
    <t>EBT170256</t>
  </si>
  <si>
    <t>EBT170257</t>
  </si>
  <si>
    <t>EBT170258</t>
  </si>
  <si>
    <t>EBT170259</t>
  </si>
  <si>
    <t>EBT170260</t>
  </si>
  <si>
    <t>EBT170261</t>
  </si>
  <si>
    <t>EBT170262</t>
  </si>
  <si>
    <t>EBT170263</t>
  </si>
  <si>
    <t>EBT170264</t>
  </si>
  <si>
    <t>EBT170265</t>
  </si>
  <si>
    <t>EBT170266</t>
  </si>
  <si>
    <t>EBT170267</t>
  </si>
  <si>
    <t>EBT170268</t>
  </si>
  <si>
    <t>ART.EBT170255
COMP:100%PL
WIDTH:128CM
WEIGHT:</t>
  </si>
  <si>
    <t>ART.EBT170256
COMP:100%PL
WIDTH:128CM
WEIGHT:</t>
  </si>
  <si>
    <t>ART.EBT170257
COMP:100%PL
WIDTH:128CM
WEIGHT:</t>
  </si>
  <si>
    <t>ART.EBT170258
COMP:100%VI
WIDTH:134CM
WEIGHT:185G/M2</t>
  </si>
  <si>
    <t>ART.EBT170259
COMP:63%PL 20%VI 15%LUREX 2%EA
WIDTH:140CM
WEIGHT:260G/M2</t>
  </si>
  <si>
    <t>ART.EBT170260
COMP:63%PL 20%VI 15%LUREX 2%EA
WIDTH:140CM
WEIGHT:263G/M2</t>
  </si>
  <si>
    <t>ART.EBT170261
COMP:100%PL
WIDTH:145CM
WEIGHT:250G/M2</t>
  </si>
  <si>
    <t>ART.EBT170262
COMP:100%PL
WIDTH:145CM
WEIGHT:250G/M2</t>
  </si>
  <si>
    <t>ART.EBT170263
COMP:90%PL 10%EA
WIDTH:145CM
WEIGHT:360G/M2</t>
  </si>
  <si>
    <t>ART.EBT170264
COMP:90%PL 10%EA
WIDTH:145CM
WEIGHT:360G/M2</t>
  </si>
  <si>
    <t>ART.EBT170265
COMP:90%PL 10%EA
WIDTH:145CM
WEIGHT:360G/M2</t>
  </si>
  <si>
    <t>ART.EBT170266
COMP:100%PL
WIDTH:145cm
WEIGHT:210G/M2</t>
  </si>
  <si>
    <t>ART.EBT170267
COMP:98%CO 2%EA
WIDTH:137CM
WEIGHT:370G/M2</t>
  </si>
  <si>
    <t>ART.EBT170268
COMP:100%CO
WIDTH:137CM
WEIGHT:290G/M2</t>
  </si>
  <si>
    <t>EBT170270</t>
  </si>
  <si>
    <t>EBT170271</t>
  </si>
  <si>
    <t>EBT170269</t>
  </si>
  <si>
    <t>ART.EBT170271
COMP:F:95%PL 5%EA G:95%PL 5%EA
WIDTH:140CM
WEIGHT:480G/M2</t>
    <phoneticPr fontId="51" type="noConversion"/>
  </si>
  <si>
    <t>ART.EBT170269
COMP:95%LIN 5%VI
WIDTH:150CM
WEIGHT:</t>
    <phoneticPr fontId="51" type="noConversion"/>
  </si>
  <si>
    <t>ART.EBT170270
COMP:F:95%PL 5%EA G:95%PL 5%EA
WIDTH:140CM
WEIGHT:490G/M2</t>
    <phoneticPr fontId="51" type="noConversion"/>
  </si>
  <si>
    <t>EBT170272</t>
  </si>
  <si>
    <t>EBT170273</t>
  </si>
  <si>
    <t>EBT170274</t>
  </si>
  <si>
    <t>EBT170275</t>
  </si>
  <si>
    <t>EBT170276</t>
  </si>
  <si>
    <t>EBT170277</t>
  </si>
  <si>
    <t>EBT170278</t>
  </si>
  <si>
    <t>ART.EBT170272
COMP:100%PL
WIDTH:142CM
WEIGHT:92GSM</t>
  </si>
  <si>
    <t>ART.EBT170273
COMP:100%PL
WIDTH:142CM
WEIGHT:141GSM</t>
  </si>
  <si>
    <t>ART.EBT170274
COMP:100%PL
WIDTH:142CM
WEIGHT:145GSM</t>
  </si>
  <si>
    <t>ART.EBT170275
COMP:100%PL
WIDTH:142CM
WEIGHT:122GSM</t>
  </si>
  <si>
    <t>ART.EBT170276
COMP:60%PL 40%PA
WIDTH:142CM
WEIGHT:142GSM</t>
  </si>
  <si>
    <t>ART.EBT170277
COMP:100%PL
WIDTH:142CM
WEIGHT:120GSM</t>
  </si>
  <si>
    <t>ART.EBT170278
COMP:100%PL
WIDTH:142CM
WEIGHT:130GSM</t>
  </si>
  <si>
    <t>EBT270249</t>
  </si>
  <si>
    <t>EBT270250</t>
  </si>
  <si>
    <t>EBT270251</t>
  </si>
  <si>
    <t>EBT270252</t>
  </si>
  <si>
    <t>EBT270253</t>
  </si>
  <si>
    <t>EBT270254</t>
  </si>
  <si>
    <t>EBT270255</t>
  </si>
  <si>
    <t>EBT270256</t>
  </si>
  <si>
    <t>EBT270257</t>
  </si>
  <si>
    <t>EBT270258</t>
  </si>
  <si>
    <t>ART.EBT270248
COMP:99%PL 1%EA
WIDTH:
WEIGHT:290-300GSM</t>
  </si>
  <si>
    <t>ART.EBT270249
COMP:68%PL 30%VI 2%EA
WIDTH:145CM
WEIGHT:440GSM</t>
  </si>
  <si>
    <t>ART.EBT270250
COMP:100%PL
WIDTH:147CM
WEIGHT:80GSM</t>
  </si>
  <si>
    <t>ART.EBT270251
COMP:100%PL
WIDTH:148CM
WEIGHT:72GSM</t>
  </si>
  <si>
    <t xml:space="preserve">ART.EBT270252
COMP:64%PL 34% VI 2%EA
WIDTH:142-144CM 
WEIGHT:220-230gsm </t>
  </si>
  <si>
    <t xml:space="preserve">ART.EBT270253
COMP:64%PL 34% VI 2%EA
WIDTH:142-144CM 
WEIGHT:220-230gsm </t>
  </si>
  <si>
    <t xml:space="preserve">ART.EBT270254
COMP:64%PL 34% VI 2%EA
WIDTH:142-144CM 
WEIGHT:220-230gsm </t>
  </si>
  <si>
    <t xml:space="preserve">ART.EBT270255
COMP:64%PL 34% VI 2%EA
WIDTH:142-144CM 
WEIGHT:220-230gsm </t>
  </si>
  <si>
    <t>ART.EBT270256
COMP:78%PL 20%VI 2%EA
WIDTH:145cm
WEIGHT:445GSM</t>
  </si>
  <si>
    <t>ART.EBT270257
COMP:64%PL 34%VI 2%EA
WIDTH:142CM
WEIGHT:400GSM</t>
  </si>
  <si>
    <t>ART.EBT270258
COMP:84%PL 15%CO 1%EA
WIDTH:142CM
WEIGHT:320-340GSM</t>
  </si>
  <si>
    <t>EBT170280</t>
  </si>
  <si>
    <t>EBT170281</t>
  </si>
  <si>
    <t>ART.EBT170280
COMP:18% PA 82%VISCOSE
WIDTH:135CM
WEIGHT:</t>
  </si>
  <si>
    <t>ART.EBT170281
COMP:18% PA 82%VISCOSE
WIDTH:135CM
WEIGHT:</t>
  </si>
  <si>
    <t>EBT170282</t>
  </si>
  <si>
    <t>ART.EBT170282
COMP:18% PA 82%VISCOSE
WIDTH:135cm
WEIGHT:</t>
  </si>
  <si>
    <t>EBT170169</t>
  </si>
  <si>
    <t>EBT170168</t>
  </si>
  <si>
    <t>EBT350011</t>
  </si>
  <si>
    <t>EBT350012</t>
  </si>
  <si>
    <t>EBT350032</t>
  </si>
  <si>
    <t>EBT350033</t>
  </si>
  <si>
    <t>EBT350034</t>
  </si>
  <si>
    <t>EBT350035</t>
  </si>
  <si>
    <t>EBT350036</t>
  </si>
  <si>
    <t>EBT350037</t>
  </si>
  <si>
    <t>EBT350038</t>
  </si>
  <si>
    <t>EBT350039</t>
  </si>
  <si>
    <t>EBT350040</t>
  </si>
  <si>
    <t>EBT350041</t>
  </si>
  <si>
    <t>EBT350042</t>
  </si>
  <si>
    <t>EBT350043</t>
  </si>
  <si>
    <t>EBT350044</t>
  </si>
  <si>
    <t>EBT350045</t>
  </si>
  <si>
    <t>EBT350046</t>
  </si>
  <si>
    <t>EBT350048</t>
  </si>
  <si>
    <t>EBT350049</t>
  </si>
  <si>
    <t>EBT350051</t>
  </si>
  <si>
    <t>EBT350052</t>
  </si>
  <si>
    <t>EBT350053</t>
  </si>
  <si>
    <t>EBT350054</t>
  </si>
  <si>
    <t>EBT350055</t>
  </si>
  <si>
    <t>EBT350056</t>
  </si>
  <si>
    <t>EBT350058</t>
  </si>
  <si>
    <t>EBT350059</t>
  </si>
  <si>
    <t>EBT350060</t>
  </si>
  <si>
    <t>EBT350061</t>
  </si>
  <si>
    <t>EBT350063</t>
  </si>
  <si>
    <t>EBT350064</t>
  </si>
  <si>
    <t>EBT350065</t>
  </si>
  <si>
    <t>ART.EBT350011
COMP:44%PL 35%VI 9%ME4%PA 8% EA 
WIDTH:140CM
WEIGHT:442GSM</t>
  </si>
  <si>
    <t>ART.EBT350012
COMP:44%PL 35%VI 9%ME4%PA 8% EA 
WIDTH:140CM
WEIGHT:442GSM</t>
  </si>
  <si>
    <t xml:space="preserve">ART.EBT350032
COMP:98%CO 2%EA
WIDTH:134CM
WEIGHT:200GSM </t>
  </si>
  <si>
    <t>ART.EBT350033
COMP:76%CO 22%VI 2%EA
WIDTH:129CM
WEIGHT:270GSM</t>
  </si>
  <si>
    <t xml:space="preserve">ART.EBT350034
COMP:87%CO 11%VI 2%EA
WIDTH:135CM
WEIGHT:220GSM </t>
  </si>
  <si>
    <t xml:space="preserve">ART.EBT350035
COMP:87%CO 11%VI 2%EA
WIDTH:138CM
WEIGHT:220GSM </t>
  </si>
  <si>
    <t xml:space="preserve">ART.EBT350036
COMP:52%PL 34%VI 10%WO 4%EA
WIDTH:145CM
WEIGHT:230GSM </t>
  </si>
  <si>
    <t xml:space="preserve">ART.EBT350037
COMP:52%PL 34%VI 10%WO 4%EA
WIDTH:145CM
WEIGHT:230GSM </t>
  </si>
  <si>
    <t xml:space="preserve">ART.EBT350038
COMP:52%PL 34%VI 10%WO 4%EA
WIDTH:145CM
WEIGHT:230GSM </t>
  </si>
  <si>
    <t xml:space="preserve">ART.EBT350039
COMP:52%PL 34%VI 10%WO 4%EA
WIDTH:145CM
WEIGHT:230GSM </t>
  </si>
  <si>
    <t xml:space="preserve">ART.EBT350040
COMP:95% CO 5%EA
WIDTH:145CM
WEIGHT:230GSM </t>
  </si>
  <si>
    <t xml:space="preserve">ART.EBT350041
COMP:95% CO 5%EA
WIDTH:145CM
WEIGHT:230GSM </t>
  </si>
  <si>
    <t xml:space="preserve">ART.EBT350042
COMP:95% CO 5%EA
WIDTH:145CM
WEIGHT:230GSM </t>
  </si>
  <si>
    <t xml:space="preserve">ART.EBT350043
COMP:95% CO 5%EA
WIDTH:145CM
WEIGHT:230GSM </t>
  </si>
  <si>
    <t xml:space="preserve">ART.EBT350044
COMP:52%PL 34%VI 10%WO 4%EA
WIDTH:145CM
WEIGHT:230GSM </t>
  </si>
  <si>
    <t xml:space="preserve">ART.EBT350045
COMP:100%LI
WIDTH:150CM
WEIGHT:160GSM </t>
  </si>
  <si>
    <t xml:space="preserve">ART.EBT350046
COMP:100%LI
WIDTH:150CM
WEIGHT:160GSM </t>
  </si>
  <si>
    <t xml:space="preserve">ART.EBT350048
COMP:100%LI
WIDTH:150CM
WEIGHT:160GSM </t>
  </si>
  <si>
    <t xml:space="preserve">ART.EBT350052
COMP:98%CO 2% EA
WIDTH:140CM
WEIGHT:250GSM </t>
  </si>
  <si>
    <t xml:space="preserve">ART.EBT350053
COMP:98%CO 2% EA
WIDTH:140CM
WEIGHT:250GSM </t>
  </si>
  <si>
    <t xml:space="preserve">ART.EBT350054
COMP:98%CO 2% EA
WIDTH:140CM
WEIGHT:250GSM </t>
  </si>
  <si>
    <t xml:space="preserve">ART.EBT350055
COMP:100%CO
WIDTH:140CM
WEIGHT:200GSM </t>
  </si>
  <si>
    <t>ART.EBT350056
COMP:70%LI 30%CO 
WIDTH:140CM
WEIGHT:150GSM</t>
  </si>
  <si>
    <t>ART.EBT350058
COMP:70%LI 30%CO 
WIDTH:140CM
WEIGHT:150GSM</t>
  </si>
  <si>
    <t xml:space="preserve">ART.EBT350059
COMP:52%PL 34%VI 10%WO 4%EA
WIDTH:145CM
WEIGHT:290GSM </t>
  </si>
  <si>
    <t xml:space="preserve">ART.EBT350060
COMP:95%CO 5%VI
WIDTH:143CM
WEIGHT:110GSM </t>
  </si>
  <si>
    <t xml:space="preserve">ART.EBT350061
COMP:95%CO 5%VI
WIDTH:143CM
WEIGHT:110GSM </t>
  </si>
  <si>
    <t xml:space="preserve">ART.EBT350063
COMP:90%CO 5%VI 5%EA
WIDTH:145CM
WEIGHT:230GSM </t>
  </si>
  <si>
    <t xml:space="preserve">ART.EBT350064
COMP:100%LI
WIDTH:145CM
WEIGHT:160GSM </t>
  </si>
  <si>
    <t xml:space="preserve">ART.EBT350065
COMP:100%CO 
WIDTH:145CM 
WEIGHT:110GSM </t>
  </si>
  <si>
    <t>EBT170283</t>
  </si>
  <si>
    <t>ART.EBT170283
COMP:100%PL
WIDTH:142CM
WEIGHT:360G/M2</t>
  </si>
  <si>
    <t>ART.EBT260314
COMP:57%PL 38%CO 5%EL
WIDTH:142CM
WEIGHT:240G/M2</t>
    <phoneticPr fontId="51" type="noConversion"/>
  </si>
  <si>
    <t>ART.EBT170250
COMP:40%PA 40%VI  20%CO
WIDTH:138CM
WEIGHT:</t>
    <phoneticPr fontId="51" type="noConversion"/>
  </si>
  <si>
    <t>EBT130753</t>
  </si>
  <si>
    <t>ART.EBT130753
COMP:30%WO 20%A 50%PL
WIDTH:146CM
WEIGHT:620-630G/M</t>
  </si>
  <si>
    <t>EBT170285</t>
  </si>
  <si>
    <t>EBT170286</t>
  </si>
  <si>
    <t>ART.EBT170285
COMP:100%CO
WIDTH:142CM
WEIGHT:195G/M2</t>
  </si>
  <si>
    <t>ART.EBT170286
COMP:100%PL
WIDTH:145CM
WEIGHT:368G/M2</t>
  </si>
  <si>
    <t>EBT170089</t>
  </si>
  <si>
    <t>ART.EBT170089
COMP:67%PL 28%VI 5%EA
WIDTH:140CM
WEIGHT:400G/M2</t>
  </si>
  <si>
    <t>EBT270264</t>
  </si>
  <si>
    <t>ART.EBT270264
COMP:50%CO 46%PL 4%EA
WIDTH:142CM
WEIGHT:270GSM</t>
  </si>
  <si>
    <t>EBT170288</t>
  </si>
  <si>
    <t>EBT170289</t>
  </si>
  <si>
    <t>ART.EBT170288
COMP:100%LIN
WIDTH:142CM
WEIGHT:136G/M2</t>
  </si>
  <si>
    <t>ART.EBT170289
COMP:55%LIN 45%CO
WIDTH:142CM
WEIGHT:147G/M2</t>
  </si>
  <si>
    <t>EBT170290</t>
  </si>
  <si>
    <t>EBT170291</t>
  </si>
  <si>
    <t>EBT170292</t>
  </si>
  <si>
    <t>EBT170293</t>
  </si>
  <si>
    <t>EBT170294</t>
  </si>
  <si>
    <t>EBT170295</t>
  </si>
  <si>
    <t>EBT170296</t>
  </si>
  <si>
    <t>EBT170297</t>
  </si>
  <si>
    <t>EBT170298</t>
  </si>
  <si>
    <t>ART.EBT170290
COMP:100%LIN
WIDTH:145CM
WEIGHT:175G/M2</t>
  </si>
  <si>
    <t>ART.EBT170291
COMP:100%LIN
WIDTH:145CM
WEIGHT:175G/M2</t>
  </si>
  <si>
    <t>ART.EBT170292
COMP:100%LIN
WIDTH:145CM
WEIGHT:175G/M2</t>
  </si>
  <si>
    <t>ART.EBT170293
COMP:55%LIN 40%VI 5%LUREX
WIDTH:145CM
WEIGHT:175G/M2</t>
  </si>
  <si>
    <t>ART.EBT170294
COMP:100%LIN
WIDTH:145CM
WEIGHT:180G/M2</t>
  </si>
  <si>
    <t>ART.EBT170295
COMP:90%LIN 10%LUREX
WIDTH:145CM
WEIGHT:160G/M2</t>
  </si>
  <si>
    <t>ART.EBT170296
COMP:55%LIN 45%CO
WIDTH:145CM
WEIGHT:160G/M2</t>
  </si>
  <si>
    <t>ART.EBT170297
COMP:100%LIN
WIDTH:145CM
WEIGHT:175G/M2</t>
  </si>
  <si>
    <t>ART.EBT170298
COMP:100%LIN
WIDTH:145CM
WEIGHT:175G/M2</t>
  </si>
  <si>
    <t>EBT170299</t>
  </si>
  <si>
    <t>EBT170300</t>
  </si>
  <si>
    <t>EBT170301</t>
  </si>
  <si>
    <t>ART.EBT170299
COMP:F:100%PA G:100%PL
WIDTH:150CM
WEIGHT:250G/M</t>
  </si>
  <si>
    <t>ART.EBT170300
COMP:F:100%PA G:100%PL
WIDTH:150CM
WEIGHT:250G/M</t>
  </si>
  <si>
    <t>ART.EBT170301
COMP:F:100%PA G:100%PL
WIDTH:150CM
WEIGHT:300G/M</t>
  </si>
  <si>
    <t>ART.EBT101318
COMP:97%CO 3%EA
WIDTH:144CM
WEIGHT:162G/M2</t>
    <phoneticPr fontId="51" type="noConversion"/>
  </si>
  <si>
    <t>ART.EBT101318
COMP:97%CO 3%EA
WIDTH:144CM
WEIGHT:162GSM</t>
  </si>
  <si>
    <t>EBT170303</t>
  </si>
  <si>
    <t>EBT170304</t>
  </si>
  <si>
    <t>ART.EBT170304
COMP:100%PL
WIDTH:130CM
WEIGHT:125G/M2</t>
  </si>
  <si>
    <t>ART.EBT170303
COMP:73%VI 27%PA
WIDTH:125CM
WEIGHT:160G/M2</t>
    <phoneticPr fontId="51" type="noConversion"/>
  </si>
  <si>
    <t>EBT170305</t>
  </si>
  <si>
    <t>ART.EBT170305
COMP:25%PA 75%VI
WIDTH:114CM
WEIGHT:155G/M2</t>
  </si>
  <si>
    <t>EBT170306</t>
  </si>
  <si>
    <t>EBT170287</t>
  </si>
  <si>
    <t>ART.EBT170287
COMP:52%Co;44%PA;4%EA
WIDTH:141CM
WEIGHT:246/M2</t>
  </si>
  <si>
    <t>ART.EBT170306
COMP:65%PL 35%CO
WIDTH:124CM
WEIGHT:210GSM</t>
    <phoneticPr fontId="51" type="noConversion"/>
  </si>
  <si>
    <t>EBT170307</t>
  </si>
  <si>
    <t>EBT170308</t>
  </si>
  <si>
    <t>EBT170309</t>
  </si>
  <si>
    <t>EBT170310</t>
  </si>
  <si>
    <t>ART.EBT170307
COMP:97%PL 3%EA
WIDTH:144CM
WEIGHT:85G/M2</t>
  </si>
  <si>
    <t>ART.EBT170308
COMP:100%PL
WIDTH:144CM
WEIGHT:165G/M2</t>
  </si>
  <si>
    <t>ART.EBT170309
COMP:96%PL 4%EA
WIDTH:144CM
WEIGHT:225G/M2</t>
  </si>
  <si>
    <t>ART.EBT170310
COMP:100%LI
WIDTH:140CM
WEIGHT:165G/M2</t>
  </si>
  <si>
    <t>EBT170311</t>
  </si>
  <si>
    <t>EBT170312</t>
  </si>
  <si>
    <t>EBT170313</t>
  </si>
  <si>
    <t>EBT170314</t>
  </si>
  <si>
    <t>EBT170315</t>
  </si>
  <si>
    <t>EBT170316</t>
  </si>
  <si>
    <t>EBT170317</t>
  </si>
  <si>
    <t>EBT170318</t>
  </si>
  <si>
    <t>EBT170319</t>
  </si>
  <si>
    <t>ART.EBT170311
COMP:61%VI 22%PA 14%PL 3%EA
WIDTH:144CM
WEIGHT:260G/M2</t>
  </si>
  <si>
    <t>ART.EBT170312
COMP:72%VI 15%PL 10%PA 3%EA
WIDTH:144CM
WEIGHT:270G/M2</t>
  </si>
  <si>
    <t>ART.EBT170313
COMP:61%VI 22%PA 14%PL 3%EA
WIDTH:144CM
WEIGHT:285G/M2</t>
  </si>
  <si>
    <t>ART.EBT170314
COMP:61%VI 22%PA 14%PL 3%EA
WIDTH:144CM
WEIGHT:270G/M2</t>
  </si>
  <si>
    <t>ART.EBT170315
COMP:72%VI 15%PL 10%PA 3%EA
WIDTH:144CM
WEIGHT:282G/M2</t>
  </si>
  <si>
    <t>ART.EBT170316
COMP:61%VI 22%PA 14%PL 3%EA
WIDTH:144CM
WEIGHT:270G/M2</t>
  </si>
  <si>
    <t>ART.EBT170317
COMP:61%VI 22%PA 14%PL 3%EA
WIDTH:144CM
WEIGHT:280G/M2</t>
  </si>
  <si>
    <t>ART.EBT170318
COMP:61%VI 22%PA 14%PL 3%EA
WIDTH:144CM
WEIGHT:207G/M2</t>
  </si>
  <si>
    <t>ART.EBT170319
COMP:61%VI 22%PA 14%PL 3%EA
WIDTH:144CM
WEIGHT:280G/M2</t>
  </si>
  <si>
    <t>EBT270259</t>
  </si>
  <si>
    <t>EBT270260</t>
  </si>
  <si>
    <t>EBT270261</t>
  </si>
  <si>
    <t>EBT270262</t>
  </si>
  <si>
    <t>EBT270263</t>
  </si>
  <si>
    <t>EBT270265</t>
  </si>
  <si>
    <t>EBT270267</t>
  </si>
  <si>
    <t>EBT270269</t>
  </si>
  <si>
    <t>EBT270270</t>
  </si>
  <si>
    <t>EBT270271</t>
  </si>
  <si>
    <t>EBT270272</t>
  </si>
  <si>
    <t>EBT270273</t>
  </si>
  <si>
    <t>EBT270274</t>
  </si>
  <si>
    <t>EBT270275</t>
  </si>
  <si>
    <t>EBT270276</t>
  </si>
  <si>
    <t>EBT270277</t>
  </si>
  <si>
    <t>EBT270278</t>
  </si>
  <si>
    <t>EBT270279</t>
  </si>
  <si>
    <t>EBT270280</t>
  </si>
  <si>
    <t>EBT270281</t>
  </si>
  <si>
    <t>EBT270282</t>
  </si>
  <si>
    <t>EBT270283</t>
  </si>
  <si>
    <t>EBT270284</t>
  </si>
  <si>
    <t>EBT270285</t>
  </si>
  <si>
    <t>EBT270286</t>
  </si>
  <si>
    <t>EBT270287</t>
  </si>
  <si>
    <t>EBT270288</t>
  </si>
  <si>
    <t>ART.EBT270259
COMP: FACE:100%PL BACK:95%PL 5%EA 
WIDTH:145CM
WEIGHT:364GSM</t>
  </si>
  <si>
    <t>ART.EBT270260
COMP: FACE:100%PL BACK:95%PL 5%EA 
WIDTH:148CM
WEIGHT:333GSM</t>
  </si>
  <si>
    <t>ART.EBT270261
COMP: FACE:100%PL BACK:95%PL 5%EA 
WIDTH:148CM
WEIGHT:322GSM</t>
  </si>
  <si>
    <t>ART.EBT270262
COMP: FACE:100%PL BACK:95%PL 5%EA 
WIDTH:144CM
WEIGHT:374GSM</t>
  </si>
  <si>
    <t>ART.EBT270263
COMP: FACE:100%PL BACK:95%PL 5%EA 
WIDTH:145CM
WEIGHT:375GSM</t>
  </si>
  <si>
    <t>ART.EBT270265
COMP: FACE:46%PL 38%PA 16%EA BACK:95%PL 5%EA
WIDTH:150cm
WEIGHT:450GSM</t>
  </si>
  <si>
    <t>ART.EBT270267
COMP:22%PA 78%CO  EMB：100%PL
WIDTH:125CM
WEIGHT:</t>
  </si>
  <si>
    <t>ART.EBT270269
COMP:64%PL 34%VI 2%EA 
WIDTH:145CM
WEIGHT:240GSM</t>
  </si>
  <si>
    <t>ART.EBT270270
COMP:80%PL 18%VI  2%EA
WIDTH:145CM
WEIGHT:172GSM</t>
  </si>
  <si>
    <t>ART.EBT270271
COMP:65%PL  35%VI 
WIDTH:132M
WEIGHT:100GSM</t>
  </si>
  <si>
    <t>ART.EBT270272
COMP:67%CO 30%PA 1%LUREX 2%EA
WIDTH:123CM
WEIGHT:112GSM</t>
  </si>
  <si>
    <t>ART.EBT270273
COMP:65%PL 35%VI  
WIDTH:120CM
WEIGHT:110GSM</t>
  </si>
  <si>
    <t>ART.EBT270274
COMP:65%PL 35%VI 
WIDTH:120CM
WEIGHT:110GSM</t>
  </si>
  <si>
    <t>ART.EBT270275
COMP:65%PL 35%VI
WIDTH:150CM
WEIGHT:135GSM</t>
  </si>
  <si>
    <t>ART.EBT270276
COMP:100%CO
WIDTH:142CM
WEIGHT:200GSM</t>
  </si>
  <si>
    <t>ART.EBT270277
COMP:100%PL
WIDTH:150CM
WEIGHT:1000G/M</t>
  </si>
  <si>
    <t>ART.EBT270278
COMP:100%PL
WIDTH:150CM
WEIGHT:700G/M</t>
  </si>
  <si>
    <t>ART.EBT270279
COMP:FACE:100%PL BACK:100%PU
WIDTH:137CM
WEIGHT:450G/M</t>
  </si>
  <si>
    <t>ART.EBT270280
COMP:100%PL
WIDTH:150CM
WEIGHT:735G/M</t>
  </si>
  <si>
    <t>ART.EBT270281
COMP:36%PL 43%CO 18%LI 3%EA
WIDTH:132CM
WEIGHT:165GSM</t>
  </si>
  <si>
    <t>ART.EBT270282
COMP:100% CO
WIDTH:145CM
WEIGHT:106GSM</t>
  </si>
  <si>
    <t>ART.EBT270283
COMP:100%PL
WIDTH:145CM
WEIGHT:800G/M</t>
  </si>
  <si>
    <t>ART.EBT270284
COMP:100%PL
WIDTH:145CM
WEIGHT:800G/M</t>
  </si>
  <si>
    <t>ART.EBT270285
COMP:71%PL 27%CO 2%EA
WIDTH:142CM
WEIGHT:245GSM</t>
  </si>
  <si>
    <t>ART.EBT270286
COMP:65%PL 33%VI 2%EA
WIDTH:150CM
WEIGHT:370GSM</t>
  </si>
  <si>
    <t>ART.EBT270287
COMP:42%PL 10%MET 43%CO 5%EA
WIDTH:141CM
WEIGHT:240GSM</t>
  </si>
  <si>
    <t>ART.EBT270288
COMP:48%C 47%PL 5%MTL
WIDTH:146CM
WEIGHT:340GSM</t>
  </si>
  <si>
    <t>ART.EBT250001
COMP:63%PL 32%VI 5%EA
WIDTH:145CM
WEIGHT:290G/M2</t>
    <phoneticPr fontId="51" type="noConversion"/>
  </si>
  <si>
    <t>ART.EBT270153
COMP:5%WO 95%OT
WIDTH:144cm
WEIGHT:330G/M2</t>
    <phoneticPr fontId="51" type="noConversion"/>
  </si>
  <si>
    <t>EBT270002</t>
  </si>
  <si>
    <t>ART.EBT270002
COMP:40%PA 60%CO
WIDTH:141CM
WEIGHT:120GSM</t>
  </si>
  <si>
    <t>EBT170329</t>
  </si>
  <si>
    <t>EBT170330</t>
  </si>
  <si>
    <t>EBT170331</t>
  </si>
  <si>
    <t>ART.EBT170329
COMP:70%PL 30%PC
WIDTH:56"
WEIGHT:422GSM</t>
  </si>
  <si>
    <t>ART.EBT170330
COMP:100%PL 
WIDTH:56"
WEIGHT:436GSM</t>
  </si>
  <si>
    <t>ART.EBT170331
COMP:100%PL
WIDTH:56"
WEIGHT:478GSM</t>
  </si>
  <si>
    <t>ART.EBT10172
COMP:76%PL 20%VI 4%EA
WIDTH:145CM
WEIGHT:360G/M2</t>
    <phoneticPr fontId="51" type="noConversion"/>
  </si>
  <si>
    <t>EBT270289</t>
  </si>
  <si>
    <t>EBT270290</t>
  </si>
  <si>
    <t>EBT270291</t>
  </si>
  <si>
    <t>EBT270292</t>
  </si>
  <si>
    <t>EBT270293</t>
  </si>
  <si>
    <t>EBT270294</t>
  </si>
  <si>
    <t>EBT270295</t>
  </si>
  <si>
    <t>EBT270296</t>
  </si>
  <si>
    <t>EBT270297</t>
  </si>
  <si>
    <t>EBT270298</t>
  </si>
  <si>
    <t>EBT270299</t>
  </si>
  <si>
    <t>EBT270300</t>
  </si>
  <si>
    <t>EBT270301</t>
  </si>
  <si>
    <t>EBT270302</t>
  </si>
  <si>
    <t>EBT270303</t>
  </si>
  <si>
    <t>EBT270304</t>
  </si>
  <si>
    <t>EBT270305</t>
  </si>
  <si>
    <t>EBT270306</t>
  </si>
  <si>
    <t>EBT270307</t>
  </si>
  <si>
    <t>EBT270308</t>
  </si>
  <si>
    <t>EBT270309</t>
  </si>
  <si>
    <t>EBT270310</t>
  </si>
  <si>
    <t>EBT270311</t>
  </si>
  <si>
    <t>EBT270312</t>
  </si>
  <si>
    <t>EBT270313</t>
  </si>
  <si>
    <t>EBT270314</t>
  </si>
  <si>
    <t>EBT270315</t>
  </si>
  <si>
    <t>ART.EBT270289
COMP:100%PL
WIDTH:150CM
WEIGHT:750G/M</t>
  </si>
  <si>
    <t>ART.EBT270290
COMP:100%PL
WIDTH:150CM
WEIGHT:850G/M</t>
  </si>
  <si>
    <t>ART.EBT270291
COMP:100%PL
WIDTH:150CM
WEIGHT:600G/M</t>
  </si>
  <si>
    <t>ART.EBT270292
COMP:100%PL
WIDTH:150CM
WEIGHT:800G/M</t>
  </si>
  <si>
    <t>ART.EBT270293
COMP:FACE:100%AC  GROUND : 100%PL
WIDTH:150CM
WEIGHT:850G/M</t>
  </si>
  <si>
    <t>ART.EBT270294
COMP:100%PL
WIDTH:150CM
WEIGHT:600G/M</t>
  </si>
  <si>
    <t>ART.EBT270295
COMP:FACE:100%AC  GROUND : 100%PL
WIDTH:154CM
WEIGHT:1100G/M</t>
  </si>
  <si>
    <t>ART.EBT270296
COMP:100%CO 
WIDTH:144CM
WEIGHT:97GSM</t>
  </si>
  <si>
    <t>ART.EBT270297
COMP:100%CO 
WIDTH:145CM
WEIGHT:95GSM</t>
  </si>
  <si>
    <t>ART.EBT270298
COMP:59%PL 39%VI 2%EA
WIDTH:150CM
WEIGHT:390GSM</t>
  </si>
  <si>
    <t>ART.EBT270299
COMP:85%PL 13%VI 2%EA
WIDTH:147CM
WEIGHT:390G/M(+/-20G/M)</t>
  </si>
  <si>
    <t>ART.EBT270300
COMP: FACE:64%PL 33%VI 3%EA BACK:70%PL 30%VI
WIDTH:142CM
WEIGHT:415GSM</t>
  </si>
  <si>
    <t>ART.EBT270301
COMP:100%PL
WIDTH:150CM
WEIGHT:530GSM</t>
  </si>
  <si>
    <t>ART.EBT270302
COMP:52%LI 48%CO 
WIDTH:142CM
WEIGHT:134GSM</t>
  </si>
  <si>
    <t>ART.EBT270303
COMP:100%LI
WIDTH:144CM
WEIGHT:117GSM</t>
  </si>
  <si>
    <t>ART.EBT270304
COMP:55%LINEN 45% COTTON  
WIDTH:140CM
WEIGHT:115GSM</t>
  </si>
  <si>
    <t>ART.EBT270305
COMP:70%PL 23%PA 7%EA 
WIDTH:150CM
WEIGHT:220GSM BEFORE BURNOUT</t>
  </si>
  <si>
    <t>ART.EBT270306
COMP:70%PL 23%PA 7%EA 
WIDTH:150CM
WEIGHT:220GSM BEFORE BURNOUT</t>
  </si>
  <si>
    <t>ART.EBT270307
COMP:70%PL 23%PA 7%EA 
WIDTH:150CM
WEIGHT:220GSM BEFORE BURNOUT</t>
  </si>
  <si>
    <t>ART.EBT270308
COMP:70%PL 23%PA 7%EA 
WIDTH:150CM
WEIGHT:220GSM BEFORE BURNOUT</t>
  </si>
  <si>
    <t>ART.EBT270309
COMP:70%PL 23%PA 7%EA 
WIDTH:150CM
WEIGHT:220GSM BEFORE BURNOUT</t>
  </si>
  <si>
    <t>ART.EBT270310
COMP:70%PL 23%PA 7%EA 
WIDTH:150CM
WEIGHT:220GSM BEFORE BURNOUT</t>
  </si>
  <si>
    <t>ART.EBT270311
COMP:70%PL 23%PA 7%EA 
WIDTH:150CM
WEIGHT:220GSM BEFORE BURNOUT</t>
  </si>
  <si>
    <t>ART.EBT270312
COMP:70%PL 23%PA 7%EA 
WIDTH:150CM
WEIGHT:220GSM BEFORE BURNOUT</t>
  </si>
  <si>
    <t>ART.EBT270313
COMP:70%PL 23%PA 7%EA 
WIDTH:150CM
WEIGHT:220GSM BEFORE BURNOUT</t>
  </si>
  <si>
    <t>ART.EBT270314
COMP:88%PL 10%VI 2%SP
WIDTH:145CM
WEIGHT:400GSM</t>
  </si>
  <si>
    <t>ART.EBT270315
COMP:70%PL 23%PA 7%EA 
WIDTH:150CM
WEIGHT:220GSM BEFORE BURNOUT</t>
  </si>
  <si>
    <t>EBT170342</t>
  </si>
  <si>
    <t>ART.EBT170342
COMP:100%VI
WIDTH:54"
WEIGHT:85GSM</t>
  </si>
  <si>
    <t>ART.EBT260120
COMP:20%WO 80% PL
WIDTH:142CM
WEIGHT:410G/M2</t>
    <phoneticPr fontId="51" type="noConversion"/>
  </si>
  <si>
    <t>ART.EBT161110
COMP:75.3% PL 11.3% VI 9.0% ME 4.4% EA
WIDTH:155CM
WEIGHT:270GSM</t>
    <phoneticPr fontId="51" type="noConversion"/>
  </si>
  <si>
    <t>EBT161201</t>
  </si>
  <si>
    <t>EBT161202</t>
  </si>
  <si>
    <t>EBT161203</t>
  </si>
  <si>
    <t>EBT161204</t>
  </si>
  <si>
    <t>EBT161205</t>
  </si>
  <si>
    <t>EBT161206</t>
  </si>
  <si>
    <t>EBT161207</t>
  </si>
  <si>
    <t>EBT161208</t>
  </si>
  <si>
    <t>EBT161209</t>
  </si>
  <si>
    <t>EBT161210</t>
  </si>
  <si>
    <t>EBT161211</t>
  </si>
  <si>
    <t>EBT161213</t>
  </si>
  <si>
    <t>EBT161214</t>
  </si>
  <si>
    <t>EBT161215</t>
  </si>
  <si>
    <t>EBT161216</t>
  </si>
  <si>
    <t>EBT161217</t>
  </si>
  <si>
    <t>EBT161218</t>
  </si>
  <si>
    <t>ART.EBT161201
COMP:73%VI   27%PA
WIDTH:130CM
WEIGHT:130G/M2</t>
  </si>
  <si>
    <t>ART.EBT161202
COMP:73%VI   27%PA
WIDTH:105CM
WEIGHT:135G/M2</t>
  </si>
  <si>
    <t>ART.EBT161203
COMP:34%WO 34%PC 32%PL
WIDTH:142CM
WEIGHT:480G/M2</t>
  </si>
  <si>
    <t>ART.EBT161204
COMP:50%WO 50%PL
WIDTH:142CM
WEIGHT:600G/M2</t>
  </si>
  <si>
    <t>ART.EBT161205
COMP:70%VI11%EA12%ME
WIDTH:165CM
WEIGHT:270GSM</t>
  </si>
  <si>
    <t>ART.EBT161206
COMP:40%CO 30%PA 30%VI
WIDTH:138CM
WEIGHT:235G/M2</t>
  </si>
  <si>
    <t>ART.EBT161207
COMP:F:97%CO 3%EA G:95%PL 5%EA
WIDTH:140CM
WEIGHT:465G/M2</t>
  </si>
  <si>
    <t>ART.EBT161208
COMP:F:100%PL G:95%PL 5%EA
WIDTH:138CM
WEIGHT:333G/M2</t>
  </si>
  <si>
    <t>ART.EBT161209
COMP:F:100%PL G:95%PL 5%EA
WIDTH:142CM
WEIGHT:368G/M2</t>
  </si>
  <si>
    <t>ART.EBT161210
COMP:95%PL 5%EA FILM
WIDTH:140CM
WEIGHT:196G/M2</t>
  </si>
  <si>
    <t>ART.EBT161211
COMP:100%PL
WIDTH:139CM
WEIGHT:115G/M2</t>
  </si>
  <si>
    <t>ART.EBT161213
COMP:97%PL 3%EA
WIDTH:144CM
WEIGHT:295G/M2</t>
  </si>
  <si>
    <t>ART.EBT161214
COMP:95%PL 5%EA
WIDTH:144CM
WEIGHT:310G/M2</t>
  </si>
  <si>
    <t>ART.EBT161215
COMP:100%PL
WIDTH:140CM
WEIGHT:</t>
  </si>
  <si>
    <t>ART.EBT161216
COMP:100%PL
WIDTH:140CM
WEIGHT:</t>
  </si>
  <si>
    <t>ART.EBT161217
COMP:100%PL
WIDTH:140CM
WEIGHT:</t>
  </si>
  <si>
    <t>ART.EBT161218
COMP:100%PL
WIDTH:140CM
WEIGHT:</t>
  </si>
  <si>
    <t>EBT170343</t>
  </si>
  <si>
    <t>EBT170344</t>
  </si>
  <si>
    <t>EBT170345</t>
  </si>
  <si>
    <t>ART.EBT170343
COMP:10%WO 90%PL
WIDTH:147CM
WEIGHT:350G/M2</t>
  </si>
  <si>
    <t>ART.EBT170344
COMP:55%PL 35%CO 10%OT
WIDTH:141CM
WEIGHT:335G.M2</t>
  </si>
  <si>
    <t>ART.EBT170345
COMP:10%WO 60%PL 30%PC
WIDTH:143CM
WEIGHT:350G/M2</t>
  </si>
  <si>
    <t>EBT170338</t>
  </si>
  <si>
    <t>EBT170302</t>
  </si>
  <si>
    <t xml:space="preserve">ART.EBT170302
COMP:100%PL
WIDTH:140CM
WEIGHT:210G/M2 </t>
  </si>
  <si>
    <t>ART.EBT170338
COMP:100%PL
WIDTH:135CM
WEIGHT:200G/m2</t>
  </si>
  <si>
    <t>EBT170346</t>
  </si>
  <si>
    <t>ART.EBT170346
COMP:100%PL
WIDTH:143CM
WEIGHT:195G/M2</t>
  </si>
  <si>
    <t>EBT170349</t>
  </si>
  <si>
    <t>EBT170350</t>
  </si>
  <si>
    <t>EBT170351</t>
  </si>
  <si>
    <t>EBT170352</t>
  </si>
  <si>
    <t>EBT170353</t>
  </si>
  <si>
    <t>EBT170354</t>
  </si>
  <si>
    <t>EBT170357</t>
  </si>
  <si>
    <t>ART.EBT170349
COMP:50%WO 50%PL
WIDTH:145CM
WEIGHT:680G/M</t>
  </si>
  <si>
    <t>ART.EBT170350
COMP:50%WO 50%PL
WIDTH:140CM
WEIGHT:500G/M</t>
  </si>
  <si>
    <t>ART.EBT170351
COMP:30%WO 30%PC 40%PL
WIDTH:145CM
WEIGHT:630G/M</t>
  </si>
  <si>
    <t>ART.EBT170352
COMP:40%WO 60%PL
WIDTH:145CM
WEIGHT:580G/M</t>
  </si>
  <si>
    <t>ART.EBT170353
COMP:50%WO 50%PL
WIDTH:145CM
WEIGHT:675G/M</t>
  </si>
  <si>
    <t>ART.EBT170354
COMP:50%WO 50%PL
WIDTH:144CM
WEIGHT:680G/M</t>
  </si>
  <si>
    <t>ART.EBT170357
COMP:80%WO 20%PL
WIDTH:144CM
WEIGHT:480G/M</t>
  </si>
  <si>
    <t>EBT170347</t>
  </si>
  <si>
    <t>EBT170348</t>
  </si>
  <si>
    <t>ART.EBT170347
COMP:50%WO 33%PL 12%PC 5%OT
WIDTH:145CM
WEIGHT:310G/M2</t>
  </si>
  <si>
    <t>ART.EBT170348
COMP:70%WO 12%PL 5%PA 13%OT
WIDTH:145CM
WEIGHT:300G/M2</t>
  </si>
  <si>
    <t>EBT170358</t>
  </si>
  <si>
    <t>ART.EBT170358
COMP:40%WO 60%PL
WIDTH:144CM
WEIGHT:680G/M</t>
  </si>
  <si>
    <t>EBT170363</t>
  </si>
  <si>
    <t>ART.EBT170363
COMP:100%PL
WIDTH:125CM
WEIGHT:375G/M2</t>
  </si>
  <si>
    <t>EBT170355</t>
  </si>
  <si>
    <t>EBT170364</t>
  </si>
  <si>
    <t>EBT170365</t>
  </si>
  <si>
    <t>EBT170366</t>
  </si>
  <si>
    <t>EBT170367</t>
  </si>
  <si>
    <t>ART.EBT170355
COMP:40%WO 60%PL
WIDTH:145CM
WEIGHT:550G/M</t>
  </si>
  <si>
    <t>ART.EBT170364
COMP:93%PL 7%OT
WIDTH:144CM
WEIGHT:400G/M2</t>
  </si>
  <si>
    <t>ART.EBT170365
COMP:6%WO 5%PA 45%VI 39%PC 5%OT
WIDTH:144CM
WEIGHT:365G/M2</t>
  </si>
  <si>
    <t>ART.EBT170366
COMP:45%WO 25%PC 10%PA 20%PL
WIDTH:145CM
WEIGHT:400G/M2</t>
  </si>
  <si>
    <t>ART.EBT170367
COMP:45%WO 25%PC 10%PA 20%PL
WIDTH:145CM
WEIGHT:410G/M2</t>
  </si>
  <si>
    <t>EBT170368</t>
  </si>
  <si>
    <t>ART.EBT170368
COMP:F:92%PL 8%EA
 G:100PL
WIDTH:139CM
WEIGHT:395G/M2</t>
    <phoneticPr fontId="51" type="noConversion"/>
  </si>
  <si>
    <t>EBT170359</t>
  </si>
  <si>
    <t>EBT170360</t>
  </si>
  <si>
    <t>EBT170361</t>
  </si>
  <si>
    <t>EBT170362</t>
  </si>
  <si>
    <t>ART.EBT170359
COMP:30%WO 70%VI
WIDTH:145CM
WEIGHT:153G/M2</t>
  </si>
  <si>
    <t>ART.EBT170360
COMP:30%WO 70%VI
WIDTH:145CM
WEIGHT:175G/M2</t>
  </si>
  <si>
    <t>ART.EBT170361
COMP:30%WO 26%CO 6%PA 34%PC 4%OT
WIDTH:145CM
WEIGHT:400G/M2</t>
  </si>
  <si>
    <t>ART.EBT170362
COMP:40%WO 18%PL 6%VI 35%PC 1%METALIC
WIDTH:145CM
WEIGHT:373G/M2</t>
  </si>
  <si>
    <t>EBT170356</t>
  </si>
  <si>
    <t>EBT170369</t>
  </si>
  <si>
    <t>ART.EBT170369
COMP:72%CO 26%Tencel 2%EA
WIDTH:110CM
WEIGHT:280G/M2</t>
  </si>
  <si>
    <t>EBT170328</t>
  </si>
  <si>
    <t>EBT161197</t>
  </si>
  <si>
    <t>EBT161198</t>
  </si>
  <si>
    <t>EBT161199</t>
  </si>
  <si>
    <t>EBT161200</t>
  </si>
  <si>
    <t>ART.EBT161197
COMP:73%VI   27%PA
WIDTH:130CM
WEIGHT:130G/M2</t>
  </si>
  <si>
    <t>ART.EBT161198
COMP:73%VI   27%PA
WIDTH:130CM
WEIGHT:130G/M2</t>
  </si>
  <si>
    <t>ART.EBT161199
COMP:73%VI   27%PA
WIDTH:130CM
WEIGHT:130G/M2</t>
  </si>
  <si>
    <t>ART.EBT161200
COMP:73%VI   27%PA
WIDTH:130CM
WEIGHT:130G/M2</t>
  </si>
  <si>
    <t>ART.EBT170328
COMP:F:92%PL 8%EA G:95%PL 5%EA
WIDTH:140CM
WEIGHT:520G/M2</t>
    <phoneticPr fontId="51" type="noConversion"/>
  </si>
  <si>
    <t>EBT170370</t>
  </si>
  <si>
    <t>ART.EBT170370
COMP:G:100%PA EMB YARN:100%PL
WIDTH:125CM
WEIGHT:</t>
  </si>
  <si>
    <t>EBT170376</t>
  </si>
  <si>
    <t>EBT170377</t>
  </si>
  <si>
    <t>EBT170378</t>
  </si>
  <si>
    <t>EBT170379</t>
  </si>
  <si>
    <t>EBT170380</t>
  </si>
  <si>
    <t>EBT170375</t>
  </si>
  <si>
    <t>ART.EBT170375
COMP:96%PL 4%EA
WIDTH:138CM
WEIGHT:390G/M2</t>
  </si>
  <si>
    <t>ART.EBT170376
COMP:100%PL
WIDTH:125CM
WEIGHT:300G/M2</t>
  </si>
  <si>
    <t>ART.EBT170377
COMP:95%PL 5%EA
WIDTH:125CM
WEIGHT:380G/M2</t>
  </si>
  <si>
    <t>ART.EBT170378
COMP:100%PL
WIDTH:125CM
WEIGHT:</t>
  </si>
  <si>
    <t>ART.EBT170379
COMP:100%PL
WIDTH:125CM
WEIGHT:</t>
  </si>
  <si>
    <t>ART.EBT170380
COMP:100%PL
WIDTH:125CM
WEIGHT:</t>
  </si>
  <si>
    <t>EBT170279</t>
  </si>
  <si>
    <t>ART.EBT170279
COMP:92%PL 8%EA
WIDTH:148CM
WEIGHT:280GSM</t>
  </si>
  <si>
    <t>ART.EBT170356
COMP:55%PL 38%PC 7%WO
WIDTH:145CM
WEIGHT:440G/M2</t>
    <phoneticPr fontId="51" type="noConversion"/>
  </si>
  <si>
    <t>EBT350013</t>
  </si>
  <si>
    <t>ART.EBT350013
COMP:F:78%PL20%LUREX2%EA ;G:96%PL 4%EA
WIDTH:140CM
WEIGHT:510G/M2</t>
  </si>
  <si>
    <t>EBT350062</t>
  </si>
  <si>
    <t xml:space="preserve">ART.EBT350062
COMP:95%LI 5%VI
WIDTH:145CM
WEIGHT:160GSM </t>
  </si>
  <si>
    <t>EBT270316</t>
  </si>
  <si>
    <t>EBT270317</t>
  </si>
  <si>
    <t>EBT270320</t>
  </si>
  <si>
    <t>EBT270322</t>
  </si>
  <si>
    <t>EBT270323</t>
  </si>
  <si>
    <t>EBT270324</t>
  </si>
  <si>
    <t>EBT270325</t>
  </si>
  <si>
    <t>EBT270330</t>
  </si>
  <si>
    <t>EBT270331</t>
  </si>
  <si>
    <t>ART.EBT270316
COMP:4.5%WO 43%AC 52.5%PL
WIDTH:150CM
WEIGHT:400GSM</t>
  </si>
  <si>
    <t>ART.EBT270317
COMP:4.5%WO 43%AC 52.5%PL
WIDTH:153CM
WEIGHT:340GSM</t>
  </si>
  <si>
    <t>ART.EBT270320
COMP:25%PA 75%VI 
WIDTH:136cm
WEIGHT:155GSM before burnout</t>
  </si>
  <si>
    <t>ART.EBT270322
COMP:50%VI 48%PL 2%EA
WIDTH:146CM
WEIGHT:300GSM</t>
  </si>
  <si>
    <t>ART.EBT270323
COMP:50%VI 48%PL 2%EA
WIDTH:147CM
WEIGHT:346GSM</t>
  </si>
  <si>
    <t>ART.EBT270324
COMP:50%VI 48%PL 2%EA
WIDTH:144CM
WEIGHT:304GSM</t>
  </si>
  <si>
    <t>ART.EBT270325
COMP:59%PL 39%VI 2%EA
WIDTH:154CM
WEIGHT:365GSM</t>
  </si>
  <si>
    <t>ART.EBT270330
COMP:65%PL   35%VI 
WIDTH:120CM
WEIGHT:110GSM</t>
  </si>
  <si>
    <t>ART.EBT270331
COMP:68%PL 18%VI 10%WO 4%EA
WIDTH:144CM
WEIGHT:230GSM</t>
  </si>
  <si>
    <t>EBT170371</t>
  </si>
  <si>
    <t>EBT170372</t>
  </si>
  <si>
    <t>EBT170373</t>
  </si>
  <si>
    <t>EBT170374</t>
  </si>
  <si>
    <t>EBT170389</t>
  </si>
  <si>
    <t>EBT170390</t>
  </si>
  <si>
    <t>EBT170391</t>
  </si>
  <si>
    <t>EBT170392</t>
  </si>
  <si>
    <t>EBT170393</t>
  </si>
  <si>
    <t>ART.EBT170371
COMP:20%WO 32%PL 48%PC
WIDTH:145CM
WEIGHT:390G/M2</t>
  </si>
  <si>
    <t>ART.EBT170372
COMP:36%WO 19%PL 45%PC
WIDTH:145CM
WEIGHT:390G/M2</t>
  </si>
  <si>
    <t>ART.EBT170373
COMP:50%WO 50%PL
WIDTH:145CM
WEIGHT:390G/M2</t>
  </si>
  <si>
    <t>ART.EBT170374
COMP:30%WO 30%PC 40%PL
WIDTH:145CM
WEIGHT:430G/M2</t>
  </si>
  <si>
    <t>ART.EBT170389
COMP:100%PL
WIDTH:140CM
WEIGHT:520G/M2</t>
  </si>
  <si>
    <t>ART.EBT170390
COMP:95%PL 5%EA
WIDTH:140CM
WEIGHT:420G/M2</t>
  </si>
  <si>
    <t>ART.EBT170391
COMP:100%PL
WIDTH:140CM
WEIGHT:430G/M2</t>
  </si>
  <si>
    <t>ART.EBT170392
COMP:92%PL 8%EA
WIDTH:140CM
WEIGHT:350G/M2</t>
  </si>
  <si>
    <t>ART.EBT170393
COMP:100%PL
WIDTH:140CM
WEIGHT:520G/M2</t>
  </si>
  <si>
    <t>EBT170394</t>
  </si>
  <si>
    <t>EBT170395</t>
  </si>
  <si>
    <t>EBT170396</t>
  </si>
  <si>
    <t>EBT170381</t>
  </si>
  <si>
    <t>EBT170382</t>
  </si>
  <si>
    <t>EBT170383</t>
  </si>
  <si>
    <t>EBT170384</t>
  </si>
  <si>
    <t>EBT170385</t>
  </si>
  <si>
    <t>ART.EBT170381
COMP:G:50%PL 30%WO 20%AC
WIDTH:130CM
WEIGHT:</t>
  </si>
  <si>
    <t>ART.EBT170382
COMP:G:64%PL 34%VI 2%EA
WIDTH:125CM
WEIGHT:</t>
  </si>
  <si>
    <t>ART.EBT170383
COMP:G:100%LI
WIDTH:125CM
WEIGHT:</t>
  </si>
  <si>
    <t>ART.EBT170384
COMP:G:100%CO
WIDTH:125CM
WEIGHT:</t>
  </si>
  <si>
    <t>ART.EBT170385
COMP:G:100%CO
WIDTH:128CM
WEIGHT:</t>
  </si>
  <si>
    <t>EBT270332</t>
  </si>
  <si>
    <t>EBT270334</t>
  </si>
  <si>
    <t>EBT270336</t>
  </si>
  <si>
    <t>EBT270337</t>
  </si>
  <si>
    <t>EBT270338</t>
  </si>
  <si>
    <t>EBT270339</t>
  </si>
  <si>
    <t>ART.EBT270332
COMP:95%PL 5%EA
WIDTH:144CM
WEIGHT:200GSM</t>
  </si>
  <si>
    <t>ART.EBT270334
COMP:100%CO
WIDTH:57/58"
WEIGHT:145GSM</t>
  </si>
  <si>
    <t>ART.EBT270336
COMP:100%CO
WIDTH:57/58"
WEIGHT:225GSM</t>
  </si>
  <si>
    <t>ART.EBT270337
COMP:97%CO 3%EA
WIDTH:57/58"
WEIGHT:290GSM</t>
  </si>
  <si>
    <t>ART.EBT270338
COMP:98%CO 2%EA
WIDTH:57/58"
WEIGHT:212GSM </t>
  </si>
  <si>
    <t>ART.EBT270339
COMP:98%CO 2%EA
WIDTH:57/58"
WEIGHT:220GSM</t>
  </si>
  <si>
    <t>EBT170397</t>
  </si>
  <si>
    <t>ART.EBT170397
COMP:92%PL 8%EA
WIDTH:130CM
WEIGHT:G:300G/M2(+-5%)</t>
  </si>
  <si>
    <t>EBT170398</t>
  </si>
  <si>
    <t>EBT170399</t>
  </si>
  <si>
    <t>EBT170400</t>
  </si>
  <si>
    <t>ART.EBT170400
COMP:100%PL
WIDTH:135CM
WEIGHT:54G/M2</t>
  </si>
  <si>
    <t>EBT170403</t>
  </si>
  <si>
    <t>ART.EBT170403
COMP:52%VI 42%PL 6%EA
WIDTH:127CM
WEIGHT:180G/M2</t>
  </si>
  <si>
    <t>EBT170402</t>
  </si>
  <si>
    <t>ART.EBT170402
COMP:FACE:100%PU; GROUND::100%PL
WIDTH:138CM
WEIGHT:485GSM</t>
  </si>
  <si>
    <t>EBT350050</t>
  </si>
  <si>
    <t>EBT270001</t>
  </si>
  <si>
    <t>ART.EBT270001
COMP:BONDED FBRIC ,FACE :100%PL BACK : 95%PL 5%EA
WIDTH:145CM
WEIGHT:398GSM</t>
  </si>
  <si>
    <t>EBT170409</t>
  </si>
  <si>
    <t>EBT170410</t>
  </si>
  <si>
    <t>EBT170411</t>
  </si>
  <si>
    <t>EBT170412</t>
  </si>
  <si>
    <t>EBT170334</t>
  </si>
  <si>
    <t>EBT170335</t>
  </si>
  <si>
    <t>EBT170336</t>
  </si>
  <si>
    <t>EBT170339</t>
  </si>
  <si>
    <t>EBT170404</t>
  </si>
  <si>
    <t>ART.EBT170334
COMP:86.2%PL 13.8%EA
WIDTH:142CM
WEIGHT:210G/M2</t>
  </si>
  <si>
    <t>ART.EBT170335
COMP:96%PL 4%EA
WIDTH:144CM
WEIGHT:153G/M2</t>
  </si>
  <si>
    <t>ART.EBT170336
COMP:96%PL 4%EA
WIDTH:144CM
WEIGHT:80G/M2</t>
  </si>
  <si>
    <t>ART.EBT170339
COMP: 40%WO 60%OTHER
WIDTH:145CM
WEIGHT:370G/M2</t>
  </si>
  <si>
    <t>ART.EBT170404
COMP:70%CO 30%PA
WIDTH:142CM
WEIGHT:102G/M2</t>
  </si>
  <si>
    <t>ART.EBT170409
COMP:100%PL
WIDTH:128CM
WEIGHT:</t>
  </si>
  <si>
    <t>ART.EBT170410
COMP:100%PL
WIDTH:128CM
WEIGHT:</t>
  </si>
  <si>
    <t>ART.EBT170411
COMP:100%PL
WIDTH:128CM
WEIGHT:</t>
  </si>
  <si>
    <t>ART.EBT170412
COMP:50%PL 50%PA
WIDTH:128CM
WEIGHT:</t>
  </si>
  <si>
    <t>EBT170057</t>
  </si>
  <si>
    <t>ART.EBT170057
COMP:73%VI 27%PA
WIDTH:130CM
WEIGHT:</t>
  </si>
  <si>
    <t>EBT170414</t>
  </si>
  <si>
    <t>EBT170415</t>
  </si>
  <si>
    <t>ART.EBT170414
COMP:100%CO
WIDTH:130CM
WEIGHT:</t>
  </si>
  <si>
    <t>ART.EBT170415
COMP:91%PL 9%EA
WIDTH:144CM
WEIGHT:230G/M2</t>
  </si>
  <si>
    <t>ART.EBT170399
COMP:F:94%PL 6%EA  G:100%PL  
WIDTH:142CM
WEIGHT:568G/M2</t>
    <phoneticPr fontId="51" type="noConversion"/>
  </si>
  <si>
    <t>ART.EBT170398
COMP:F:94%PL 6%EA  G:100%PL  
WIDTH:142CM
WEIGHT:555G/M2</t>
    <phoneticPr fontId="51" type="noConversion"/>
  </si>
  <si>
    <t>EBT170405</t>
  </si>
  <si>
    <t>EBT170406</t>
  </si>
  <si>
    <t>EBT170407</t>
  </si>
  <si>
    <t>EBT170408</t>
  </si>
  <si>
    <t>ART.EBT170405
COMP:G:50%PL 30%WO 20%PC 
WIDTH:136CM
WEIGHT:620G/M2</t>
  </si>
  <si>
    <t>ART.EBT170406
COMP:100%PL
WIDTH:145CM
WEIGHT:430G/M2</t>
  </si>
  <si>
    <t>ART.EBT170408
COMP:95%VI 5%EA
WIDTH:132CM
WEIGHT:223G/M2</t>
  </si>
  <si>
    <t>EBT170416</t>
  </si>
  <si>
    <t>ART.EBT170416
COMP:95%PL 5%EA
WIDTH:144CM
WEIGHT:230G/M2</t>
  </si>
  <si>
    <t>EBT170417</t>
  </si>
  <si>
    <t>EBT170418</t>
  </si>
  <si>
    <t>EBT170419</t>
  </si>
  <si>
    <t>EBT170420</t>
  </si>
  <si>
    <t>EBT170421</t>
  </si>
  <si>
    <t>ART.EBT170417
COMP:18% PA 82%VISCOSE
WIDTH:135cm
WEIGHT:</t>
  </si>
  <si>
    <t>ART.EBT170418
COMP:18% PA 82%VISCOSE
WIDTH:135cm
WEIGHT:</t>
  </si>
  <si>
    <t>ART.EBT170419
COMP:18% PA 82%VISCOSE
WIDTH:135cm
WEIGHT:</t>
  </si>
  <si>
    <t>ART.EBT170420
COMP:18% PA 82%VISCOSE
WIDTH:135cm
WEIGHT:</t>
  </si>
  <si>
    <t>ART.EBT170421
COMP:18% PA 82%VISCOSE
WIDTH:135cm
WEIGHT:</t>
  </si>
  <si>
    <t>EBT170068</t>
  </si>
  <si>
    <t>ART.EBT170068
COMP:97%PL3%EA
WIDTH:130CM
WEIGHT:200GSM</t>
  </si>
  <si>
    <t>ART.EBT170191
COMP:F:97%PL 3%EA G:95%PL 5%EA
WIDTH:140CM
WEIGHT:330G/M2</t>
    <phoneticPr fontId="51" type="noConversion"/>
  </si>
  <si>
    <t>ART.EBT170192
COMP:F:97%PL 3%EA G:95%PL 5%EA
WIDTH:140CM
WEIGHT:365G/M2</t>
    <phoneticPr fontId="51" type="noConversion"/>
  </si>
  <si>
    <t>EBT170424</t>
  </si>
  <si>
    <t>ART.EBT170424
COMP:FACE:100%PL ;    GROUND : 95%PL5%EA
WIDTH:142CM
WEIGHT:410GSM</t>
  </si>
  <si>
    <t>EBT170401</t>
  </si>
  <si>
    <t>EBT170423</t>
  </si>
  <si>
    <t>ART.EBT170423
COMP:100%PL
WIDTH:130CM
WEIGHT:442 G/M2</t>
  </si>
  <si>
    <t>ART.EBT170407
COMP:7%WO 40%AC 53%PL
WIDTH:145CM
WEIGHT:400G/M2</t>
    <phoneticPr fontId="51" type="noConversion"/>
  </si>
  <si>
    <t>EBT170426</t>
  </si>
  <si>
    <t>ART.EBT170426
COMP:F:100%PU G:100%PL
WIDTH:135CM
WEIGHT:250G/M2</t>
  </si>
  <si>
    <t>EBT270340</t>
  </si>
  <si>
    <t>EBT270341</t>
  </si>
  <si>
    <t>EBT270342</t>
  </si>
  <si>
    <t>EBT270343</t>
  </si>
  <si>
    <t>EBT270344</t>
  </si>
  <si>
    <t>EBT270345</t>
  </si>
  <si>
    <t>EBT270346</t>
  </si>
  <si>
    <t>EBT270347</t>
  </si>
  <si>
    <t>EBT270349</t>
  </si>
  <si>
    <t>EBT270350</t>
  </si>
  <si>
    <t>EBT270351</t>
  </si>
  <si>
    <t>EBT270352</t>
  </si>
  <si>
    <t>EBT270353</t>
  </si>
  <si>
    <t>EBT270354</t>
  </si>
  <si>
    <t>EBT270355</t>
  </si>
  <si>
    <t>EBT270356</t>
  </si>
  <si>
    <t>EBT270357</t>
  </si>
  <si>
    <t>ART.EBT270340
COMP:98%CO 2%EA
WIDTH:138CM
WEIGHT:293GSM</t>
  </si>
  <si>
    <t>ART.EBT270341
COMP:3%MODAL 85%CO 2%EA
WIDTH:145CM
WEIGHT:288GSM</t>
  </si>
  <si>
    <t>ART.EBT270342
COMP:3%MODAL 85%CO 2%EA
WIDTH:150CM
WEIGHT:271GSM</t>
  </si>
  <si>
    <t>ART.EBT270343
COMP:100%CO
WIDTH:138CM
WEIGHT:141GSM</t>
  </si>
  <si>
    <t>ART.EBT270344
COMP:100%CO   
WIDTH:140CM
WEIGHT:283GSM</t>
  </si>
  <si>
    <t>ART.EBT270345
COMP:97%CO 3%EA
WIDTH:115CM
WEIGHT:270GSM</t>
  </si>
  <si>
    <t>ART.EBT270346
COMP:97%CO 3%EA 
WIDTH:142CM
WEIGHT:303GSM</t>
  </si>
  <si>
    <t>ART.EBT270347
COMP:100%co
WIDTH:137CM
WEIGHT:313GSM</t>
  </si>
  <si>
    <t>ART.EBT270349
COMP:64%PL 34%VI 2%EA
WIDTH:144CM
WEIGHT:268gsm</t>
  </si>
  <si>
    <t>ART.EBT270352
COMP:50%PL 27%VI 20%PA 3%EA
WIDTH:139CM
WEIGHT:225GSM</t>
  </si>
  <si>
    <t>ART.EBT270353
COMP:97% CO 3% EA
WIDTH:142CM
WEIGHT:190GSM</t>
  </si>
  <si>
    <t>ART.EBT270354
COMP:97%CO 3%EA
WIDTH:132CM
WEIGHT:180GSM</t>
  </si>
  <si>
    <t>ART.EBT270355
COMP:FACE:59%PL 39%VI 2%EA  BACK:70%PL 30%VI
WIDTH:152CM
WEIGHT:555GSM</t>
  </si>
  <si>
    <t>ART.EBT270356
COMP:61%CO 37%PL 2%EA
WIDTH:142CM
WEIGHT:220GSM</t>
  </si>
  <si>
    <t>ART.EBT270357
COMP:55%CO 43%PL 2%EA
WIDTH:142CM
WEIGHT:235GSM</t>
  </si>
  <si>
    <t>EBT140141-SINGLE</t>
  </si>
  <si>
    <t>ART.EBT140141-SINGLE
COMP:90%PL10%EA
WIDTH:144CM
WEIGHT:150GSM</t>
  </si>
  <si>
    <t>EBT170429</t>
  </si>
  <si>
    <t>ART.EBT170429
COMP:90%PL 10%EA
WIDTH:140cm
WEIGHT:290G/M2</t>
  </si>
  <si>
    <t>EBT170430</t>
  </si>
  <si>
    <t>EBT170431</t>
  </si>
  <si>
    <t>EBT170432</t>
  </si>
  <si>
    <t>EBT170433</t>
  </si>
  <si>
    <t>ART.EBT170430
COMP:95%PL 5%EA
WIDTH:144CM
WEIGHT:285G/M2</t>
  </si>
  <si>
    <t>ART.EBT170431
COMP:92%PA 8%EA
WIDTH:150CM
WEIGHT:55G/M2</t>
  </si>
  <si>
    <t>ART.EBT170432
COMP:60%PA 29%VI 11%EA
WIDTH:147CM
WEIGHT:250G/M2</t>
  </si>
  <si>
    <t>ART.EBT170433
COMP:66%VI 30%PA 4%EA
WIDTH:147CM
WEIGHT:310G/M2</t>
  </si>
  <si>
    <t>EBT170337</t>
  </si>
  <si>
    <t>ART.EBT170337
COMP:100%PL
WIDTH:135CM
WEIGHT:270G/m2</t>
  </si>
  <si>
    <t>EBT170434</t>
  </si>
  <si>
    <t>EBT170435</t>
  </si>
  <si>
    <t>EBT170436</t>
  </si>
  <si>
    <t>ART.EBT170434
COMP:98%CO 2%EA
WIDTH:142CM
WEIGHT:270G/M2</t>
  </si>
  <si>
    <t>ART.EBT170435
COMP:98%CO 2%EA
WIDTH:142CM
WEIGHT:290G/M2</t>
  </si>
  <si>
    <t>ART.EBT170436
COMP:98%CO 2%EA
WIDTH:139CM
WEIGHT:265G/M2</t>
  </si>
  <si>
    <t>EBT170438</t>
  </si>
  <si>
    <t>ART.EBT170438
COMP:95%PL 5%EA
WIDTH:156CM
WEIGHT:220G/M2</t>
  </si>
  <si>
    <t>EBT170437</t>
  </si>
  <si>
    <t>ART.EBT170437
COMP:100%PL
WIDTH:140CM
WEIGHT:</t>
  </si>
  <si>
    <t>EBT170442</t>
  </si>
  <si>
    <t>EBT170443</t>
  </si>
  <si>
    <t>EBT170444</t>
  </si>
  <si>
    <t>EBT170445</t>
  </si>
  <si>
    <t>EBT170446</t>
  </si>
  <si>
    <t>EBT170447</t>
  </si>
  <si>
    <t>EBT170448</t>
  </si>
  <si>
    <t>EBT170449</t>
  </si>
  <si>
    <t>EBT170450</t>
  </si>
  <si>
    <t>EBT170451</t>
  </si>
  <si>
    <t>EBT170452</t>
  </si>
  <si>
    <t>EBT170453</t>
  </si>
  <si>
    <t>EBT170454</t>
  </si>
  <si>
    <t>EBT170455</t>
  </si>
  <si>
    <t>EBT170456</t>
  </si>
  <si>
    <t>EBT170457</t>
  </si>
  <si>
    <t>EBT170458</t>
  </si>
  <si>
    <t>EBT170459</t>
  </si>
  <si>
    <t>EBT170460</t>
  </si>
  <si>
    <t>EBT170461</t>
  </si>
  <si>
    <t>EBT170462</t>
  </si>
  <si>
    <t>EBT170463</t>
  </si>
  <si>
    <t>EBT170464</t>
  </si>
  <si>
    <t>EBT170465</t>
  </si>
  <si>
    <t>EBT170466</t>
  </si>
  <si>
    <t>EBT170467</t>
  </si>
  <si>
    <t>EBT170468</t>
  </si>
  <si>
    <t>EBT170469</t>
  </si>
  <si>
    <t>EBT170470</t>
  </si>
  <si>
    <t>EBT170471</t>
  </si>
  <si>
    <t>EBT170472</t>
  </si>
  <si>
    <t>EBT170473</t>
  </si>
  <si>
    <t>EBT170474</t>
  </si>
  <si>
    <t>EBT170475</t>
  </si>
  <si>
    <t>EBT170476</t>
  </si>
  <si>
    <t>EBT170477</t>
  </si>
  <si>
    <t>EBT170478</t>
  </si>
  <si>
    <t>EBT170479</t>
  </si>
  <si>
    <t>EBT170480</t>
  </si>
  <si>
    <t>EBT170481</t>
  </si>
  <si>
    <t>EBT170482</t>
  </si>
  <si>
    <t>EBT170483</t>
  </si>
  <si>
    <t>EBT170484</t>
  </si>
  <si>
    <t>EBT170485</t>
  </si>
  <si>
    <t>ART.EBT170442
COMP:65%VI 35%PA
WIDTH:130CM
WEIGHT:230G/M</t>
  </si>
  <si>
    <t>ART.EBT170443
COMP:100%PL
WIDTH:132CM
WEIGHT:285G/M</t>
  </si>
  <si>
    <t>ART.EBT170445
COMP:100%PL
WIDTH:140CM
WEIGHT:415G/M</t>
  </si>
  <si>
    <t>ART.EBT170446
COMP:92%PL 8%EA
WIDTH:144CM
WEIGHT:365G/M</t>
  </si>
  <si>
    <t>ART.EBT170447
COMP:100%PL
WIDTH:134CM
WEIGHT:300G/M</t>
  </si>
  <si>
    <t>ART.EBT170448
COMP:92%PL 8%EA
WIDTH:144CM
WEIGHT:375G/M</t>
  </si>
  <si>
    <t>ART.EBT170449
COMP:92%PL 8%EA
WIDTH:144CM
WEIGHT:375G/M</t>
  </si>
  <si>
    <t>ART.EBT170450
COMP:95%PL 5%EA
WIDTH:135CM
WEIGHT:410G/M</t>
  </si>
  <si>
    <t>ART.EBT170451
COMP:92%PL 8%EA
WIDTH:144CM
WEIGHT:375G/M</t>
  </si>
  <si>
    <t>ART.EBT170452
COMP:42.2%PC 28.9%PL 18.7%CO 7.2%ME 3%EA
WIDTH:125CM
WEIGHT:307G/M</t>
  </si>
  <si>
    <t>ART.EBT170453
COMP:97%PL 3%EA
WIDTH:145CM
WEIGHT:375G/M</t>
  </si>
  <si>
    <t>ART.EBT170455
COMP:80%PL 18%VI 2%EA
WIDTH:140CM
WEIGHT:300G/M</t>
  </si>
  <si>
    <t>ART.EBT170456
COMP:92%PL 8%EA
WIDTH:147CM
WEIGHT:400G/M</t>
  </si>
  <si>
    <t>ART.EBT170457
COMP:43%CO 37%PL 18%VI 2%EA
WIDTH:140CM
WEIGHT:320G/M</t>
  </si>
  <si>
    <t>ART.EBT170458
COMP:65%PL 35%VI
WIDTH:142CM
WEIGHT:360G/M</t>
  </si>
  <si>
    <t>ART.EBT170459
COMP:65%PL 35%VI
WIDTH:140CM
WEIGHT:480G/M</t>
  </si>
  <si>
    <t>ART.EBT170460
COMP:70%CO 27%PL 3%EA
WIDTH:140CM
WEIGHT:340G/M</t>
  </si>
  <si>
    <t>ART.EBT170461
COMP:80%PL 18%VI 2%EA
WIDTH:140CM
WEIGHT:300G/M</t>
  </si>
  <si>
    <t>ART.EBT170462
COMP:10%WO 90%PL
WIDTH:140CM
WEIGHT:320G/M</t>
  </si>
  <si>
    <t>ART.EBT170463
COMP:63%PL 34%VI 3%EA
WIDTH:140CM
WEIGHT:294G/M</t>
  </si>
  <si>
    <t>ART.EBT170464
COMP:63%PL 34%VI 3%EA
WIDTH:140CM
WEIGHT:340G/M</t>
  </si>
  <si>
    <t>ART.EBT170465
COMP:87%PL 10%VI 3%EA
WIDTH:140CM
WEIGHT:320G/M</t>
  </si>
  <si>
    <t>ART.EBT170466
COMP:100%PL
WIDTH:140CM
WEIGHT:390G/M</t>
  </si>
  <si>
    <t>ART.EBT170467
COMP:100%PL
WIDTH:140CM
WEIGHT:340G/M</t>
  </si>
  <si>
    <t>ART.EBT170468
COMP:66%PL 32%VI 2%EA
WIDTH:140CM
WEIGHT:390G/M</t>
  </si>
  <si>
    <t>ART.EBT170469
COMP:63%PL 34%VI 3%EA
WIDTH:140CM
WEIGHT:340G/M</t>
  </si>
  <si>
    <t>ART.EBT170471
COMP:80%PL 18%VI 2%EA
WIDTH:140CM
WEIGHT:300G/M</t>
  </si>
  <si>
    <t>ART.EBT170472
COMP:82%PL 16%VI 2%EA
WIDTH:140CM
WEIGHT:350G/M</t>
  </si>
  <si>
    <t>ART.EBT170473
COMP:66%PL 32%VI 2%EA
WIDTH:140CM
WEIGHT:300G/M</t>
  </si>
  <si>
    <t>ART.EBT170474
COMP:63%PL 34%VI 3%EA
WIDTH:140CM
WEIGHT:360G/M</t>
  </si>
  <si>
    <t>ART.EBT170475
COMP:79%PL 18%VI 3%EA
WIDTH:140CM
WEIGHT:470G/M</t>
  </si>
  <si>
    <t>ART.EBT170476
COMP:80%PL 18%VI 2%EA
WIDTH:140CM
WEIGHT:300G/M</t>
  </si>
  <si>
    <t>ART.EBT170477
COMP:100%PL 
WIDTH:140CM
WEIGHT:380G/M</t>
  </si>
  <si>
    <t>ART.EBT170478
COMP:80%PL 20%PA
WIDTH:135CM
WEIGHT:238G/M</t>
  </si>
  <si>
    <t>ART.EBT170479
COMP:100%PL 
WIDTH:110CM
WEIGHT:240G/M</t>
  </si>
  <si>
    <t>ART.EBT170480
COMP:57%VI 35%PA 8%EA
WIDTH:148CM
WEIGHT:260G/M2</t>
  </si>
  <si>
    <t>ART.EBT170481
COMP:60%VI 33%PA 7%EA
WIDTH:148CM
WEIGHT:280G/M2</t>
  </si>
  <si>
    <t>ART.EBT170482
COMP:72%VI 23%PA 5%EA
WIDTH:158CM
WEIGHT:300G/M2</t>
  </si>
  <si>
    <t>ART.EBT170484
COMP:G:100%PL F:100%PU
WIDTH:140CM
WEIGHT:540G/M2</t>
  </si>
  <si>
    <t>ART.EBT170485
COMP:100%PL
WIDTH:140CM
WEIGHT:490G/M2</t>
    <phoneticPr fontId="51" type="noConversion"/>
  </si>
  <si>
    <t>ART.EBT170483
COMP:50%CO 46%PL 4%EA
WIDTH:144CM
WEIGHT:240G/M2</t>
    <phoneticPr fontId="51" type="noConversion"/>
  </si>
  <si>
    <t>ART.EBT170470
COMP:63%PL 33%VI 4%EA
WIDTH:140CM
WEIGHT:370G/M</t>
    <phoneticPr fontId="51" type="noConversion"/>
  </si>
  <si>
    <t>EBT270348</t>
  </si>
  <si>
    <t>ART.EBT270348
COMP:97%CO 3%EA
WIDTH:135CM
WEIGHT:282GSM</t>
  </si>
  <si>
    <t>EBT170487</t>
  </si>
  <si>
    <t>ART.EBT170487
COMP:100%PL
WIDTH:56"
WEIGHT:205GSM</t>
  </si>
  <si>
    <t>EBT170488</t>
  </si>
  <si>
    <t>ART.EBT170488
COMP:100%PL
WIDTH:142CM
WEIGHT:</t>
  </si>
  <si>
    <t>EBT170489</t>
  </si>
  <si>
    <t>EBT170490</t>
  </si>
  <si>
    <t>EBT170491</t>
  </si>
  <si>
    <t>ART.EBT170489
COMP:100%CO
WIDTH:142CM
WEIGHT:280G/M2</t>
  </si>
  <si>
    <t>ART.EBT170490
COMP:100%CO
WIDTH:139CM
WEIGHT:225G/M2</t>
  </si>
  <si>
    <t>ART.EBT170491
COMP:98%CO 2%EA
WIDTH:105CM
WEIGHT:265G/M2</t>
  </si>
  <si>
    <t>ART.EBT170169
COMP:97%VI 3%EA
WIDTH:120CM
WEIGHT:350G/M2</t>
    <phoneticPr fontId="51" type="noConversion"/>
  </si>
  <si>
    <t>ART.EBT170168
COMP:97%VI 3%EA
WIDTH:125CM
WEIGHT:270G/M2</t>
    <phoneticPr fontId="51" type="noConversion"/>
  </si>
  <si>
    <t>EBT170494</t>
  </si>
  <si>
    <t>ART.EBT170494
COMP:F:100%PL G:97%PL 3%EA
WIDTH:136CM
WEIGHT:287G/M2</t>
  </si>
  <si>
    <t>EBT170492</t>
  </si>
  <si>
    <t>EBT170493</t>
  </si>
  <si>
    <t>ART.EBT170492
COMP:F:100%PU G:85%VI 15%PL
WIDTH:137CM
WEIGHT:385G/M2</t>
  </si>
  <si>
    <t>ART.EBT170493
COMP:F:100%PU G:100%VI
WIDTH:137CM
WEIGHT:350G/M2</t>
  </si>
  <si>
    <t>EBT170496</t>
  </si>
  <si>
    <t>ART.EBT170496
COMP:60%CO 37%VI  3%EA
WIDTH:140CM
WEIGHT:210G/M2</t>
  </si>
  <si>
    <t>EBT170497</t>
  </si>
  <si>
    <t>EBT170498</t>
  </si>
  <si>
    <t>EBT170499</t>
  </si>
  <si>
    <t>ART.EBT170497
COMP:100%PL
WIDTH:139CM
WEIGHT:311GSM</t>
  </si>
  <si>
    <t>ART.EBT170498
COMP:100%PL
WIDTH:146CM
WEIGHT:330GSM</t>
  </si>
  <si>
    <t>ART.EBT170499
COMP:100%PL
WIDTH:143CM
WEIGHT:603GSM</t>
  </si>
  <si>
    <t>EBT170495</t>
  </si>
  <si>
    <t>ART.EBT170495
COMP:40%CO 35%PA 25%PL
WIDTH:145CM
WEIGHT:</t>
  </si>
  <si>
    <t>EBT170501</t>
  </si>
  <si>
    <t>EBT170502</t>
  </si>
  <si>
    <t>EBT170503</t>
  </si>
  <si>
    <t>EBT170504</t>
  </si>
  <si>
    <t>EBT170505</t>
  </si>
  <si>
    <t>ART.EBT170501
COMP:100%PL
WIDTH:110 CM
WEIGHT:120G/M2+-10</t>
  </si>
  <si>
    <t>ART.EBT170502
COMP:100%PL
WIDTH:132CM
WEIGHT:270G/M2+-10</t>
  </si>
  <si>
    <t>ART.EBT170503
COMP:100%PL
WIDTH:111CM
WEIGHT:120G/M2+-10</t>
  </si>
  <si>
    <t>ART.EBT170504
COMP:100%PL
WIDTH:135CM
WEIGHT:200G/M2+-10</t>
  </si>
  <si>
    <t>ART.EBT170505
COMP:100%CO
WIDTH:146CM
WEIGHT:280G/M2+-10</t>
  </si>
  <si>
    <t>EBT170500</t>
  </si>
  <si>
    <t>ART.EBT170500
COMP:20%WO 50%PL 23%VI 2%EA 5%OTHERS
WIDTH:144CM
WEIGHT:260G/M2</t>
  </si>
  <si>
    <t>EBT170506</t>
  </si>
  <si>
    <t>EBT170507</t>
  </si>
  <si>
    <t>ART.EBT170506
COMP:100%PL
WIDTH:110CM
WEIGHT:120G/M2+-10</t>
  </si>
  <si>
    <t>ART.EBT170507
COMP:100%PL
WIDTH:135CM
WEIGHT:220G/M2+-10</t>
  </si>
  <si>
    <t>EBT170509</t>
  </si>
  <si>
    <t>ART.EBT170509
COMP:95%PL 5%EA
WIDTH:148CM
WEIGHT:280G/M2</t>
  </si>
  <si>
    <t>EBT170510</t>
  </si>
  <si>
    <t>ART.EBT170510
COMP:FACE:100%PL;GROUND:97%PL3%EA
WIDTH:142CM
WEIGHT:460GSM</t>
  </si>
  <si>
    <t>EBT170427</t>
  </si>
  <si>
    <t>ART.EBT170427
COMP:F : 90% PL 10% EA       G: 95% PL  5%EA  
WIDTH:140CM
WEIGHT:468G/M2</t>
  </si>
  <si>
    <t>EBT170508</t>
  </si>
  <si>
    <t>ART.EBT170508
COMP:95%PL 5%EA
WIDTH:144CM
WEIGHT:340G/M2</t>
  </si>
  <si>
    <t>EBT270358</t>
  </si>
  <si>
    <t>EBT270359</t>
  </si>
  <si>
    <t>EBT270360</t>
  </si>
  <si>
    <t>EBT270361</t>
  </si>
  <si>
    <t>EBT270362</t>
  </si>
  <si>
    <t>EBT270363</t>
  </si>
  <si>
    <t>EBT270364</t>
  </si>
  <si>
    <t>EBT270365</t>
  </si>
  <si>
    <t>EBT270366</t>
  </si>
  <si>
    <t>EBT270367</t>
  </si>
  <si>
    <t>EBT270368</t>
  </si>
  <si>
    <t>EBT270369</t>
  </si>
  <si>
    <t>EBT270370</t>
  </si>
  <si>
    <t>EBT270371</t>
  </si>
  <si>
    <t>EBT270372</t>
  </si>
  <si>
    <t>ART.EBT270358
COMP:60%PL 27%VI 11%LUREX 2%EA
WIDTH:160CM
WEIGHT:272-275GSM</t>
  </si>
  <si>
    <t>ART.EBT270359
COMP:12%LUREX 25%VI 61%PL 2%EA
WIDTH:160CM
WEIGHT:282-285GSM</t>
  </si>
  <si>
    <t>ART.EBT270360
COMP:100%CO 
WIDTH:142CM
WEIGHT:86GSM</t>
  </si>
  <si>
    <t>ART.EBT270361
COMP:100%CO 
WIDTH:142CM
WEIGHT:103GSM</t>
  </si>
  <si>
    <t>ART.EBT270362
COMP:100%CO
WIDTH:142CM
WEIGHT:96GSM</t>
  </si>
  <si>
    <t>ART.EBT270363
COMP:100%CO
WIDTH:132CM
WEIGHT:332GSM</t>
  </si>
  <si>
    <t>ART.EBT270364
COMP:97%CO 3%EA
WIDTH:142CM
WEIGHT:326GSM</t>
  </si>
  <si>
    <t>ART.EBT270365
COMP:97%CO 3%EA
WIDTH:140CM
WEIGHT:342GSM</t>
  </si>
  <si>
    <t>ART.EBT270366
COMP:100% CO 
WIDTH:120CM
WEIGHT:420GSM</t>
  </si>
  <si>
    <t>ART.EBT270367
COMP:100%CO 
WIDTH:142CM
WEIGHT:250GSM</t>
  </si>
  <si>
    <t>ART.EBT270368
COMP:100%CO
WIDTH:142CM
WEIGHT:230GSM</t>
  </si>
  <si>
    <t>ART.EBT270369
COMP:100%CO 
WIDTH:142CM
WEIGHT:260GSM</t>
  </si>
  <si>
    <t>ART.EBT270370
COMP:97%CO 3%EA
WIDTH:57/58"
WEIGHT:335GSM</t>
  </si>
  <si>
    <t>ART.EBT270371
COMP:97%CO 3%EA 
WIDTH:55/56"
WEIGHT:340GSM</t>
  </si>
  <si>
    <t>ART.EBT270372
COMP:97%CO 3%EA
WIDTH:133CM
WEIGHT:303GSM</t>
  </si>
  <si>
    <t>EBT170512</t>
  </si>
  <si>
    <t>ART.EBT170512
COMP:100%CO
WIDTH:145CM
WEIGHT:103GSM</t>
  </si>
  <si>
    <t>ART.EBT270003
COMP:60%PL 27%CO 5%MET 5%EA
WIDTH:140CM
WEIGHT:190G/M2</t>
    <phoneticPr fontId="51" type="noConversion"/>
  </si>
  <si>
    <t>ART.EBT270004
COMP:60%PL 27%CO 5%MET 5%EA
WIDTH:140CM
WEIGHT:190G/M2</t>
    <phoneticPr fontId="51" type="noConversion"/>
  </si>
  <si>
    <t>ART.EBT270005
COMP:60%PL 27%CO 5%MET 5%EA
WIDTH:140CM
WEIGHT:190G/M2</t>
    <phoneticPr fontId="51" type="noConversion"/>
  </si>
  <si>
    <t>EBT170511</t>
  </si>
  <si>
    <t>ART.EBT170511
COMP:F:40%WO 60%PL G:95%PL 5%EA
WIDTH:142CM
WEIGHT:530G/M2</t>
  </si>
  <si>
    <t>EBT170515</t>
  </si>
  <si>
    <t>ART.EBT170515
COMP:100%PL
WIDTH:137CM
WEIGHT:250GSM</t>
  </si>
  <si>
    <t>EBT170517</t>
  </si>
  <si>
    <t>EBT120652B</t>
  </si>
  <si>
    <t>ART.EBT120652B
COMP:FACE:74%PL 25%CO 1%EA
BACK:100%PL
WIDTH:135CM
WEIGHT:474G/M2</t>
  </si>
  <si>
    <t>EBT170518</t>
  </si>
  <si>
    <t>EBT170519</t>
  </si>
  <si>
    <t>EBT170520</t>
  </si>
  <si>
    <t>EBT170521</t>
  </si>
  <si>
    <t>EBT170522</t>
  </si>
  <si>
    <t>EBT170523</t>
  </si>
  <si>
    <t>EBT170524</t>
  </si>
  <si>
    <t xml:space="preserve">EBT170516 </t>
  </si>
  <si>
    <t>ART.EBT170516 
COMP:100% CO 
WIDTH:127CM
WEIGHT:115GSM</t>
  </si>
  <si>
    <t>ART.EBT170518
COMP:100% CO 
WIDTH:127CM
WEIGHT:95GSM</t>
  </si>
  <si>
    <t>ART.EBT170519
COMP:100% CO 
WIDTH:127CM
WEIGHT:175GSM</t>
  </si>
  <si>
    <t>ART.EBT170520
COMP:100% CO 
WIDTH:127CM
WEIGHT:90GSM</t>
  </si>
  <si>
    <t>ART.EBT170521
COMP:100% CO 
WIDTH:127CM
WEIGHT:110GSM</t>
  </si>
  <si>
    <t>ART.EBT170522
COMP:100% CO 
WIDTH:127CM
WEIGHT:145GSM</t>
  </si>
  <si>
    <t>ART.EBT170523
COMP:100% CO 
WIDTH:127CM
WEIGHT:115GSM</t>
  </si>
  <si>
    <t>ART.EBT170524
COMP:100% CO 
WIDTH:127CM
WEIGHT:90GSM</t>
  </si>
  <si>
    <t>EBT170525</t>
  </si>
  <si>
    <t>ART.EBT170525
COMP:100% CO 
WIDTH:127CM
WEIGHT:100GSM</t>
  </si>
  <si>
    <t>EBT170526</t>
  </si>
  <si>
    <t>EBT170527</t>
  </si>
  <si>
    <t>EBT170528</t>
  </si>
  <si>
    <t>EBT170529</t>
  </si>
  <si>
    <t>EBT170530</t>
  </si>
  <si>
    <t>EBT170531</t>
  </si>
  <si>
    <t>ART.EBT170526
COMP:100%PL
WIDTH:140CM
WEIGHT:104G/M2</t>
  </si>
  <si>
    <t>ART.EBT170527
COMP:97%VI 3%EA
WIDTH:138CM
WEIGHT:100G/M2</t>
  </si>
  <si>
    <t>ART.EBT170528
COMP:97%PL 3%EA
WIDTH:144CM
WEIGHT:97G/M2</t>
  </si>
  <si>
    <t>ART.EBT170529
COMP:100%VI
WIDTH:140CM
WEIGHT:102G/M2</t>
  </si>
  <si>
    <t>ART.EBT170530
COMP:95%PL 5%EA
WIDTH:142CM
WEIGHT:118G/M2</t>
  </si>
  <si>
    <t>ART.EBT170531
COMP:100%PL
WIDTH:142CM
WEIGHT:110G/M2</t>
  </si>
  <si>
    <t>EBT130075</t>
  </si>
  <si>
    <t>EBT130651</t>
  </si>
  <si>
    <t>EBT170340</t>
  </si>
  <si>
    <t>EBT170341</t>
  </si>
  <si>
    <t>ART.EBT130075
COMP:81%PL 15%VI 4%EA
WIDTH:144CM
WEIGHT:295G/M2</t>
  </si>
  <si>
    <t>ART.EBT130651
COMP:63%PL 33%VI  4%EA
WIDTH:139CM
WEIGHT:203G/M2</t>
  </si>
  <si>
    <t>ART.EBT170340
COMP:100%VI
WIDTH:130CM
WEIGHT:160G/M2</t>
  </si>
  <si>
    <t>ART.EBT170341
COMP:100%VI
WIDTH:130CM
WEIGHT:205G/M2</t>
  </si>
  <si>
    <t>EBT161212</t>
  </si>
  <si>
    <t>ART.EBT161212
COMP:F: 95%P 5%EA, G: 90%P 10%EA
WIDTH:139CM
WEIGHT:480G/M2</t>
  </si>
  <si>
    <t>ART.EBT160368
COMP:100%PL
WIDTH:132CM
WEIGHT:85G/M2</t>
    <phoneticPr fontId="51" type="noConversion"/>
  </si>
  <si>
    <t>EBT170533</t>
  </si>
  <si>
    <t>EBT170534</t>
  </si>
  <si>
    <t>EBT170535</t>
  </si>
  <si>
    <t>EBT170536</t>
  </si>
  <si>
    <t>ART.EBT170533
COMP:100%CO 
WIDTH:128CM
WEIGHT:</t>
  </si>
  <si>
    <t>ART.EBT170534
COMP:100%CO 
WIDTH:128CM
WEIGHT:</t>
  </si>
  <si>
    <t>ART.EBT170535
COMP:100%CO 
WIDTH:128CM
WEIGHT:</t>
  </si>
  <si>
    <t>ART.EBT170536
COMP:100%CO 
WIDTH:128CM
WEIGHT:</t>
  </si>
  <si>
    <t>ART.EBT150414
COMP:G:100%PA EMB:100%PL
WIDTH:135CM
WEIGHT:</t>
    <phoneticPr fontId="51" type="noConversion"/>
  </si>
  <si>
    <t>ART.EBT170401
COMP:95%PL;5%VI
WIDTH:145CM
WEIGHT:85GSM</t>
    <phoneticPr fontId="51" type="noConversion"/>
  </si>
  <si>
    <t>EBT170513</t>
  </si>
  <si>
    <t>EBT170514</t>
  </si>
  <si>
    <t>EBT170539</t>
  </si>
  <si>
    <t>EBT170540</t>
  </si>
  <si>
    <t>EBT170541</t>
  </si>
  <si>
    <t>EBT170542</t>
  </si>
  <si>
    <t>EBT170543</t>
  </si>
  <si>
    <t>ART.EBT170539
COMP:20%WO 50%PL 23%VI 2%EA 5%OTHERS
WIDTH:144CM
WEIGHT:260G/M2</t>
  </si>
  <si>
    <t>ART.EBT170540
COMP:98%CO 2%EA
WIDTH:134CM
WEIGHT:180G/M2</t>
  </si>
  <si>
    <t>ART.EBT170541
COMP:98%CO 2%EA
WIDTH:134CM
WEIGHT:180G/M2</t>
  </si>
  <si>
    <t>ART.EBT170542
COMP:98%CO 2%EA
WIDTH:134CM
WEIGHT:180G/M2</t>
  </si>
  <si>
    <t>ART.EBT170543
COMP:98%CO 2%EA
WIDTH:134CM
WEIGHT:180G/M2</t>
  </si>
  <si>
    <t>ART.EBT170517
COMP:92%PL 8%EA
WIDTH:140CM
WEIGHT:375G/M</t>
    <phoneticPr fontId="51" type="noConversion"/>
  </si>
  <si>
    <t>EBT170545</t>
  </si>
  <si>
    <t>ART.EBT170545
COMP:F:95%PL 5%EA G:95%PL 5%EA
WIDTH:142CM
WEIGHT:563G/M2</t>
  </si>
  <si>
    <t>EBT120202</t>
  </si>
  <si>
    <t>ART.EBT120202
COMP:90%PL 10%EA
WIDTH:130CM
WEIGHT:280G/M2</t>
  </si>
  <si>
    <t>ART.EBT170174
COMP:97%PL; 3%EA
WIDTH:145cm
WEIGHT:233G/M2</t>
    <phoneticPr fontId="51" type="noConversion"/>
  </si>
  <si>
    <t>ART.EBT170108
COMP:96%PL 4%EA
WIDTH:124CM
WEIGHT:510G/M2</t>
    <phoneticPr fontId="51" type="noConversion"/>
  </si>
  <si>
    <t>ART.EBT170395
COMP:30%WO 25%CO 45%PL 
WIDTH:125CM
WEIGHT:G:350G/M2</t>
    <phoneticPr fontId="51" type="noConversion"/>
  </si>
  <si>
    <t>ART.EBT170394
COMP:30%WO 25%CO 45%PL 
WIDTH:125CM
WEIGHT:G:350G/M2</t>
    <phoneticPr fontId="51" type="noConversion"/>
  </si>
  <si>
    <t>EBT170548</t>
  </si>
  <si>
    <t>EBT170549</t>
  </si>
  <si>
    <t>EBT170550</t>
  </si>
  <si>
    <t>EBT170547</t>
  </si>
  <si>
    <t>ART.EBT170547
COMP:G:95%PL 5%EA F:98%CO 2%EA 
WIDTH:135CM
WEIGHT:450G/M2</t>
  </si>
  <si>
    <t>ART.EBT170548
COMP:G:95%PL 5%EA F:98%CO 2%EA 
WIDTH:135CM
WEIGHT:450G/M2</t>
  </si>
  <si>
    <t>ART.EBT170549
COMP:G:95%PL 5%EA F:98%CO 2%EA 
WIDTH:135CM
WEIGHT:450G/M2</t>
  </si>
  <si>
    <t>ART.EBT170550
COMP:G:95%PL 5%EA F:98%CO 2%EA 
WIDTH:135CM
WEIGHT:450G/M2</t>
  </si>
  <si>
    <t>ART.EBT161066-JR
COMP:100%PL
WIDTH:57/58"
WEIGHT:260GSM</t>
    <phoneticPr fontId="51" type="noConversion"/>
  </si>
  <si>
    <t>ART.EBT160315
COMP:G:94%PA 6%EA EMB:95%PL 5%EA
WIDTH:118CM
WEIGHT:230G/M2</t>
    <phoneticPr fontId="51" type="noConversion"/>
  </si>
  <si>
    <t>EBT170422</t>
  </si>
  <si>
    <t>ART.EBT170422
COMP:100%PL
WIDTH:140CM
WEIGHT:300G/M2</t>
  </si>
  <si>
    <t>EBTBRT1319</t>
  </si>
  <si>
    <t>EBTBRT1317</t>
  </si>
  <si>
    <t>EBT170551</t>
  </si>
  <si>
    <t>ART.EBTBRT1319
COMP: F:98%CO 2%EA G:95%PL 5%EA
WIDTH:130CM
WEIGHT:450G/M2</t>
    <phoneticPr fontId="51" type="noConversion"/>
  </si>
  <si>
    <t>ART.EBTBRT1317
COMP:F:97%CO 3%EA G:95%PL 5%EA
WIDTH:130CM
WEIGHT:420G/M2</t>
    <phoneticPr fontId="51" type="noConversion"/>
  </si>
  <si>
    <t>ART.EBT170551
COMP:G:95%PL 5%EA F:97%CO 3%EA
WIDTH:130CM
WEIGHT:420G/M2</t>
    <phoneticPr fontId="51" type="noConversion"/>
  </si>
  <si>
    <t>EBT170556</t>
  </si>
  <si>
    <t>ART.EBT170556
COMP:F:40%WO 60%PL G:100%PL 
WIDTH:142CM
WEIGHT:788G/M2</t>
  </si>
  <si>
    <t>EBT170553</t>
  </si>
  <si>
    <t>EBT170554</t>
  </si>
  <si>
    <t>EBT170555</t>
  </si>
  <si>
    <t>EBT170552</t>
  </si>
  <si>
    <t>ART.EBT170552
COMP:100%PL
WIDTH:142CM
WEIGHT:</t>
  </si>
  <si>
    <t>ART.EBT170553
COMP:100%PL
WIDTH:142CM
WEIGHT:70GSM</t>
  </si>
  <si>
    <t>ART.EBT170554
COMP:100%PL
WIDTH:142CM
WEIGHT:65GSM</t>
  </si>
  <si>
    <t>ART.EBT170555
COMP:100%PL
WIDTH:144CM
WEIGHT:64GSM</t>
  </si>
  <si>
    <t>EBT270373</t>
  </si>
  <si>
    <t>EBT270374</t>
  </si>
  <si>
    <t>EBT270375</t>
  </si>
  <si>
    <t>EBT270376</t>
  </si>
  <si>
    <t>EBT270377</t>
  </si>
  <si>
    <t>EBT270378</t>
  </si>
  <si>
    <t>EBT270379</t>
  </si>
  <si>
    <t>EBT270380</t>
  </si>
  <si>
    <t>EBT270381</t>
  </si>
  <si>
    <t>EBT270382</t>
  </si>
  <si>
    <t>EBT270383</t>
  </si>
  <si>
    <t>EBT270384</t>
  </si>
  <si>
    <t>EBT270385</t>
  </si>
  <si>
    <t>EBT270386</t>
  </si>
  <si>
    <t>EBT270387</t>
  </si>
  <si>
    <t>EBT270388</t>
  </si>
  <si>
    <t>EBT270389</t>
  </si>
  <si>
    <t>EBT270390</t>
  </si>
  <si>
    <t>EBT270391</t>
  </si>
  <si>
    <t>EBT270392</t>
  </si>
  <si>
    <t>EBT270393</t>
  </si>
  <si>
    <t>EBT270394</t>
  </si>
  <si>
    <t>EBT270395</t>
  </si>
  <si>
    <t>EBT270396</t>
  </si>
  <si>
    <t>EBT270397</t>
  </si>
  <si>
    <t>EBT270398</t>
  </si>
  <si>
    <t>EBT270399</t>
  </si>
  <si>
    <t>EBT270400</t>
  </si>
  <si>
    <t>EBT270401</t>
  </si>
  <si>
    <t>EBT270402</t>
  </si>
  <si>
    <t>EBT270403</t>
  </si>
  <si>
    <t>EBT270404</t>
  </si>
  <si>
    <t>EBT270405</t>
  </si>
  <si>
    <t>EBT270406</t>
  </si>
  <si>
    <t>EBT270407</t>
  </si>
  <si>
    <t>EBT270408</t>
  </si>
  <si>
    <t>EBT270409</t>
  </si>
  <si>
    <t>ART.EBT270373
COMP:97%CO 3%EA
WIDTH:144CM
WEIGHT:247GSM</t>
  </si>
  <si>
    <t>ART.EBT270374
COMP:97%CO 3%EA
WIDTH:127CM
WEIGHT:278GSM</t>
  </si>
  <si>
    <t>ART.EBT270375
COMP:24%VI 74%PL 2%EA
WIDTH:148CM
WEIGHT:360GSM</t>
  </si>
  <si>
    <t>ART.EBT270376
COMP:51%PL  46%CO 3%EA
WIDTH:140CM
WEIGHT:225GSM</t>
  </si>
  <si>
    <t>ART.EBT270377
COMP:87%PL  10%CO 3%EA
WIDTH:137CM
WEIGHT:134GSM</t>
  </si>
  <si>
    <t>ART.EBT270378
COMP:90%PL 8%VI 2%EA
WIDTH:153CM
WEIGHT:220GSM</t>
  </si>
  <si>
    <t>ART.EBT270379
COMP:100%VI
WIDTH:55/56”
WEIGHT:113GSM</t>
  </si>
  <si>
    <t>ART.EBT270380
COMP:100%VI
WIDTH:140CM
WEIGHT:135gsm</t>
  </si>
  <si>
    <t>ART.EBT270381
COMP:100%PL
WIDTH:145CM
WEIGHT:108GSM</t>
  </si>
  <si>
    <t>ART.EBT270382
COMP:100%PL 
WIDTH:145CM
WEIGHT:104GSM</t>
  </si>
  <si>
    <t>ART.EBT270383
COMP:97%VI 3%EA
WIDTH:134CM
WEIGHT:97GSM</t>
  </si>
  <si>
    <t>ART.EBT270384
COMP:100%PL
WIDTH:142CM
WEIGHT:108GSM</t>
  </si>
  <si>
    <t>ART.EBT270385
COMP:100%PL
WIDTH:142CM
WEIGHT:106GSM</t>
  </si>
  <si>
    <t>ART.EBT270386
COMP:100%PL
WIDTH:142CM
WEIGHT:83GSM</t>
  </si>
  <si>
    <t>ART.EBT270387
COMP:100%PL  
WIDTH:142CM
WEIGHT:100GSM</t>
  </si>
  <si>
    <t>ART.EBT270388
COMP:100%PL
WIDTH:140CM
WEIGHT:102GSM</t>
  </si>
  <si>
    <t>ART.EBT270389
COMP:100%PL
WIDTH:150CM
WEIGHT:485GSM</t>
  </si>
  <si>
    <t>ART.EBT270390
COMP:100%PL
WIDTH:147CM
WEIGHT:440GSM</t>
  </si>
  <si>
    <t>ART.EBT270391
COMP:79%PL  20%VI  1%EA
WIDTH:150CM
WEIGHT:330GSM </t>
  </si>
  <si>
    <t>ART.EBT270392
COMP:40%VI 58%PL 2%EA
WIDTH:152CM
WEIGHT:290-300GSM</t>
  </si>
  <si>
    <t>ART.EBT270393
COMP:97%PL 3%EA
WIDTH:150CM
WEIGHT:240GSM</t>
  </si>
  <si>
    <t>ART.EBT270394
COMP:30%WO 70%OTHER
WIDTH:147cm
WEIGHT:375GSM</t>
  </si>
  <si>
    <t>ART.EBT270395
COMP:30%WO 70%OTHER
WIDTH:147cm
WEIGHT:365GSM</t>
  </si>
  <si>
    <t>ART.EBT270396
COMP:50%WO 50%OTHER
WIDTH:147cm
WEIGHT:433GSM</t>
  </si>
  <si>
    <t>ART.EBT270397
COMP:30%WO 70%OTHER
WIDTH:147cm
WEIGHT:390GSM</t>
  </si>
  <si>
    <t>ART.EBT270398
COMP:50%WO 50%OTHER
WIDTH:147cm
WEIGHT:410GSM</t>
  </si>
  <si>
    <t>ART.EBT270399
COMP:40%WO 60%OTHER
WIDTH:147cm
WEIGHT:380GSM</t>
  </si>
  <si>
    <t>ART.EBT270400
COMP:40%WO 60%OTHER
WIDTH:147cm
WEIGHT:395GSM</t>
  </si>
  <si>
    <t>ART.EBT270401
COMP:50%WO 50%OTHER
WIDTH:147cm
WEIGHT:385GSM</t>
  </si>
  <si>
    <t>ART.EBT270402
COMP:100%PL
WIDTH:146CM
WEIGHT:63GSM</t>
  </si>
  <si>
    <t>ART.EBT270403
COMP:100%PL
WIDTH:150CM
WEIGHT:58GSM</t>
  </si>
  <si>
    <t>ART.EBT270404
COMP:100%PL
WIDTH:147CM
WEIGHT:75GSM</t>
  </si>
  <si>
    <t>ART.EBT270405
COMP:100%PL
WIDTH:142CM
WEIGHT:84GSM</t>
  </si>
  <si>
    <t>ART.EBT270406
COMP:100%PL
WIDTH:142CM
WEIGHT:80GSM</t>
  </si>
  <si>
    <t>ART.EBT270407
COMP:100%PL
WIDTH:150CM
WEIGHT:64GSM</t>
  </si>
  <si>
    <t>ART.EBT270408
COMP:100%PL
WIDTH:150CM
WEIGHT:64GSM</t>
  </si>
  <si>
    <t>ART.EBT270409
COMP:100%PL
WIDTH:142CM
WEIGHT:62GSM</t>
  </si>
  <si>
    <t>EBT170544</t>
  </si>
  <si>
    <t>ART.EBT170544
COMP:95%PL 5%EA
WIDTH:142CM
WEIGHT:570G/M2</t>
  </si>
  <si>
    <t>EBT170557</t>
  </si>
  <si>
    <t>EBT270318</t>
  </si>
  <si>
    <t>EBT270319</t>
  </si>
  <si>
    <t>ART.EBT170557
COMP:F:62%PL 35%VI 3%EA G:65%PL 35%VI
WIDTH:140CM
WEIGHT:375G/M2</t>
    <phoneticPr fontId="51" type="noConversion"/>
  </si>
  <si>
    <t>EBT170558</t>
  </si>
  <si>
    <t>EBT170559</t>
  </si>
  <si>
    <t>EBT170560</t>
  </si>
  <si>
    <t>ART.EBT170558
COMP:100%PL
WIDTH:132CM
WEIGHT:188G/M2</t>
  </si>
  <si>
    <t>ART.EBT170559
COMP:G:100%PA FUZZ:100%VI
WIDTH:134CM
WEIGHT:</t>
  </si>
  <si>
    <t>ART.EBT170560
COMP:100%PL
WIDTH:132CM
WEIGHT:215G/M2</t>
  </si>
  <si>
    <t>EBT170561</t>
  </si>
  <si>
    <t>ART.EBT170561
COMP:97%CO 3%EA
WIDTH:130CM
WEIGHT:</t>
  </si>
  <si>
    <t>EBT170563</t>
  </si>
  <si>
    <t>EBT170564</t>
  </si>
  <si>
    <t>EBT170565</t>
  </si>
  <si>
    <t>EBT170566</t>
  </si>
  <si>
    <t>EBT170567</t>
  </si>
  <si>
    <t>EBT170568</t>
  </si>
  <si>
    <t>EBT170569</t>
  </si>
  <si>
    <t>EBT170570</t>
  </si>
  <si>
    <t>ART.EBT170563
COMP:100%PL
WIDTH:144CM
WEIGHT:560G/M</t>
  </si>
  <si>
    <t>ART.EBT170564
COMP:10%WO 90%PL
WIDTH:144CM
WEIGHT:600G/M</t>
  </si>
  <si>
    <t>ART.EBT170565
COMP:100%PL
WIDTH:144CM
WEIGHT:415G/M</t>
  </si>
  <si>
    <t>ART.EBT170566
COMP:10%WO 90%PL
WIDTH:144CM
WEIGHT:470G/M</t>
  </si>
  <si>
    <t>ART.EBT170567
COMP:20%PC 80%PL
WIDTH:144CM
WEIGHT:360G/M</t>
  </si>
  <si>
    <t>ART.EBT170568
COMP:10%WO 90%PL MIXED
WIDTH:144CM
WEIGHT:550-580G/M</t>
  </si>
  <si>
    <t>ART.EBT170569
COMP:100%PL
WIDTH:144CM
WEIGHT:400G/M</t>
  </si>
  <si>
    <t>ART.EBT170570
COMP:100%PL 
WIDTH:142CM
WEIGHT:390G/M2</t>
  </si>
  <si>
    <t>EBT170428</t>
  </si>
  <si>
    <t>ART.EBT170428
COMP:100%VI
WIDTH:144CM
WEIGHT:130G/M2</t>
  </si>
  <si>
    <t>EBT170571</t>
  </si>
  <si>
    <t>ART.EBT170571
COMP:G:100%PL EM:100%VI
WIDTH:135CM
WEIGHT:G:205G/M2</t>
  </si>
  <si>
    <t xml:space="preserve">ART.EBT350049
COMP:95%LI 5%ME
WIDTH:140CM
WEIGHT:170GSM </t>
    <phoneticPr fontId="51" type="noConversion"/>
  </si>
  <si>
    <t xml:space="preserve">ART.EBT350050
COMP:95%LI 5%ME
WIDTH:140cm
WEIGHT:170GSM </t>
    <phoneticPr fontId="51" type="noConversion"/>
  </si>
  <si>
    <t xml:space="preserve">ART.EBT350051
COMP:95%LI 5%ME
WIDTH:140CM
WEIGHT:170GSM </t>
    <phoneticPr fontId="51" type="noConversion"/>
  </si>
  <si>
    <t>EBT170573</t>
  </si>
  <si>
    <t>EBT170574</t>
  </si>
  <si>
    <t>ART.EBT170573
COMP:90%PL 10%EA
WIDTH:144CM
WEIGHT:310G/M2</t>
  </si>
  <si>
    <t>EBT170572</t>
  </si>
  <si>
    <t>ART.EBT170572
COMP:56%VI 42%PA 2%EA
WIDTH:138CM
WEIGHT:215G/M2</t>
    <phoneticPr fontId="51" type="noConversion"/>
  </si>
  <si>
    <t>ART.EBT170574
COMP:96%PL 4%EA
WIDTH:144CM
WEIGHT:220G/M2</t>
    <phoneticPr fontId="51" type="noConversion"/>
  </si>
  <si>
    <t>EBT170575</t>
  </si>
  <si>
    <t>EBT170576</t>
  </si>
  <si>
    <t>ART.EBT170575
COMP:40%WO 20%PC 40%PL
WIDTH:142CM
WEIGHT:370G/M2</t>
  </si>
  <si>
    <t>ART.EBT170576
COMP:100%PL
WIDTH:142CM
WEIGHT:295G/M2</t>
  </si>
  <si>
    <t>ART.EBT120201
COMP:95%PL 5%EA
WIDTH:130CM
WEIGHT:280G/M2</t>
    <phoneticPr fontId="51" type="noConversion"/>
  </si>
  <si>
    <t>ART.EBT170055B
COMP:97%PL 3%EA
WIDTH:138CM
WEIGHT:470G/M2</t>
    <phoneticPr fontId="51" type="noConversion"/>
  </si>
  <si>
    <t>ART.EBT170055
COMP:97%PL 3%EA
WIDTH:142CM
WEIGHT:230G/M2</t>
    <phoneticPr fontId="51" type="noConversion"/>
  </si>
  <si>
    <t>ART.EBT170444
COMP:100%PL
WIDTH:135CM
WEIGHT:520G/M</t>
    <phoneticPr fontId="51" type="noConversion"/>
  </si>
  <si>
    <t>EBT170577</t>
  </si>
  <si>
    <t>EBT170578</t>
  </si>
  <si>
    <t>ART.EBT170578
COMP:64.5%PL 28.5%VI 7%EA
WIDTH:160CM
WEIGHT:233G/M2</t>
  </si>
  <si>
    <t>EBT170579</t>
  </si>
  <si>
    <t>EBT170580</t>
  </si>
  <si>
    <t>EBT170581</t>
  </si>
  <si>
    <t>EBT170582</t>
  </si>
  <si>
    <t>EBT170583</t>
  </si>
  <si>
    <t>EBT170584</t>
  </si>
  <si>
    <t>EBT170587</t>
  </si>
  <si>
    <t>EBT170589</t>
  </si>
  <si>
    <t>ART.EBT170581
COMP:F:100%PU G:67%VI 16%PL 12%CO 5%ME
WIDTH:135CM
WEIGHT:</t>
  </si>
  <si>
    <t>ART.EBT170582
COMP:F:100%PU G:85%VI 15%PL
WIDTH:135CM
WEIGHT:</t>
  </si>
  <si>
    <t>EBT170586</t>
  </si>
  <si>
    <t>ART.EBT170586
COMP:61%CO 38%PL 1%EA
WIDTH:145CM
WEIGHT:234G/M2</t>
  </si>
  <si>
    <t>ART.EBT170587
COMP:61%CO 38%PL 1%EA
WIDTH:145CM
WEIGHT:229G/M2</t>
  </si>
  <si>
    <t>EBT170588</t>
  </si>
  <si>
    <t>ART.EBT170588
COMP:100%PL
WIDTH:135CM
WEIGHT:167G/M2</t>
  </si>
  <si>
    <t>ART.EBT170589
COMP:100%PL
WIDTH:140CM
WEIGHT:158G/M2</t>
  </si>
  <si>
    <t>EBT170591</t>
  </si>
  <si>
    <t>ART.EBT170591
COMP:100%PL
WIDTH:128CM 
WEIGHT:</t>
  </si>
  <si>
    <t>EBT170585</t>
  </si>
  <si>
    <t>ART.EBT170585
COMP:100%PL
WIDTH:125CM
WEIGHT:</t>
  </si>
  <si>
    <t>EBT170590</t>
  </si>
  <si>
    <t>ART.EBT170590
COMP:FACE :100%PL;GROUND :100%PA 
WIDTH:128CM
WEIGHT:</t>
  </si>
  <si>
    <t>EBT170592</t>
  </si>
  <si>
    <t>EBT170593</t>
  </si>
  <si>
    <t>EBT170594</t>
  </si>
  <si>
    <t>EBT170595</t>
  </si>
  <si>
    <t>EBT170596</t>
  </si>
  <si>
    <t>EBT170597</t>
  </si>
  <si>
    <t>EBT170598</t>
  </si>
  <si>
    <t>EBT170599</t>
  </si>
  <si>
    <t>EBT170600</t>
  </si>
  <si>
    <t>EBT170601</t>
  </si>
  <si>
    <t>EBT170602</t>
  </si>
  <si>
    <t>EBT170603</t>
  </si>
  <si>
    <t>EBT170604</t>
  </si>
  <si>
    <t>EBT170605</t>
  </si>
  <si>
    <t>EBT170606</t>
  </si>
  <si>
    <t>EBT170607</t>
  </si>
  <si>
    <t>EBT170608</t>
  </si>
  <si>
    <t>EBT170609</t>
  </si>
  <si>
    <t>EBT170610</t>
  </si>
  <si>
    <t>EBT170611</t>
  </si>
  <si>
    <t>EBT170612</t>
  </si>
  <si>
    <t>EBT170613</t>
  </si>
  <si>
    <t>EBT170614</t>
  </si>
  <si>
    <t>EBT170615</t>
  </si>
  <si>
    <t>EBT170616</t>
  </si>
  <si>
    <t>EBT170617</t>
  </si>
  <si>
    <t>EBT170618</t>
  </si>
  <si>
    <t>EBT170619</t>
  </si>
  <si>
    <t>ART.EBT170592
COMP:97%PL 3%EA
WIDTH:134CM
WEIGHT:260G/M2</t>
  </si>
  <si>
    <t>ART.EBT170593
COMP:73%VI 24%PL 3%EA
WIDTH:155CM
WEIGHT:400G/M2</t>
  </si>
  <si>
    <t>ART.EBT170594
COMP:62%PL 30%VI 5%TENCEL 3%EA
WIDTH:138CM
WEIGHT:358G/M2</t>
  </si>
  <si>
    <t>ART.EBT170595
COMP:70%PL 28%VI 2%EA
WIDTH:138CM
WEIGHT:462G/M2</t>
  </si>
  <si>
    <t>ART.EBT170596
COMP:75%PL 21%VI 4%EA
WIDTH:144CM
WEIGHT:458G/M2</t>
  </si>
  <si>
    <t>ART.EBT170597
COMP:65%PL 26%VI 7%WO 2%EA
WIDTH:123CM
WEIGHT:275G/M2</t>
  </si>
  <si>
    <t>ART.EBT170598
COMP:63%PL 33%VI 4%EA
WIDTH:140CM
WEIGHT:295G/M2</t>
  </si>
  <si>
    <t>ART.EBT170599
COMP:60%WO 15%PC 20%PL 5%PA
WIDTH:145CM
WEIGHT:333G/M2</t>
  </si>
  <si>
    <t>ART.EBT170600
COMP:50%WO 50%PL
WIDTH:145cm
WEIGHT:500G/M2</t>
  </si>
  <si>
    <t>ART.EBT170601
COMP:20%WO 65%PC 5%PA 10%ME
WIDTH:145cm
WEIGHT:300G/M2</t>
  </si>
  <si>
    <t>ART.EBT170602
COMP:20%WO 24%PC 15%PL 40%VI 1%ME
WIDTH:145cm
WEIGHT:294G/M2</t>
  </si>
  <si>
    <t>ART.EBT170603
COMP:30%WO 32%PC 25%PL 5%PA 8%ME
WIDTH:145CM
WEIGHT:310G/M2</t>
  </si>
  <si>
    <t>ART.EBT170604
COMP:35%WO 31%PC 29%CO 3%PA 2%ME
WIDTH:145CM
WEIGHT:285G/M2</t>
  </si>
  <si>
    <t>ART.EBT170605
COMP:60%WO 35%PC 5%PL
WIDTH:145CM
WEIGHT:300G/M2</t>
  </si>
  <si>
    <t>ART.EBT170607
COMP:30%WO 68%PL 2%EA
WIDTH:140CM
WEIGHT:428G/M2</t>
  </si>
  <si>
    <t>ART.EBT170608
COMP:10%PC 90%PL
WIDTH:140CM
WEIGHT:360G/M2</t>
  </si>
  <si>
    <t>ART.EBT170609
COMP:100%PL
WIDTH:140CM
WEIGHT:320G/M2</t>
  </si>
  <si>
    <t>ART.EBT170610
COMP:10%PC 90%PL
WIDTH:140CM
WEIGHT:306G/M2</t>
  </si>
  <si>
    <t>ART.EBT170611
COMP:100%OTHER
WIDTH:140CM
WEIGHT:340G/M2</t>
  </si>
  <si>
    <t>ART.EBT170612
COMP:55%PL 35%CO 10%OT
WIDTH:140CM
WEIGHT:270G/M2</t>
  </si>
  <si>
    <t>ART.EBT170614
COMP:25%WO 25%PC 40%PL 10%OT
WIDTH:140CM
WEIGHT:395G/M2</t>
  </si>
  <si>
    <t>ART.EBT170616
COMP:100%PL
WIDTH:144CM
WEIGHT:390G/M2</t>
  </si>
  <si>
    <t>ART.EBT170617
COMP:100%PL
WIDTH:144CM
WEIGHT:370G/M2</t>
  </si>
  <si>
    <t>ART.EBT170618
COMP:100%PL
WIDTH:144CM
WEIGHT:400G/M2</t>
  </si>
  <si>
    <t>ART.EBT170619
COMP:100%PL
WIDTH:144CM
WEIGHT:300G/M2</t>
  </si>
  <si>
    <t>EBT170620</t>
  </si>
  <si>
    <t>ART.EBT170620
COMP:95%PL；5%EA
WIDTH:146CM
WEIGHT:310G/M2</t>
    <phoneticPr fontId="51" type="noConversion"/>
  </si>
  <si>
    <t>ART.EBT170615
COMP:10%WO 65%PC 25%PL
WIDTH:140CM
WEIGHT:345G/M2</t>
    <phoneticPr fontId="51" type="noConversion"/>
  </si>
  <si>
    <t>EBT270412</t>
  </si>
  <si>
    <t>EBT270413</t>
  </si>
  <si>
    <t>EBT270414</t>
  </si>
  <si>
    <t>EBT270415</t>
  </si>
  <si>
    <t>EBT270417</t>
  </si>
  <si>
    <t>EBT270421</t>
  </si>
  <si>
    <t>EBT270422</t>
  </si>
  <si>
    <t>EBT270423</t>
  </si>
  <si>
    <t>EBT270424</t>
  </si>
  <si>
    <t>EBT270425</t>
  </si>
  <si>
    <t>EBT270426</t>
  </si>
  <si>
    <t>EBT270427</t>
  </si>
  <si>
    <t>EBT270428</t>
  </si>
  <si>
    <t>EBT270429</t>
  </si>
  <si>
    <t>EBT270430</t>
  </si>
  <si>
    <t>EBT270431</t>
  </si>
  <si>
    <t>EBT270432</t>
  </si>
  <si>
    <t>EBT270433</t>
  </si>
  <si>
    <t>EBT270434</t>
  </si>
  <si>
    <t>EBT270435</t>
  </si>
  <si>
    <t>EBT270436</t>
  </si>
  <si>
    <t>EBT270437</t>
  </si>
  <si>
    <t>EBT270440</t>
  </si>
  <si>
    <t>EBT270441</t>
  </si>
  <si>
    <t>EBT270442</t>
  </si>
  <si>
    <t>EBT270443</t>
  </si>
  <si>
    <t>EBT270444</t>
  </si>
  <si>
    <t>EBT270445</t>
  </si>
  <si>
    <t>EBT270446</t>
  </si>
  <si>
    <t>EBT270447</t>
  </si>
  <si>
    <t>EBT270448</t>
  </si>
  <si>
    <t>EBT270449</t>
  </si>
  <si>
    <t>EBT270450</t>
  </si>
  <si>
    <t>EBT270451</t>
  </si>
  <si>
    <t>EBT270452</t>
  </si>
  <si>
    <t>EBT270453</t>
  </si>
  <si>
    <t>ART.EBT270412
COMP:25%VI 61%PL 2%EA 12%MET
WIDTH:163CM
WEIGHT:260GSM</t>
  </si>
  <si>
    <t>ART.EBT270413
COMP:25%VI 61%PL 2%EA 12%MET
WIDTH:163CM
WEIGHT:260GSM</t>
  </si>
  <si>
    <t>ART.EBT270414
COMP:25%VI 61%PL 2%EA 12%MET
WIDTH:163CM
WEIGHT:255GSM</t>
  </si>
  <si>
    <t>ART.EBT270415
COMP:100%PL EMB
WIDTH:120-125CM
WEIGHT:</t>
  </si>
  <si>
    <t>ART.EBT270417
COMP:100%PA
WIDTH:130CM
WEIGHT:</t>
  </si>
  <si>
    <t>ART.EBT270421
COMP:FACE:20%VI 78%PL 2%EA BACK:65%PL 35%VI
WIDTH:170CM
WEIGHT:425GSM</t>
  </si>
  <si>
    <t>ART.EBT270422
COMP:75%CO 25%VI
WIDTH:142CM
WEIGHT:260GSM</t>
  </si>
  <si>
    <t>ART.EBT270423
COMP:75%CO 25%VI
WIDTH:142CM
WEIGHT:485GSM</t>
  </si>
  <si>
    <t>ART.EBT270424
COMP:72%CO 25%VI 3%EA
WIDTH:116CM
WEIGHT:290GSM</t>
  </si>
  <si>
    <t>ART.EBT270425
COMP:20%VI 78%PL 2%EA
WIDTH:170CM
WEIGHT:310-315GSM</t>
  </si>
  <si>
    <t>ART.EBT270426
COMP:20%VI 78%PL 2%EA
WIDTH:170CM
WEIGHT:310-315GSM</t>
  </si>
  <si>
    <t>ART.EBT270427
COMP:20%VI 78%PL 2%EA
WIDTH:170CM
WEIGHT:310-315GSM</t>
  </si>
  <si>
    <t>ART.EBT270428
COMP:FACE:20%VI 78%PL 2%EA BACK:95%PL 5%EA
WIDTH:145CM
WEIGHT:565GSM</t>
  </si>
  <si>
    <t>ART.EBT270429
COMP:FACE:20%VI 78%PL 2%EA BACK:95%PL 5%EA
WIDTH:145CM
WEIGHT:565GSM</t>
  </si>
  <si>
    <t>ART.EBT270430
COMP:FACE:20%VI 78%PL 2%EA BACK:65%PL 35%VI
WIDTH:170CM
WEIGHT:425GSM</t>
  </si>
  <si>
    <t>ART.EBT270431
COMP:FACE:20%VI 78%PL 2%EA BACK:65%PL 35%VI
WIDTH:170CM
WEIGHT:425GSM</t>
  </si>
  <si>
    <t>ART.EBT270432
COMP:95%PA 5%EA
WIDTH:145CM
WEIGHT:110GSM</t>
  </si>
  <si>
    <t>ART.EBT270433
COMP:100%PL 
WIDTH:140CM
WEIGHT:520G/M</t>
  </si>
  <si>
    <t>ART.EBT270434
COMP:35%WO 65%OT
WIDTH:140CM
WEIGHT:628G/ML</t>
  </si>
  <si>
    <t>ART.EBT270435
COMP:70%CO 27%PL 3%EL 
WIDTH:122CM
WEIGHT:100G/M2</t>
  </si>
  <si>
    <t>ART.EBT270436
COMP:44%CO 49%NY 5%PL 2%EL 
WIDTH:118CM
WEIGHT:108G/M2</t>
  </si>
  <si>
    <t>ART.EBT270437
COMP:32%CO 36%PL 29%PA 3%EL 
WIDTH:122CM
WEIGHT:132G/M2</t>
  </si>
  <si>
    <t>ART.EBT270440
COMP:48%CO 50%PL 2%EL 
WIDTH:122CM
WEIGHT:133G/M2</t>
  </si>
  <si>
    <t>ART.EBT270441
COMP:30% PA 68% CO 2% EL
WIDTH:144CM
WEIGHT:85g/m2</t>
  </si>
  <si>
    <t>ART.EBT270442
COMP:30% PA 68% CO 2% EL
WIDTH:144CM
WEIGHT:85g/m2</t>
  </si>
  <si>
    <t>ART.EBT270443
COMP:30% PA 68% CO 2% EL
WIDTH:144CM
WEIGHT:85g/m2</t>
  </si>
  <si>
    <t>ART.EBT270444
COMP:30% PA 68% CO 2% EL
WIDTH:144CM
WEIGHT:85g/m2</t>
  </si>
  <si>
    <t>ART.EBT270445
COMP:30% PA 68% CO 2% EL
WIDTH:144CM
WEIGHT:85g/m2</t>
  </si>
  <si>
    <t>ART.EBT270446
COMP:30% PA 68% CO 2% EL
WIDTH:144CM
WEIGHT:85g/m2</t>
  </si>
  <si>
    <t>ART.EBT270447
COMP:30% PA 68% CO 2% EL
WIDTH:144CM
WEIGHT:85g/m2</t>
  </si>
  <si>
    <t>ART.EBT270448
COMP:30% PA 68% CO 2% EL
WIDTH:144CM
WEIGHT:85g/m2</t>
  </si>
  <si>
    <t>ART.EBT270449
COMP:30% PA 68% CO 2% EL
WIDTH:144CM
WEIGHT:85g/m2</t>
  </si>
  <si>
    <t>ART.EBT270450
COMP:55%CO 43%PL 2%EA
WIDTH:144CM
WEIGHT:215G/ML</t>
  </si>
  <si>
    <t>ART.EBT270451
COMP:40%PL 53%PC 7%LUREX
WIDTH:144CM
WEIGHT:290G/M2</t>
  </si>
  <si>
    <t>ART.EBT270452
COMP:100%OTHERS
WIDTH:144CM
WEIGHT:490G/M(+/-20G/M)</t>
  </si>
  <si>
    <t>ART.EBT270453
COMP:97%PL 3%EA
WIDTH:144CM
WEIGHT:155G/M2</t>
  </si>
  <si>
    <t>EBT170562</t>
  </si>
  <si>
    <t>ART.EBT170562
COMP:65%PL 33%VI 2%EA
WIDTH:142CM
WEIGHT:220G/M2</t>
  </si>
  <si>
    <t>ART.EBT170577
COMP:76%PL 14.5%VI 9.5%EA
WIDTH:155CM
WEIGHT:380G/M2</t>
    <phoneticPr fontId="51" type="noConversion"/>
  </si>
  <si>
    <t>ART.EBT170613
COMP:93%CO7%PL
WIDTH:140CM
WEIGHT:310G/M2</t>
    <phoneticPr fontId="51" type="noConversion"/>
  </si>
  <si>
    <t>ART.EBT170606
COMP:50%WO 49%PC 1%PA
WIDTH:145CM
WEIGHT:360G/M2</t>
    <phoneticPr fontId="51" type="noConversion"/>
  </si>
  <si>
    <t>EBT170623</t>
  </si>
  <si>
    <t>ART.EBT170623
COMP:30%WO 70%VI
WIDTH:142CM
WEIGHT:130G/M2</t>
  </si>
  <si>
    <t>EBT170626</t>
  </si>
  <si>
    <t>ART.EBT170626
COMP:69%PL 31%CO
WIDTH:135CM
WEIGHT:275G/M2</t>
  </si>
  <si>
    <t>EBT170627</t>
  </si>
  <si>
    <t>EBT170628</t>
  </si>
  <si>
    <t>ART.EBT170628
COMP:93%VI 7%PL
WIDTH:140CM
WEIGHT:200G/M2</t>
  </si>
  <si>
    <t>ART.EBT170579
COMP:F:100%PU G:100%VI
WIDTH:135CM
WEIGHT:325G/M2</t>
    <phoneticPr fontId="51" type="noConversion"/>
  </si>
  <si>
    <t>ART.EBT170580
COMP:F:100%PU G:100%VI
WIDTH:135CM
WEIGHT:355G/M2</t>
    <phoneticPr fontId="51" type="noConversion"/>
  </si>
  <si>
    <t>ART.EBT170584
COMP:F:100%PU G:100%VI
WIDTH:135CM
WEIGHT:340G/M2</t>
    <phoneticPr fontId="51" type="noConversion"/>
  </si>
  <si>
    <t>ART.EBT170583
COMP:F:100%PU G:100%VI
WIDTH:135CM
WEIGHT:340G/M2</t>
    <phoneticPr fontId="51" type="noConversion"/>
  </si>
  <si>
    <t>ART.EBT170627
COMP:77%VI 20%PA 3%EA
WIDTH:145CM
WEIGHT:180G/M2</t>
    <phoneticPr fontId="51" type="noConversion"/>
  </si>
  <si>
    <t>EBT170624</t>
  </si>
  <si>
    <t>EBT170625</t>
  </si>
  <si>
    <t>ART.EBT170624
COMP:F:100%PU G:67%VI 16%PL 12%CO 5%ME
WIDTH:135CM
WEIGHT:</t>
  </si>
  <si>
    <t>ART.EBT170625
COMP:F:100%PU G:67%VI 16%PL 12%CO 5%ME
WIDTH:135CM
WEIGHT:</t>
  </si>
  <si>
    <t>EBT170629</t>
  </si>
  <si>
    <t>ART.EBT170629
COMP:G:100%PA FUZZ:100%VI
WIDTH:134CM
WEIGHT:</t>
  </si>
  <si>
    <t>EBT130584</t>
  </si>
  <si>
    <t>ART.EBT130584
COMP:GROUND:64%PL 33%VI 4%EA EMB YARN:100%CO 
WIDTH:138CM
WEIGHT:</t>
  </si>
  <si>
    <t>EBT170630</t>
  </si>
  <si>
    <t>ART.EBT170630
COMP:88%PL 12%EA
WIDTH:150CM
WEIGHT:320G/M2</t>
  </si>
  <si>
    <t>ART.EBT270350
COMP: FACE:64%PL 34%VI 2%EA BACK:70%PL 30%VI
WIDTH:140CM
WEIGHT:418G/M2</t>
    <phoneticPr fontId="51" type="noConversion"/>
  </si>
  <si>
    <t>EBT170631</t>
  </si>
  <si>
    <t>EBT170632</t>
  </si>
  <si>
    <t>EBT170633</t>
  </si>
  <si>
    <t>EBT170634</t>
  </si>
  <si>
    <t>EBT170635</t>
  </si>
  <si>
    <t>EBT170636</t>
  </si>
  <si>
    <t>EBT170637</t>
  </si>
  <si>
    <t>ART.EBT170631
COMP:100%CUPRO
WIDTH:153CM
WEIGHT:158G/M2</t>
  </si>
  <si>
    <t>ART.EBT170632
COMP:100%PL
WIDTH:140CM
WEIGHT:178G/M2</t>
  </si>
  <si>
    <t>ART.EBT170633
COMP:100%VI
WIDTH:140CM
WEIGHT:90G/M2</t>
  </si>
  <si>
    <t>ART.EBT170634
COMP:100%PA
WIDTH:140CM
WEIGHT:28G/M2</t>
  </si>
  <si>
    <t>ART.EBT170635
COMP:100%PA
WIDTH:140CM
WEIGHT:26G/M2</t>
  </si>
  <si>
    <t>ART.EBT170636
COMP:96%PL 4%EA
WIDTH:170CM
WEIGHT:175G/M2</t>
  </si>
  <si>
    <t>ART.EBT170637
COMP:59%VI 23%PA 14%PL 4%EA
WIDTH:155CM
WEIGHT:420G/M2</t>
  </si>
  <si>
    <t>EBT151039B</t>
  </si>
  <si>
    <t>ART.EBT151039B
COMP:95%PL 5%EA
WIDTH:CW:140CM
WEIGHT:430G/M2</t>
  </si>
  <si>
    <t>ART.EBT170223
COMP:73%CO 27%PA
WIDTH:144CM
WEIGHT:160G/M2</t>
    <phoneticPr fontId="51" type="noConversion"/>
  </si>
  <si>
    <t>EBT91515</t>
  </si>
  <si>
    <t>ART.EBT91515
COMP:20%WO 80%OTHER   
WIDTH:140CM
WEIGHT:370G/M2</t>
  </si>
  <si>
    <t>EBT270461</t>
  </si>
  <si>
    <t>ART.EBT270461
COMP:65%PL  32%VI  3%EA
WIDTH:140CM
WEIGHT:214GSM</t>
  </si>
  <si>
    <t>ART.EBT170513
COMP:74%PL 21%VI 5%EA
WIDTH:145CM
WEIGHT:310G/M2</t>
    <phoneticPr fontId="51" type="noConversion"/>
  </si>
  <si>
    <t>ART.EBT170514
COMP:74%PL 21%VI 5%EA
WIDTH:145CM
WEIGHT:310G/M2</t>
    <phoneticPr fontId="51" type="noConversion"/>
  </si>
  <si>
    <t>EBT170640</t>
  </si>
  <si>
    <t>ART.EBT170640
COMP:100%PL
WIDTH:135CM
WEIGHT:G:205G/M2</t>
  </si>
  <si>
    <t>ART.EBT161038B
COMP:F:97% PL 3%EA G:95%PL 5%EA
WIDTH:138CM
WEIGHT:325G/M2</t>
    <phoneticPr fontId="51" type="noConversion"/>
  </si>
  <si>
    <t>ART.EBT161189
COMP:F:78%PL 18%VI 2%EA G:95%PL 5%EA
WIDTH:138CM
WEIGHT:582G/M2</t>
    <phoneticPr fontId="51" type="noConversion"/>
  </si>
  <si>
    <t>EBT170641</t>
  </si>
  <si>
    <t>EBT170642</t>
  </si>
  <si>
    <t>ART.EBT170641
COMP:100%PL
WIDTH:145CM
WEIGHT:79GSM</t>
  </si>
  <si>
    <t>ART.EBT170642
COMP:100%PL
WIDTH:145CM
WEIGHT:88GSM</t>
  </si>
  <si>
    <t xml:space="preserve">EBT170649 </t>
  </si>
  <si>
    <t>ART.EBT170649 
COMP:15%WO 85%OTHER
WIDTH:140CM
WEIGHT:444G/M2</t>
  </si>
  <si>
    <t>EBT170643</t>
  </si>
  <si>
    <t>EBT170644</t>
  </si>
  <si>
    <t>EBT170645</t>
  </si>
  <si>
    <t>EBT170646</t>
  </si>
  <si>
    <t>EBT170647</t>
  </si>
  <si>
    <t>EBT170648</t>
  </si>
  <si>
    <t>ART.EBT170643
COMP:100%PL
WIDTH:145CM
WEIGHT:195G/M2</t>
  </si>
  <si>
    <t>ART.EBT170644
COMP:100%VI
WIDTH:142CM
WEIGHT:170G/M2</t>
  </si>
  <si>
    <t>ART.EBT170645
COMP:100%VI
WIDTH:140CM
WEIGHT:160G/M2</t>
  </si>
  <si>
    <t>ART.EBT170646
COMP:100%VI
WIDTH:142CM
WEIGHT:155G/M2</t>
  </si>
  <si>
    <t>ART.EBT170647
COMP:100%VI
WIDTH:142CM
WEIGHT:165G/M2</t>
  </si>
  <si>
    <t>ART.EBT170648
COMP:100%VI
WIDTH:140CM
WEIGHT:163G/M2</t>
  </si>
  <si>
    <t>EBT160992</t>
  </si>
  <si>
    <t>ART.EBT160992
COMP:84%PA 16%EA
WIDTH:140CM
WEIGHT:260G/M2</t>
  </si>
  <si>
    <t>EBT170649</t>
  </si>
  <si>
    <t>ART.EBT170649
COMP:15%WO 85%OTHER
WIDTH:140CM
WEIGHT:444G/M2</t>
  </si>
  <si>
    <t>ART.EBT130874
COMP:100%PL
WIDTH:150CM
WEIGHT:132G/M2</t>
    <phoneticPr fontId="51" type="noConversion"/>
  </si>
  <si>
    <t>EBT270454</t>
  </si>
  <si>
    <t>EBT270455</t>
  </si>
  <si>
    <t>EBT270460</t>
  </si>
  <si>
    <t>EBT270462</t>
  </si>
  <si>
    <t>EBT270463</t>
  </si>
  <si>
    <t>EBT270464</t>
  </si>
  <si>
    <t>EBT270465</t>
  </si>
  <si>
    <t>EBT270466</t>
  </si>
  <si>
    <t>EBT270467</t>
  </si>
  <si>
    <t>EBT270468</t>
  </si>
  <si>
    <t>EBT270469</t>
  </si>
  <si>
    <t>EBT270470</t>
  </si>
  <si>
    <t>EBT270471</t>
  </si>
  <si>
    <t>EBT270472</t>
  </si>
  <si>
    <t>EBT270473</t>
  </si>
  <si>
    <t>EBT270474</t>
  </si>
  <si>
    <t>EBT270475</t>
  </si>
  <si>
    <t>EBT270476</t>
  </si>
  <si>
    <t>EBT270477</t>
  </si>
  <si>
    <t>ART.EBT270454
COMP:64%PL 34%VI 2%EA
WIDTH:57/58"
WEIGHT:225GSM</t>
  </si>
  <si>
    <t>ART.EBT270455
COMP:63%PL 33%VI 4%EA
WIDTH:53/54"
WEIGHT:305GSM</t>
  </si>
  <si>
    <t>ART.EBT270460
COMP:66%PL  32%VI  2%EA
WIDTH:142CM
WEIGHT:230GSM</t>
  </si>
  <si>
    <t>ART.EBT270462
COMP:63%PL 33%VI 4%EA
WIDTH:142CM
WEIGHT:208GSM</t>
  </si>
  <si>
    <t>ART.EBT270463
COMP:75%PL 20%VI 5%EA
WIDTH:142CM
WEIGHT:345GSM</t>
  </si>
  <si>
    <t>ART.EBT270464
COMP:72%PL 26%VI 2%EA
WIDTH:142CM
WEIGHT:230GSM</t>
  </si>
  <si>
    <t>ART.EBT270465
COMP:72%PL 26%VI 2%EA
WIDTH:142CM
WEIGHT:248GSM</t>
  </si>
  <si>
    <t>ART.EBT270466
COMP:63%PL   33%VI  4%EA
WIDTH:142CM
WEIGHT:233GSM</t>
  </si>
  <si>
    <t>ART.EBT270467
COMP:65%PL 33%VI 2%EA
WIDTH:142CM
WEIGHT:250GSM</t>
  </si>
  <si>
    <t>ART.EBT270468
COMP:65%PL 33%VI 2%EA
WIDTH:142CM
WEIGHT:215GSM</t>
  </si>
  <si>
    <t>ART.EBT270469
COMP:65%PL 33%VI 2%EA
WIDTH:142CM
WEIGHT:215GSM</t>
  </si>
  <si>
    <t>ART.EBT270470
COMP:78%PL 16%VI 6%EA
WIDTH:142CM
WEIGHT:265GSM</t>
  </si>
  <si>
    <t>ART.EBT270471
COMP:66%PL 28%VI 6%EA
WIDTH:142CM
WEIGHT:285GSM</t>
  </si>
  <si>
    <t>ART.EBT270472
COMP:66%PL 28%VI 6%EA
WIDTH:142CM
WEIGHT:288GSM</t>
  </si>
  <si>
    <t>ART.EBT270473
COMP:65%PL 30%VI 5%EA
WIDTH:142CM
WEIGHT:275GSM</t>
  </si>
  <si>
    <t>ART.EBT270474
COMP:94%PL 2%VI 4%EA
WIDTH:142CM
WEIGHT:215GSM</t>
  </si>
  <si>
    <t>ART.EBT270475
COMP:78%PL 20%VI 2%EA
WIDTH:142CM
WEIGHT:270GSM</t>
  </si>
  <si>
    <t>ART.EBT270476
COMP:65%PL 25%VI 5%WO 5%EA
WIDTH:142CM
WEIGHT:313GSM</t>
  </si>
  <si>
    <t>ART.EBT270477
COMP:63%PL 34%VI 3%EA
WIDTH:142CM
WEIGHT:250GSM</t>
  </si>
  <si>
    <t>ART.EBT150188
COMP:61%PL 36%CO 3%EA
WIDTH:54"
WEIGHT:195G/M2</t>
    <phoneticPr fontId="51" type="noConversion"/>
  </si>
  <si>
    <t>EBT170053</t>
  </si>
  <si>
    <t>ART.EBT170053
COMP:62%CO 34%PL  4%EA
WIDTH:140CM
WEIGHT:210G/M2</t>
  </si>
  <si>
    <t>EBT270410</t>
  </si>
  <si>
    <t>EBT270418</t>
  </si>
  <si>
    <t>EBT270420</t>
  </si>
  <si>
    <t>ART.EBT270410
COMP:BASE:80%PA 20%VI  THREAD:100%PL
WIDTH:125CM
WEIGHT:</t>
  </si>
  <si>
    <t>ART.EBT270418
COMP:BASE:100%PA THREAD:100%PL 
WIDTH:135CM
WEIGHT:</t>
  </si>
  <si>
    <t>ART.EBT270420
COMP:BASE:100%PA THREAD:100%PL 
WIDTH:130CM
WEIGHT:</t>
  </si>
  <si>
    <t>EBT270411</t>
  </si>
  <si>
    <t>EBT270419</t>
  </si>
  <si>
    <t>44/M</t>
  </si>
  <si>
    <t>ART.EBT270411
COMP:BASE:100%PA THREAD:100%PL
WIDTH:120CM
WEIGHT:</t>
  </si>
  <si>
    <t>ART.EBT270419
COMP:BASE:100%PA THREAD:100%PL
WIDTH:132CM
WEIGHT:</t>
  </si>
  <si>
    <t>EBT170652</t>
  </si>
  <si>
    <t>EBT170653</t>
  </si>
  <si>
    <t>EBT170654</t>
  </si>
  <si>
    <t>EBT170655</t>
  </si>
  <si>
    <t>ART.EBT170652
COMP:100%PL
WIDTH:125CM
WEIGHT:</t>
  </si>
  <si>
    <t>ART.EBT170653
COMP:100%PL
WIDTH:50CM
WEIGHT:</t>
  </si>
  <si>
    <t>ART.EBT170654
COMP:100%PL
WIDTH:120CM
WEIGHT:</t>
  </si>
  <si>
    <t>ART.EBT170655
COMP:100%PL
WIDTH:50CM
WEIGHT:</t>
  </si>
  <si>
    <t>EBT170656</t>
  </si>
  <si>
    <t>EBT170657</t>
  </si>
  <si>
    <t>EBT170658</t>
  </si>
  <si>
    <t>EBT170659</t>
  </si>
  <si>
    <t>EBT170660</t>
  </si>
  <si>
    <t>EBT170661</t>
  </si>
  <si>
    <t>EBT170662</t>
  </si>
  <si>
    <t>EBT170663</t>
  </si>
  <si>
    <t>EBT170664</t>
  </si>
  <si>
    <t>ART.EBT170655
COMP:G:100%PA EMB 100%PL
WIDTH:125CM
WEIGHT:</t>
  </si>
  <si>
    <t>ART.EBT170656
COMP:G:100%PA EMB 100%PL
WIDTH:125CM
WEIGHT:</t>
  </si>
  <si>
    <t>ART.EBT170657
COMP:G:100%PA EMB 100%PL
WIDTH:125CM
WEIGHT:</t>
  </si>
  <si>
    <t>ART.EBT170658
COMP:G:50%PA 50%PL EMB 100%PL
WIDTH:125CM
WEIGHT:</t>
  </si>
  <si>
    <t>ART.EBT170659
COMP:G:100%PA EMB 100%PL
WIDTH:125CM
WEIGHT:</t>
  </si>
  <si>
    <t>ART.EBT170661
COMP:66%PL 32%VI 2%EA
WIDTH:139CM
WEIGHT:205G/M2</t>
  </si>
  <si>
    <t>ART.EBT170662
COMP:67%PL 29%VI 4%EA
WIDTH:144CM
WEIGHT:271G/M2</t>
  </si>
  <si>
    <t>ART.EBT170663
COMP:65%PL 33%VI 2%EA
WIDTH:145CM
WEIGHT:263G/M2</t>
  </si>
  <si>
    <t>ART.EBT170664
COMP:100%CO
WIDTH:140CM
WEIGHT:285G/M2</t>
  </si>
  <si>
    <t>EBT170665</t>
  </si>
  <si>
    <t>EBT170666</t>
  </si>
  <si>
    <t>EBT170667</t>
  </si>
  <si>
    <t>EBT170668</t>
  </si>
  <si>
    <t>ART.EBT170665
COMP:100%PL
WIDTH:125CM
WEIGHT:</t>
  </si>
  <si>
    <t>ART.EBT170666
COMP:100%PL
WIDTH:125CM
WEIGHT:</t>
  </si>
  <si>
    <t>ART.EBT170667
COMP:100%PL
WIDTH:125CM
WEIGHT:</t>
  </si>
  <si>
    <t>ART.EBT170668
COMP:100%PL
WIDTH:125CM
WEIGHT:</t>
  </si>
  <si>
    <t>0205BS</t>
    <phoneticPr fontId="51" type="noConversion"/>
  </si>
  <si>
    <t>BLACK</t>
    <phoneticPr fontId="51" type="noConversion"/>
  </si>
  <si>
    <t>RED</t>
    <phoneticPr fontId="51" type="noConversion"/>
  </si>
  <si>
    <t>ART.EBT260130
COMP:100%CO SILK FINISH
WIDTH:140CM
WEIGHT:110G/M2</t>
    <phoneticPr fontId="51" type="noConversion"/>
  </si>
  <si>
    <t>EBT170669</t>
  </si>
  <si>
    <t>EBT170670</t>
  </si>
  <si>
    <t>EBT170671</t>
  </si>
  <si>
    <t>EBT170672</t>
  </si>
  <si>
    <t>EBT170673</t>
  </si>
  <si>
    <t>ART.EBT170669
COMP:G:100%PA EMB 100%PL
WIDTH:125CM
WEIGHT:</t>
  </si>
  <si>
    <t>ART.EBT170670
COMP:G:100%PA EMB 100%PL
WIDTH:125CM
WEIGHT:</t>
  </si>
  <si>
    <t>ART.EBT170671
COMP:G:100%PA EMB 100%PL
WIDTH:125CM
WEIGHT:</t>
  </si>
  <si>
    <t>ART.EBT170672
COMP:G:50%PA 50%PL EMB 100%PL
WIDTH:125CM
WEIGHT:</t>
  </si>
  <si>
    <t>ART.EBT170673
COMP:G:100%PA EMB 100%PL
WIDTH:125CM
WEIGHT:</t>
  </si>
  <si>
    <t>EBT170651</t>
  </si>
  <si>
    <t>ART.EBT170651
COMP:73%PL 27%PA
WIDTH:120CM
WEIGHT:175G/M2</t>
  </si>
  <si>
    <t>ART.EBT161155
COMP:89%PL 11%PA
WIDTH:125CM
WEIGHT:240G/M2</t>
    <phoneticPr fontId="51" type="noConversion"/>
  </si>
  <si>
    <t>ART.EBT170396
COMP:89%PL 11%PA
WIDTH:130CM
WEIGHT:240G/M2</t>
    <phoneticPr fontId="51" type="noConversion"/>
  </si>
  <si>
    <t>EBT170674</t>
  </si>
  <si>
    <t>ART.EBT170674
COMP:100%PL
WIDTH:140CM
WEIGHT:360G/M2</t>
  </si>
  <si>
    <t>EBT170675</t>
  </si>
  <si>
    <t>EBT170676</t>
  </si>
  <si>
    <t>EBT170677</t>
  </si>
  <si>
    <t>EBT170678</t>
  </si>
  <si>
    <t>EBT170679</t>
  </si>
  <si>
    <t>EBT170680</t>
  </si>
  <si>
    <t>EBT170681</t>
  </si>
  <si>
    <t>EBT170682</t>
  </si>
  <si>
    <t>ART.EBT170675
COMP:F100%PL G:100%CO
WIDTH:137CM
WEIGHT:420G/M2</t>
  </si>
  <si>
    <t>ART.EBT170676
COMP:100%PL
WIDTH:144CM
WEIGHT:205G/M2</t>
  </si>
  <si>
    <t>ART.EBT170677
COMP:100%PL
WIDTH:144CM
WEIGHT:160G/M2</t>
  </si>
  <si>
    <t>ART.EBT170678
COMP:55%CO 45%PA
WIDTH:144CM
WEIGHT:130G/M2</t>
  </si>
  <si>
    <t>ART.EBT170679
COMP:100%PA
WIDTH:144CM
WEIGHT:60G/M2</t>
  </si>
  <si>
    <t>ART.EBT170680
COMP:100%PA
WIDTH:144CM
WEIGHT:36G/M2</t>
  </si>
  <si>
    <t>ART.EBT170681
COMP:100%PA
WIDTH:144CM
WEIGHT:39G/M2</t>
  </si>
  <si>
    <t>ART.EBT170682
COMP:100%PL
WIDTH:144CM
WEIGHT:117G/M2</t>
  </si>
  <si>
    <t>EBT170683</t>
  </si>
  <si>
    <t>ART.EBT170683
COMP:100%PL
WIDTH:144CM
WEIGHT:230G/M2</t>
  </si>
  <si>
    <t>ART.EBT270351
COMP:FACE:59%PL 39%VI 2%EA BACK:100%PL
WIDTH:148CM
WEIGHT:843GSM</t>
    <phoneticPr fontId="51" type="noConversion"/>
  </si>
  <si>
    <t>EBT170684</t>
  </si>
  <si>
    <t>EBT170685</t>
  </si>
  <si>
    <t>ART.EBT170684
COMP:30%WO VI 70%
WIDTH:145CM
WEIGHT:153G/M2</t>
  </si>
  <si>
    <t>ART.EBT170685
COMP:30%WO VI 70%
WIDTH:145CM
WEIGHT:153G/M2</t>
  </si>
  <si>
    <t>EBT170686</t>
  </si>
  <si>
    <t>ART.EBT170686
COMP:36%PL 41%PC 23%VI
WIDTH:144CM
WEIGHT:265G/M2</t>
  </si>
  <si>
    <t>ART.EBT260600
COMP: 80%PL 20%WO
WIDTH:162CM
WEIGHT:280GSM</t>
    <phoneticPr fontId="51" type="noConversion"/>
  </si>
  <si>
    <t>ART.EBT260601
COMP: 80%PL 20%WO
WIDTH:162CM
WEIGHT:280GSM</t>
    <phoneticPr fontId="51" type="noConversion"/>
  </si>
  <si>
    <t>ART.EBT260608
COMP: 80%PL 20%WO
WIDTH:163CM
WEIGHT:280GSM</t>
    <phoneticPr fontId="51" type="noConversion"/>
  </si>
  <si>
    <t>ART.EBT260643
COMP:FACE ： 80%PL 20%WO  BACK : 95%PL 5%EA 
WIDTH:150CM
WEIGHT:521GSM</t>
    <phoneticPr fontId="51" type="noConversion"/>
  </si>
  <si>
    <t>ART.EBT260644
COMP:FACE ：80%PL 20%WO BACK : 95%PL 5%EA
WIDTH:150CM
WEIGHT:518GSM</t>
    <phoneticPr fontId="51" type="noConversion"/>
  </si>
  <si>
    <t>ART.EBT260685
COMP:FACE ：20%WO 80%PL   BACK : 65%PL 35%VI
WIDTH:157CM
WEIGHT:465GSM</t>
    <phoneticPr fontId="51" type="noConversion"/>
  </si>
  <si>
    <t>ART.EBT260686
COMP:FACE ：20%WO 80%PL   BACK : 65%PL 35%VI
WIDTH:152CM
WEIGHT:436GSM</t>
    <phoneticPr fontId="51" type="noConversion"/>
  </si>
  <si>
    <t>ART.EBT260687
COMP:FACE ：20%WO 80%PL  BACK : 65%PL 35%VI
WIDTH:150CM
WEIGHT:521GSM</t>
    <phoneticPr fontId="51" type="noConversion"/>
  </si>
  <si>
    <t>EBT270478</t>
  </si>
  <si>
    <t>EBT270479</t>
  </si>
  <si>
    <t>EBT270480</t>
  </si>
  <si>
    <t>EBT270481</t>
  </si>
  <si>
    <t>EBT270482</t>
  </si>
  <si>
    <t>EBT270483</t>
  </si>
  <si>
    <t>ART.EBT270478
COMP:68%PL 18%VI 10%WO 4%EA
WIDTH:142CM
WEIGHT:270GSM</t>
  </si>
  <si>
    <t>ART.EBT270479
COMP:68%PL 18%VI 10%WO 4%EA
WIDTH:142CM
WEIGHT:268GSM</t>
  </si>
  <si>
    <t>ART.EBT270480
COMP:68%PL 18%VI 10%WO 4%EA
WIDTH:142CM
WEIGHT:278GSM</t>
  </si>
  <si>
    <t>ART.EBT270481
COMP:100%CO
WIDTH:142CM
WEIGHT:100GSM</t>
  </si>
  <si>
    <t>ART.EBT270482
COMP:100%CO
WIDTH:142CM
WEIGHT:100GSM</t>
  </si>
  <si>
    <t>ART.EBT270483
COMP:100%CO
WIDTH:142CM
WEIGHT:100GSM</t>
  </si>
  <si>
    <t>0230BS</t>
    <phoneticPr fontId="51" type="noConversion"/>
  </si>
  <si>
    <t>BLUE</t>
    <phoneticPr fontId="51" type="noConversion"/>
  </si>
  <si>
    <t>YELLOW</t>
    <phoneticPr fontId="51" type="noConversion"/>
  </si>
  <si>
    <t>EBT170687</t>
  </si>
  <si>
    <t>EBT170688</t>
  </si>
  <si>
    <t>ART.EBT170687
COMP:G:95%PL 5%EA F:100%PL
WIDTH:125CM
WEIGHT:</t>
  </si>
  <si>
    <t>EBT170650</t>
  </si>
  <si>
    <t>ART.EBT170650
COMP:94%PL 6%EA
WIDTH:145CM
WEIGHT:390G/M2</t>
  </si>
  <si>
    <t>EBT170690</t>
  </si>
  <si>
    <t>EBT170691</t>
  </si>
  <si>
    <t>EBT170692</t>
  </si>
  <si>
    <t>ART.EBT170690
COMP:G:100%PL EM:100%VI
WIDTH:135CM
WEIGHT:</t>
  </si>
  <si>
    <t>ART.EBT170691
COMP:G:100%PL EM:100%VI
WIDTH:135CM
WEIGHT:</t>
  </si>
  <si>
    <t>ART.EBT170692
COMP:100%PL
WIDTH:142CM
WEIGHT:83G/M2</t>
  </si>
  <si>
    <t>ART.EBT150003
COMP:50%PL 50%CO
WIDTH:146CM
WEIGHT:435G/M</t>
    <phoneticPr fontId="51" type="noConversion"/>
  </si>
  <si>
    <t>ART.EBT150004 GOUND
COMP:60%PL 40%PA 
WIDTH:144CM
WEIGHT:24G/M2</t>
    <phoneticPr fontId="51" type="noConversion"/>
  </si>
  <si>
    <t>ART.EBT150004
COMP:G:60%PL 40%PA
EMB:100%CO
WIDTH:120CM
WEIGHT:85G/M2</t>
    <phoneticPr fontId="51" type="noConversion"/>
  </si>
  <si>
    <t>ART.EBT150005
COMP:11%CO 28%VI 61%PL
WIDTH:142CM
WEIGHT:270G/M2</t>
    <phoneticPr fontId="51" type="noConversion"/>
  </si>
  <si>
    <t>ART.EBT150006
COMP:43%PL 57%CO
WIDTH:142CM
WEIGHT:278G/M2</t>
    <phoneticPr fontId="51" type="noConversion"/>
  </si>
  <si>
    <t>ART.EBT150007
COMP:41%PL 56%CO 3%MET
WIDTH:142CM
WEIGHT:240G/M2</t>
    <phoneticPr fontId="51" type="noConversion"/>
  </si>
  <si>
    <t>ART.EBT150008
COMP:58%PL 42%CO
WIDTH:142CM
WEIGHT:215G/M2</t>
    <phoneticPr fontId="51" type="noConversion"/>
  </si>
  <si>
    <t>ART.EBT150009
COMP:30%PL 52%CO 18%VI
WIDTH:143CM
WEIGHT:270G/M2</t>
    <phoneticPr fontId="51" type="noConversion"/>
  </si>
  <si>
    <t>ART.EBT150010
COMP:11%CO 28%VI 61%PL
WIDTH:139CM
WEIGHT:290G/M2</t>
    <phoneticPr fontId="51" type="noConversion"/>
  </si>
  <si>
    <t>ART.EBT150011
COMP:100%PL
WIDTH:139CM
WEIGHT:580G/M</t>
    <phoneticPr fontId="51" type="noConversion"/>
  </si>
  <si>
    <t>ART.EBT150012
COMP:100%PL
WIDTH:139CM
WEIGHT:640G/M</t>
    <phoneticPr fontId="51" type="noConversion"/>
  </si>
  <si>
    <t>ART.EBT150013
COMP:100%PL
WIDTH:142CM
WEIGHT:680-710G/M</t>
    <phoneticPr fontId="51" type="noConversion"/>
  </si>
  <si>
    <t>ART.EBT150014-JR
COMP:100%PL
WIDTH:144CM
WEIGHT:98G/M2</t>
    <phoneticPr fontId="51" type="noConversion"/>
  </si>
  <si>
    <t>ART.EBT150014-JR
COMP:100%PL
WIDTH:144CM
WEIGHT:98G/M2</t>
    <phoneticPr fontId="51" type="noConversion"/>
  </si>
  <si>
    <t>ART.EBT150015
COMP:100%PL
WIDTH:144CM
WEIGHT:670G/M</t>
    <phoneticPr fontId="51" type="noConversion"/>
  </si>
  <si>
    <t>ART.EBT150016
COMP:38%PL 62%CO
WIDTH:142CM
WEIGHT:</t>
    <phoneticPr fontId="51" type="noConversion"/>
  </si>
  <si>
    <t>ART.EBT150017
COMP:32%PL 58%VI 10%LUREX
WIDTH:139CM
WEIGHT:215G/M2</t>
    <phoneticPr fontId="51" type="noConversion"/>
  </si>
  <si>
    <t>ART.EBT150018
COMP:47%PL 50%CO 3%EA
WIDTH:143CM
WEIGHT:265G/M2</t>
    <phoneticPr fontId="51" type="noConversion"/>
  </si>
  <si>
    <t>ART.EBT150019
COMP:94%PL 6%EA
WIDTH:143CM
WEIGHT:244G/M2</t>
    <phoneticPr fontId="51" type="noConversion"/>
  </si>
  <si>
    <t>ART.EBT150019-Print
COMP:94%PL 6%EA
WIDTH:143CM
WEIGHT:248G/M2</t>
    <phoneticPr fontId="51" type="noConversion"/>
  </si>
  <si>
    <t>ART.EBT150021
COMP:31%PA 63%CO 6%EA
WIDTH:143CM
WEIGHT:200G/M2</t>
    <phoneticPr fontId="51" type="noConversion"/>
  </si>
  <si>
    <t>ART.EBT150023
COMP:100%PL
WIDTH:143CM
WEIGHT:</t>
    <phoneticPr fontId="51" type="noConversion"/>
  </si>
  <si>
    <t>ART.EBT150024
COMP:100%PL
WIDTH:143CM
WEIGHT:</t>
    <phoneticPr fontId="51" type="noConversion"/>
  </si>
  <si>
    <t>ART.EBT150025
COMP:70%CO 30%PA
WIDTH:147CM
WEIGHT:100G/M2</t>
    <phoneticPr fontId="51" type="noConversion"/>
  </si>
  <si>
    <t>ART.EBT150026
COMP:100%PL
WIDTH:143CM
WEIGHT:70G/M2</t>
    <phoneticPr fontId="51" type="noConversion"/>
  </si>
  <si>
    <t>ART.EBT270318
COMP:100%CO
WIDTH:138CM
WEIGHT:</t>
    <phoneticPr fontId="51" type="noConversion"/>
  </si>
  <si>
    <t>ART.EBT270319
COMP:100%CO
WIDTH:138CM
WEIGHT:</t>
    <phoneticPr fontId="51" type="noConversion"/>
  </si>
  <si>
    <t>EBT170693</t>
  </si>
  <si>
    <t>EBT170694</t>
  </si>
  <si>
    <t>ART.EBT170693
COMP:60%PL 27%VI 10%CO 3%EA
WIDTH:155CM
WEIGHT:270G/M2</t>
  </si>
  <si>
    <t>ART.EBT170694
COMP:60%PL 36%VI 4%EA
WIDTH:155CM
WEIGHT:320G/M2</t>
    <phoneticPr fontId="51" type="noConversion"/>
  </si>
  <si>
    <t>EBT170695</t>
  </si>
  <si>
    <t>ART.EBT170695
COMP:66%VI;29%PA;5%EA
WIDTH:143CM
WEIGHT:180G/M2</t>
  </si>
  <si>
    <t>EBT170696</t>
  </si>
  <si>
    <t>EBT170697</t>
  </si>
  <si>
    <t>ART.EBT170696
COMP:100%PL
WIDTH:128CM
WEIGHT:</t>
  </si>
  <si>
    <t>ART.EBT170697
COMP:95%PA 5%EA
WIDTH:145CM
WEIGHT:</t>
  </si>
  <si>
    <t>ART.EBT170660
COMP:62%PL 30%VI 6%PA 2%EA
WIDTH:120CM
WEIGHT:251G/M2</t>
    <phoneticPr fontId="51" type="noConversion"/>
  </si>
  <si>
    <t>ART.EBT170688
COMP:G:65%PL 30%VI 5%EA F:100%PL
WIDTH:125CM
WEIGHT:</t>
    <phoneticPr fontId="51" type="noConversion"/>
  </si>
  <si>
    <t>EBT170718</t>
  </si>
  <si>
    <t>ART.EBT170718
COMP:25%WO 45%PC 30%PL
WIDTH:144CM
WEIGHT:370G/M2</t>
  </si>
  <si>
    <t>ART.EBT170454
COMP:95%PL 5%EA
WIDTH:152CM
WEIGHT:250G/M2</t>
    <phoneticPr fontId="51" type="noConversion"/>
  </si>
  <si>
    <t>EBT170724</t>
  </si>
  <si>
    <t>EBT170725</t>
  </si>
  <si>
    <t>EBT170726</t>
  </si>
  <si>
    <t>EBT170727</t>
  </si>
  <si>
    <t>EBT170728</t>
  </si>
  <si>
    <t>ART.EBT170724
COMP:100%CO
WIDTH:135CM
WEIGHT:</t>
  </si>
  <si>
    <t>ART.EBT170725
COMP:100%CO
WIDTH:128CM
WEIGHT:</t>
  </si>
  <si>
    <t>ART.EBT170726
COMP:100%CO
WIDTH:135CM
WEIGHT:</t>
  </si>
  <si>
    <t>ART.EBT170727
COMP:100%CO
WIDTH:128CM
WEIGHT:</t>
  </si>
  <si>
    <t>ART.EBT170728
COMP:100%CO
WIDTH:128CM
WEIGHT:</t>
  </si>
  <si>
    <t>EBT170719</t>
  </si>
  <si>
    <t>EBT170720</t>
  </si>
  <si>
    <t>EBT170721</t>
  </si>
  <si>
    <t>EBT170722</t>
  </si>
  <si>
    <t>EBT170723</t>
  </si>
  <si>
    <t>ART.EBT170719
COMP:100%PL
WIDTH:142CM
WEIGHT:</t>
  </si>
  <si>
    <t>ART.EBT170720
COMP:100%PL
WIDTH:145CM
WEIGHT:78G/M2</t>
  </si>
  <si>
    <t>ART.EBT170721
COMP:100%PL
WIDTH:144CM
WEIGHT:65G/M2</t>
  </si>
  <si>
    <t>ART.EBT170722
COMP:100%PL
WIDTH:144CM
WEIGHT:68G/M2</t>
  </si>
  <si>
    <t>ART.EBT170723
COMP:100%PL
WIDTH:152CM
WEIGHT:106G/M2</t>
  </si>
  <si>
    <t>EBT10807</t>
  </si>
  <si>
    <t>ART.EBT10807
COMP:60%PL 36%VI 4%EA
WIDTH:144CM
WEIGHT:335G/M2</t>
  </si>
  <si>
    <t>EBT170729</t>
  </si>
  <si>
    <t>EBT170731</t>
  </si>
  <si>
    <t>ART.EBT170729
COMP:100%PA
WIDTH:125CM
WEIGHT:</t>
  </si>
  <si>
    <t>ART.EBT170731
COMP:100%PA
WIDTH:117CM
WEIGHT:</t>
  </si>
  <si>
    <t>EBT170732</t>
  </si>
  <si>
    <t>ART.EBT170732
COMP:100%PL
WIDTH:145CM
WEIGHT:90G/M2</t>
  </si>
  <si>
    <t>EBT170733</t>
  </si>
  <si>
    <t>俊煌</t>
    <phoneticPr fontId="52" type="noConversion"/>
  </si>
  <si>
    <t>VF-93234</t>
    <phoneticPr fontId="52" type="noConversion"/>
  </si>
  <si>
    <t>100%PA</t>
    <phoneticPr fontId="52" type="noConversion"/>
  </si>
  <si>
    <t>125CM</t>
    <phoneticPr fontId="52" type="noConversion"/>
  </si>
  <si>
    <t>EBT170734</t>
  </si>
  <si>
    <t>索特</t>
    <phoneticPr fontId="52" type="noConversion"/>
  </si>
  <si>
    <t>TWF-1510</t>
    <phoneticPr fontId="52" type="noConversion"/>
  </si>
  <si>
    <t>100%PL</t>
    <phoneticPr fontId="52" type="noConversion"/>
  </si>
  <si>
    <t>ART.EBT170733
COMP:100%PA
WIDTH:125CM
WEIGHT:</t>
  </si>
  <si>
    <t>ART.EBT170734
COMP:100%PL
WIDTH:125CM
WEIGHT:</t>
  </si>
  <si>
    <t>EBT170730</t>
    <phoneticPr fontId="51" type="noConversion"/>
  </si>
  <si>
    <t>ART.EBT170730
COMP:100%PL
WIDTH:125CM
WEIGHT:</t>
    <phoneticPr fontId="5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</si>
</sst>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26" formatCode="\$#,##0.00_);[Red]\(\$#,##0.00\)"/>
    <numFmt numFmtId="176" formatCode="0_);[Red]\(0\)"/>
    <numFmt numFmtId="177" formatCode="0.00_);[Red]\(0.00\)"/>
    <numFmt numFmtId="178" formatCode="#,##0.00_);[Red]\(#,##0.00\)"/>
    <numFmt numFmtId="179" formatCode="[$-409]d/mmm/yy;@"/>
  </numFmts>
  <fonts count="11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scheme val="minor"/>
    </font>
    <font>
      <sz val="10"/>
      <name val="Times New Roman"/>
      <family val="1"/>
    </font>
    <font>
      <sz val="10"/>
      <name val="Arial"/>
      <family val="2"/>
    </font>
    <font>
      <u/>
      <sz val="11"/>
      <color theme="10"/>
      <name val="宋体"/>
      <family val="2"/>
      <scheme val="minor"/>
    </font>
    <font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Tahoma"/>
      <family val="2"/>
    </font>
    <font>
      <b/>
      <sz val="10"/>
      <color theme="1"/>
      <name val="Arial Black"/>
      <family val="2"/>
    </font>
    <font>
      <sz val="10"/>
      <color theme="1"/>
      <name val="宋体"/>
      <family val="2"/>
      <scheme val="minor"/>
    </font>
    <font>
      <b/>
      <sz val="9"/>
      <color theme="1"/>
      <name val="Arial Black"/>
      <family val="2"/>
    </font>
    <font>
      <b/>
      <sz val="14"/>
      <color indexed="81"/>
      <name val="宋体"/>
      <family val="3"/>
      <charset val="134"/>
    </font>
    <font>
      <b/>
      <u/>
      <sz val="14"/>
      <color indexed="81"/>
      <name val="宋体"/>
      <family val="3"/>
      <charset val="134"/>
    </font>
    <font>
      <b/>
      <sz val="13"/>
      <color indexed="81"/>
      <name val="宋体"/>
      <family val="3"/>
      <charset val="134"/>
    </font>
    <font>
      <b/>
      <u/>
      <sz val="13"/>
      <color indexed="81"/>
      <name val="宋体"/>
      <family val="3"/>
      <charset val="134"/>
    </font>
    <font>
      <sz val="10"/>
      <color rgb="FF000000"/>
      <name val="Arial"/>
      <family val="2"/>
    </font>
    <font>
      <sz val="10"/>
      <name val="Arial Narrow"/>
      <family val="2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8"/>
      <color theme="1"/>
      <name val="Arial Black"/>
      <family val="2"/>
    </font>
    <font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0"/>
      <color indexed="8"/>
      <name val="Arial"/>
      <family val="2"/>
    </font>
    <font>
      <sz val="9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rgb="FF000000"/>
      <name val="Calibri"/>
      <family val="2"/>
    </font>
    <font>
      <b/>
      <sz val="18"/>
      <color rgb="FFFF00FF"/>
      <name val="黑体"/>
      <family val="3"/>
      <charset val="134"/>
    </font>
    <font>
      <b/>
      <sz val="10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Arial Black"/>
      <family val="2"/>
    </font>
    <font>
      <b/>
      <sz val="24"/>
      <color theme="1"/>
      <name val="Arial Black"/>
      <family val="2"/>
    </font>
    <font>
      <sz val="9"/>
      <name val="Verdana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4"/>
      <color rgb="FF7030A0"/>
      <name val="Arial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10.5"/>
      <name val="Calibri"/>
      <family val="2"/>
    </font>
    <font>
      <sz val="12"/>
      <name val="Verdana"/>
      <family val="2"/>
    </font>
    <font>
      <sz val="11"/>
      <color rgb="FF000000"/>
      <name val="宋体"/>
      <family val="3"/>
      <charset val="134"/>
    </font>
    <font>
      <b/>
      <sz val="16"/>
      <name val="方正姚体"/>
      <family val="3"/>
      <charset val="134"/>
    </font>
    <font>
      <sz val="16"/>
      <color theme="1"/>
      <name val="方正姚体"/>
      <family val="3"/>
      <charset val="134"/>
    </font>
    <font>
      <sz val="9"/>
      <color rgb="FF000000"/>
      <name val="Verdana"/>
      <family val="2"/>
    </font>
  </fonts>
  <fills count="3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4E2B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12">
    <xf numFmtId="179" fontId="0" fillId="0" borderId="0"/>
    <xf numFmtId="179" fontId="53" fillId="0" borderId="0"/>
    <xf numFmtId="179" fontId="53" fillId="0" borderId="0"/>
    <xf numFmtId="179" fontId="54" fillId="0" borderId="0"/>
    <xf numFmtId="179" fontId="53" fillId="0" borderId="0"/>
    <xf numFmtId="179" fontId="53" fillId="0" borderId="0"/>
    <xf numFmtId="179" fontId="56" fillId="0" borderId="0"/>
    <xf numFmtId="179" fontId="54" fillId="0" borderId="0"/>
    <xf numFmtId="179" fontId="53" fillId="0" borderId="0"/>
    <xf numFmtId="179" fontId="57" fillId="0" borderId="0" applyNumberFormat="0" applyFill="0" applyBorder="0" applyAlignment="0" applyProtection="0"/>
    <xf numFmtId="179" fontId="54" fillId="0" borderId="0"/>
    <xf numFmtId="179" fontId="54" fillId="0" borderId="0"/>
    <xf numFmtId="179" fontId="53" fillId="0" borderId="0">
      <alignment vertical="top"/>
    </xf>
    <xf numFmtId="179" fontId="53" fillId="0" borderId="0">
      <alignment vertical="top"/>
    </xf>
    <xf numFmtId="179" fontId="59" fillId="0" borderId="0"/>
    <xf numFmtId="179" fontId="57" fillId="0" borderId="0" applyNumberFormat="0" applyFill="0" applyBorder="0" applyAlignment="0" applyProtection="0"/>
    <xf numFmtId="179" fontId="54" fillId="0" borderId="0"/>
    <xf numFmtId="179" fontId="53" fillId="0" borderId="0"/>
    <xf numFmtId="179" fontId="54" fillId="0" borderId="0"/>
    <xf numFmtId="179" fontId="54" fillId="0" borderId="0"/>
    <xf numFmtId="179" fontId="53" fillId="0" borderId="0">
      <alignment vertical="top"/>
    </xf>
    <xf numFmtId="179" fontId="53" fillId="6" borderId="0" applyNumberFormat="0" applyBorder="0" applyAlignment="0" applyProtection="0">
      <alignment vertical="center"/>
    </xf>
    <xf numFmtId="179" fontId="53" fillId="7" borderId="0" applyNumberFormat="0" applyBorder="0" applyAlignment="0" applyProtection="0">
      <alignment vertical="center"/>
    </xf>
    <xf numFmtId="179" fontId="53" fillId="8" borderId="0" applyNumberFormat="0" applyBorder="0" applyAlignment="0" applyProtection="0">
      <alignment vertical="center"/>
    </xf>
    <xf numFmtId="179" fontId="53" fillId="9" borderId="0" applyNumberFormat="0" applyBorder="0" applyAlignment="0" applyProtection="0">
      <alignment vertical="center"/>
    </xf>
    <xf numFmtId="179" fontId="53" fillId="10" borderId="0" applyNumberFormat="0" applyBorder="0" applyAlignment="0" applyProtection="0">
      <alignment vertical="center"/>
    </xf>
    <xf numFmtId="179" fontId="53" fillId="11" borderId="0" applyNumberFormat="0" applyBorder="0" applyAlignment="0" applyProtection="0">
      <alignment vertical="center"/>
    </xf>
    <xf numFmtId="179" fontId="73" fillId="6" borderId="0" applyNumberFormat="0" applyBorder="0" applyAlignment="0" applyProtection="0">
      <alignment vertical="center"/>
    </xf>
    <xf numFmtId="179" fontId="73" fillId="6" borderId="0" applyNumberFormat="0" applyBorder="0" applyAlignment="0" applyProtection="0">
      <alignment vertical="center"/>
    </xf>
    <xf numFmtId="179" fontId="73" fillId="7" borderId="0" applyNumberFormat="0" applyBorder="0" applyAlignment="0" applyProtection="0">
      <alignment vertical="center"/>
    </xf>
    <xf numFmtId="179" fontId="73" fillId="7" borderId="0" applyNumberFormat="0" applyBorder="0" applyAlignment="0" applyProtection="0">
      <alignment vertical="center"/>
    </xf>
    <xf numFmtId="179" fontId="73" fillId="8" borderId="0" applyNumberFormat="0" applyBorder="0" applyAlignment="0" applyProtection="0">
      <alignment vertical="center"/>
    </xf>
    <xf numFmtId="179" fontId="73" fillId="8" borderId="0" applyNumberFormat="0" applyBorder="0" applyAlignment="0" applyProtection="0">
      <alignment vertical="center"/>
    </xf>
    <xf numFmtId="179" fontId="73" fillId="9" borderId="0" applyNumberFormat="0" applyBorder="0" applyAlignment="0" applyProtection="0">
      <alignment vertical="center"/>
    </xf>
    <xf numFmtId="179" fontId="73" fillId="9" borderId="0" applyNumberFormat="0" applyBorder="0" applyAlignment="0" applyProtection="0">
      <alignment vertical="center"/>
    </xf>
    <xf numFmtId="179" fontId="73" fillId="10" borderId="0" applyNumberFormat="0" applyBorder="0" applyAlignment="0" applyProtection="0">
      <alignment vertical="center"/>
    </xf>
    <xf numFmtId="179" fontId="73" fillId="10" borderId="0" applyNumberFormat="0" applyBorder="0" applyAlignment="0" applyProtection="0">
      <alignment vertical="center"/>
    </xf>
    <xf numFmtId="179" fontId="73" fillId="11" borderId="0" applyNumberFormat="0" applyBorder="0" applyAlignment="0" applyProtection="0">
      <alignment vertical="center"/>
    </xf>
    <xf numFmtId="179" fontId="73" fillId="11" borderId="0" applyNumberFormat="0" applyBorder="0" applyAlignment="0" applyProtection="0">
      <alignment vertical="center"/>
    </xf>
    <xf numFmtId="179" fontId="53" fillId="0" borderId="0"/>
    <xf numFmtId="179" fontId="53" fillId="12" borderId="0" applyNumberFormat="0" applyBorder="0" applyAlignment="0" applyProtection="0">
      <alignment vertical="center"/>
    </xf>
    <xf numFmtId="179" fontId="53" fillId="13" borderId="0" applyNumberFormat="0" applyBorder="0" applyAlignment="0" applyProtection="0">
      <alignment vertical="center"/>
    </xf>
    <xf numFmtId="179" fontId="53" fillId="14" borderId="0" applyNumberFormat="0" applyBorder="0" applyAlignment="0" applyProtection="0">
      <alignment vertical="center"/>
    </xf>
    <xf numFmtId="179" fontId="53" fillId="9" borderId="0" applyNumberFormat="0" applyBorder="0" applyAlignment="0" applyProtection="0">
      <alignment vertical="center"/>
    </xf>
    <xf numFmtId="179" fontId="53" fillId="12" borderId="0" applyNumberFormat="0" applyBorder="0" applyAlignment="0" applyProtection="0">
      <alignment vertical="center"/>
    </xf>
    <xf numFmtId="179" fontId="53" fillId="15" borderId="0" applyNumberFormat="0" applyBorder="0" applyAlignment="0" applyProtection="0">
      <alignment vertical="center"/>
    </xf>
    <xf numFmtId="179" fontId="73" fillId="12" borderId="0" applyNumberFormat="0" applyBorder="0" applyAlignment="0" applyProtection="0">
      <alignment vertical="center"/>
    </xf>
    <xf numFmtId="179" fontId="73" fillId="12" borderId="0" applyNumberFormat="0" applyBorder="0" applyAlignment="0" applyProtection="0">
      <alignment vertical="center"/>
    </xf>
    <xf numFmtId="179" fontId="73" fillId="13" borderId="0" applyNumberFormat="0" applyBorder="0" applyAlignment="0" applyProtection="0">
      <alignment vertical="center"/>
    </xf>
    <xf numFmtId="179" fontId="73" fillId="13" borderId="0" applyNumberFormat="0" applyBorder="0" applyAlignment="0" applyProtection="0">
      <alignment vertical="center"/>
    </xf>
    <xf numFmtId="179" fontId="73" fillId="14" borderId="0" applyNumberFormat="0" applyBorder="0" applyAlignment="0" applyProtection="0">
      <alignment vertical="center"/>
    </xf>
    <xf numFmtId="179" fontId="73" fillId="14" borderId="0" applyNumberFormat="0" applyBorder="0" applyAlignment="0" applyProtection="0">
      <alignment vertical="center"/>
    </xf>
    <xf numFmtId="179" fontId="73" fillId="9" borderId="0" applyNumberFormat="0" applyBorder="0" applyAlignment="0" applyProtection="0">
      <alignment vertical="center"/>
    </xf>
    <xf numFmtId="179" fontId="73" fillId="9" borderId="0" applyNumberFormat="0" applyBorder="0" applyAlignment="0" applyProtection="0">
      <alignment vertical="center"/>
    </xf>
    <xf numFmtId="179" fontId="73" fillId="12" borderId="0" applyNumberFormat="0" applyBorder="0" applyAlignment="0" applyProtection="0">
      <alignment vertical="center"/>
    </xf>
    <xf numFmtId="179" fontId="73" fillId="12" borderId="0" applyNumberFormat="0" applyBorder="0" applyAlignment="0" applyProtection="0">
      <alignment vertical="center"/>
    </xf>
    <xf numFmtId="179" fontId="73" fillId="15" borderId="0" applyNumberFormat="0" applyBorder="0" applyAlignment="0" applyProtection="0">
      <alignment vertical="center"/>
    </xf>
    <xf numFmtId="179" fontId="73" fillId="15" borderId="0" applyNumberFormat="0" applyBorder="0" applyAlignment="0" applyProtection="0">
      <alignment vertical="center"/>
    </xf>
    <xf numFmtId="179" fontId="53" fillId="16" borderId="0" applyNumberFormat="0" applyBorder="0" applyAlignment="0" applyProtection="0">
      <alignment vertical="center"/>
    </xf>
    <xf numFmtId="179" fontId="53" fillId="13" borderId="0" applyNumberFormat="0" applyBorder="0" applyAlignment="0" applyProtection="0">
      <alignment vertical="center"/>
    </xf>
    <xf numFmtId="179" fontId="53" fillId="14" borderId="0" applyNumberFormat="0" applyBorder="0" applyAlignment="0" applyProtection="0">
      <alignment vertical="center"/>
    </xf>
    <xf numFmtId="179" fontId="53" fillId="17" borderId="0" applyNumberFormat="0" applyBorder="0" applyAlignment="0" applyProtection="0">
      <alignment vertical="center"/>
    </xf>
    <xf numFmtId="179" fontId="53" fillId="18" borderId="0" applyNumberFormat="0" applyBorder="0" applyAlignment="0" applyProtection="0">
      <alignment vertical="center"/>
    </xf>
    <xf numFmtId="179" fontId="53" fillId="19" borderId="0" applyNumberFormat="0" applyBorder="0" applyAlignment="0" applyProtection="0">
      <alignment vertical="center"/>
    </xf>
    <xf numFmtId="179" fontId="77" fillId="16" borderId="0" applyNumberFormat="0" applyBorder="0" applyAlignment="0" applyProtection="0">
      <alignment vertical="center"/>
    </xf>
    <xf numFmtId="179" fontId="77" fillId="16" borderId="0" applyNumberFormat="0" applyBorder="0" applyAlignment="0" applyProtection="0">
      <alignment vertical="center"/>
    </xf>
    <xf numFmtId="179" fontId="77" fillId="13" borderId="0" applyNumberFormat="0" applyBorder="0" applyAlignment="0" applyProtection="0">
      <alignment vertical="center"/>
    </xf>
    <xf numFmtId="179" fontId="77" fillId="13" borderId="0" applyNumberFormat="0" applyBorder="0" applyAlignment="0" applyProtection="0">
      <alignment vertical="center"/>
    </xf>
    <xf numFmtId="179" fontId="77" fillId="14" borderId="0" applyNumberFormat="0" applyBorder="0" applyAlignment="0" applyProtection="0">
      <alignment vertical="center"/>
    </xf>
    <xf numFmtId="179" fontId="77" fillId="14" borderId="0" applyNumberFormat="0" applyBorder="0" applyAlignment="0" applyProtection="0">
      <alignment vertical="center"/>
    </xf>
    <xf numFmtId="179" fontId="77" fillId="17" borderId="0" applyNumberFormat="0" applyBorder="0" applyAlignment="0" applyProtection="0">
      <alignment vertical="center"/>
    </xf>
    <xf numFmtId="179" fontId="77" fillId="17" borderId="0" applyNumberFormat="0" applyBorder="0" applyAlignment="0" applyProtection="0">
      <alignment vertical="center"/>
    </xf>
    <xf numFmtId="179" fontId="77" fillId="18" borderId="0" applyNumberFormat="0" applyBorder="0" applyAlignment="0" applyProtection="0">
      <alignment vertical="center"/>
    </xf>
    <xf numFmtId="179" fontId="77" fillId="18" borderId="0" applyNumberFormat="0" applyBorder="0" applyAlignment="0" applyProtection="0">
      <alignment vertical="center"/>
    </xf>
    <xf numFmtId="179" fontId="77" fillId="19" borderId="0" applyNumberFormat="0" applyBorder="0" applyAlignment="0" applyProtection="0">
      <alignment vertical="center"/>
    </xf>
    <xf numFmtId="179" fontId="77" fillId="19" borderId="0" applyNumberFormat="0" applyBorder="0" applyAlignment="0" applyProtection="0">
      <alignment vertical="center"/>
    </xf>
    <xf numFmtId="179" fontId="76" fillId="20" borderId="0">
      <alignment horizontal="center" vertical="center"/>
    </xf>
    <xf numFmtId="179" fontId="76" fillId="20" borderId="0">
      <alignment horizontal="center" vertical="center"/>
    </xf>
    <xf numFmtId="179" fontId="76" fillId="20" borderId="0">
      <alignment horizontal="center" vertical="center"/>
    </xf>
    <xf numFmtId="179" fontId="76" fillId="20" borderId="0">
      <alignment horizontal="center" vertical="center"/>
    </xf>
    <xf numFmtId="179" fontId="76" fillId="20" borderId="0">
      <alignment horizontal="left" vertical="center"/>
    </xf>
    <xf numFmtId="179" fontId="75" fillId="0" borderId="0">
      <alignment horizontal="center" vertical="center"/>
    </xf>
    <xf numFmtId="179" fontId="75" fillId="0" borderId="0">
      <alignment horizontal="center" vertical="center"/>
    </xf>
    <xf numFmtId="179" fontId="75" fillId="0" borderId="0">
      <alignment horizontal="center" vertical="center"/>
    </xf>
    <xf numFmtId="179" fontId="53" fillId="21" borderId="3" applyNumberFormat="0" applyFont="0" applyAlignment="0" applyProtection="0">
      <alignment vertical="center"/>
    </xf>
    <xf numFmtId="179" fontId="81" fillId="0" borderId="0" applyNumberFormat="0" applyFill="0" applyBorder="0" applyAlignment="0" applyProtection="0">
      <alignment vertical="center"/>
    </xf>
    <xf numFmtId="179" fontId="80" fillId="0" borderId="4" applyNumberFormat="0" applyFill="0" applyAlignment="0" applyProtection="0">
      <alignment vertical="center"/>
    </xf>
    <xf numFmtId="179" fontId="80" fillId="0" borderId="4" applyNumberFormat="0" applyFill="0" applyAlignment="0" applyProtection="0">
      <alignment vertical="center"/>
    </xf>
    <xf numFmtId="179" fontId="79" fillId="0" borderId="5" applyNumberFormat="0" applyFill="0" applyAlignment="0" applyProtection="0">
      <alignment vertical="center"/>
    </xf>
    <xf numFmtId="179" fontId="79" fillId="0" borderId="5" applyNumberFormat="0" applyFill="0" applyAlignment="0" applyProtection="0">
      <alignment vertical="center"/>
    </xf>
    <xf numFmtId="179" fontId="78" fillId="0" borderId="6" applyNumberFormat="0" applyFill="0" applyAlignment="0" applyProtection="0">
      <alignment vertical="center"/>
    </xf>
    <xf numFmtId="179" fontId="78" fillId="0" borderId="6" applyNumberFormat="0" applyFill="0" applyAlignment="0" applyProtection="0">
      <alignment vertical="center"/>
    </xf>
    <xf numFmtId="179" fontId="78" fillId="0" borderId="0" applyNumberFormat="0" applyFill="0" applyBorder="0" applyAlignment="0" applyProtection="0">
      <alignment vertical="center"/>
    </xf>
    <xf numFmtId="179" fontId="78" fillId="0" borderId="0" applyNumberFormat="0" applyFill="0" applyBorder="0" applyAlignment="0" applyProtection="0">
      <alignment vertical="center"/>
    </xf>
    <xf numFmtId="179" fontId="81" fillId="0" borderId="0" applyNumberFormat="0" applyFill="0" applyBorder="0" applyAlignment="0" applyProtection="0">
      <alignment vertical="center"/>
    </xf>
    <xf numFmtId="179" fontId="53" fillId="0" borderId="0" applyNumberFormat="0" applyFill="0" applyBorder="0" applyAlignment="0" applyProtection="0">
      <alignment vertical="center"/>
    </xf>
    <xf numFmtId="179" fontId="53" fillId="0" borderId="4" applyNumberFormat="0" applyFill="0" applyAlignment="0" applyProtection="0">
      <alignment vertical="center"/>
    </xf>
    <xf numFmtId="179" fontId="53" fillId="0" borderId="5" applyNumberFormat="0" applyFill="0" applyAlignment="0" applyProtection="0">
      <alignment vertical="center"/>
    </xf>
    <xf numFmtId="179" fontId="53" fillId="0" borderId="6" applyNumberFormat="0" applyFill="0" applyAlignment="0" applyProtection="0">
      <alignment vertical="center"/>
    </xf>
    <xf numFmtId="179" fontId="53" fillId="0" borderId="0" applyNumberFormat="0" applyFill="0" applyBorder="0" applyAlignment="0" applyProtection="0">
      <alignment vertical="center"/>
    </xf>
    <xf numFmtId="179" fontId="82" fillId="7" borderId="0" applyNumberFormat="0" applyBorder="0" applyAlignment="0" applyProtection="0">
      <alignment vertical="center"/>
    </xf>
    <xf numFmtId="179" fontId="82" fillId="7" borderId="0" applyNumberFormat="0" applyBorder="0" applyAlignment="0" applyProtection="0">
      <alignment vertical="center"/>
    </xf>
    <xf numFmtId="179" fontId="53" fillId="0" borderId="0">
      <alignment vertical="top"/>
    </xf>
    <xf numFmtId="179" fontId="53" fillId="0" borderId="0">
      <alignment vertical="top"/>
    </xf>
    <xf numFmtId="179" fontId="53" fillId="0" borderId="0">
      <alignment vertical="center"/>
    </xf>
    <xf numFmtId="179" fontId="53" fillId="0" borderId="0">
      <alignment vertical="center"/>
    </xf>
    <xf numFmtId="179" fontId="53" fillId="0" borderId="0"/>
    <xf numFmtId="179" fontId="53" fillId="0" borderId="0">
      <alignment vertical="top"/>
    </xf>
    <xf numFmtId="179" fontId="53" fillId="0" borderId="0">
      <alignment vertical="center"/>
    </xf>
    <xf numFmtId="179" fontId="53" fillId="22" borderId="0" applyNumberFormat="0" applyBorder="0" applyAlignment="0" applyProtection="0">
      <alignment vertical="center"/>
    </xf>
    <xf numFmtId="179" fontId="53" fillId="23" borderId="0" applyNumberFormat="0" applyBorder="0" applyAlignment="0" applyProtection="0">
      <alignment vertical="center"/>
    </xf>
    <xf numFmtId="179" fontId="53" fillId="24" borderId="0" applyNumberFormat="0" applyBorder="0" applyAlignment="0" applyProtection="0">
      <alignment vertical="center"/>
    </xf>
    <xf numFmtId="179" fontId="53" fillId="17" borderId="0" applyNumberFormat="0" applyBorder="0" applyAlignment="0" applyProtection="0">
      <alignment vertical="center"/>
    </xf>
    <xf numFmtId="179" fontId="53" fillId="18" borderId="0" applyNumberFormat="0" applyBorder="0" applyAlignment="0" applyProtection="0">
      <alignment vertical="center"/>
    </xf>
    <xf numFmtId="179" fontId="53" fillId="25" borderId="0" applyNumberFormat="0" applyBorder="0" applyAlignment="0" applyProtection="0">
      <alignment vertical="center"/>
    </xf>
    <xf numFmtId="179" fontId="87" fillId="8" borderId="0" applyNumberFormat="0" applyBorder="0" applyAlignment="0" applyProtection="0">
      <alignment vertical="center"/>
    </xf>
    <xf numFmtId="179" fontId="87" fillId="8" borderId="0" applyNumberFormat="0" applyBorder="0" applyAlignment="0" applyProtection="0">
      <alignment vertical="center"/>
    </xf>
    <xf numFmtId="179" fontId="53" fillId="8" borderId="0" applyNumberFormat="0" applyBorder="0" applyAlignment="0" applyProtection="0">
      <alignment vertical="center"/>
    </xf>
    <xf numFmtId="179" fontId="53" fillId="0" borderId="7" applyNumberFormat="0" applyFill="0" applyAlignment="0" applyProtection="0">
      <alignment vertical="center"/>
    </xf>
    <xf numFmtId="179" fontId="53" fillId="7" borderId="0" applyNumberFormat="0" applyBorder="0" applyAlignment="0" applyProtection="0">
      <alignment vertical="center"/>
    </xf>
    <xf numFmtId="179" fontId="85" fillId="0" borderId="7" applyNumberFormat="0" applyFill="0" applyAlignment="0" applyProtection="0">
      <alignment vertical="center"/>
    </xf>
    <xf numFmtId="179" fontId="85" fillId="0" borderId="7" applyNumberFormat="0" applyFill="0" applyAlignment="0" applyProtection="0">
      <alignment vertical="center"/>
    </xf>
    <xf numFmtId="179" fontId="86" fillId="26" borderId="8" applyNumberFormat="0" applyAlignment="0" applyProtection="0">
      <alignment vertical="center"/>
    </xf>
    <xf numFmtId="179" fontId="86" fillId="26" borderId="8" applyNumberFormat="0" applyAlignment="0" applyProtection="0">
      <alignment vertical="center"/>
    </xf>
    <xf numFmtId="179" fontId="53" fillId="26" borderId="8" applyNumberFormat="0" applyAlignment="0" applyProtection="0">
      <alignment vertical="center"/>
    </xf>
    <xf numFmtId="179" fontId="84" fillId="27" borderId="9" applyNumberFormat="0" applyAlignment="0" applyProtection="0">
      <alignment vertical="center"/>
    </xf>
    <xf numFmtId="179" fontId="84" fillId="27" borderId="9" applyNumberFormat="0" applyAlignment="0" applyProtection="0">
      <alignment vertical="center"/>
    </xf>
    <xf numFmtId="179" fontId="53" fillId="27" borderId="9" applyNumberFormat="0" applyAlignment="0" applyProtection="0">
      <alignment vertical="center"/>
    </xf>
    <xf numFmtId="179" fontId="83" fillId="0" borderId="0" applyNumberFormat="0" applyFill="0" applyBorder="0" applyAlignment="0" applyProtection="0">
      <alignment vertical="center"/>
    </xf>
    <xf numFmtId="179" fontId="83" fillId="0" borderId="0" applyNumberFormat="0" applyFill="0" applyBorder="0" applyAlignment="0" applyProtection="0">
      <alignment vertical="center"/>
    </xf>
    <xf numFmtId="179" fontId="74" fillId="0" borderId="0" applyNumberFormat="0" applyFill="0" applyBorder="0" applyAlignment="0" applyProtection="0">
      <alignment vertical="center"/>
    </xf>
    <xf numFmtId="179" fontId="74" fillId="0" borderId="0" applyNumberFormat="0" applyFill="0" applyBorder="0" applyAlignment="0" applyProtection="0">
      <alignment vertical="center"/>
    </xf>
    <xf numFmtId="179" fontId="53" fillId="0" borderId="0" applyNumberFormat="0" applyFill="0" applyBorder="0" applyAlignment="0" applyProtection="0">
      <alignment vertical="center"/>
    </xf>
    <xf numFmtId="179" fontId="53" fillId="0" borderId="10" applyNumberFormat="0" applyFill="0" applyAlignment="0" applyProtection="0">
      <alignment vertical="center"/>
    </xf>
    <xf numFmtId="179" fontId="91" fillId="0" borderId="10" applyNumberFormat="0" applyFill="0" applyAlignment="0" applyProtection="0">
      <alignment vertical="center"/>
    </xf>
    <xf numFmtId="179" fontId="91" fillId="0" borderId="10" applyNumberFormat="0" applyFill="0" applyAlignment="0" applyProtection="0">
      <alignment vertical="center"/>
    </xf>
    <xf numFmtId="179" fontId="77" fillId="22" borderId="0" applyNumberFormat="0" applyBorder="0" applyAlignment="0" applyProtection="0">
      <alignment vertical="center"/>
    </xf>
    <xf numFmtId="179" fontId="77" fillId="22" borderId="0" applyNumberFormat="0" applyBorder="0" applyAlignment="0" applyProtection="0">
      <alignment vertical="center"/>
    </xf>
    <xf numFmtId="179" fontId="77" fillId="23" borderId="0" applyNumberFormat="0" applyBorder="0" applyAlignment="0" applyProtection="0">
      <alignment vertical="center"/>
    </xf>
    <xf numFmtId="179" fontId="77" fillId="23" borderId="0" applyNumberFormat="0" applyBorder="0" applyAlignment="0" applyProtection="0">
      <alignment vertical="center"/>
    </xf>
    <xf numFmtId="179" fontId="77" fillId="24" borderId="0" applyNumberFormat="0" applyBorder="0" applyAlignment="0" applyProtection="0">
      <alignment vertical="center"/>
    </xf>
    <xf numFmtId="179" fontId="77" fillId="24" borderId="0" applyNumberFormat="0" applyBorder="0" applyAlignment="0" applyProtection="0">
      <alignment vertical="center"/>
    </xf>
    <xf numFmtId="179" fontId="77" fillId="17" borderId="0" applyNumberFormat="0" applyBorder="0" applyAlignment="0" applyProtection="0">
      <alignment vertical="center"/>
    </xf>
    <xf numFmtId="179" fontId="77" fillId="17" borderId="0" applyNumberFormat="0" applyBorder="0" applyAlignment="0" applyProtection="0">
      <alignment vertical="center"/>
    </xf>
    <xf numFmtId="179" fontId="77" fillId="18" borderId="0" applyNumberFormat="0" applyBorder="0" applyAlignment="0" applyProtection="0">
      <alignment vertical="center"/>
    </xf>
    <xf numFmtId="179" fontId="77" fillId="18" borderId="0" applyNumberFormat="0" applyBorder="0" applyAlignment="0" applyProtection="0">
      <alignment vertical="center"/>
    </xf>
    <xf numFmtId="179" fontId="77" fillId="25" borderId="0" applyNumberFormat="0" applyBorder="0" applyAlignment="0" applyProtection="0">
      <alignment vertical="center"/>
    </xf>
    <xf numFmtId="179" fontId="77" fillId="25" borderId="0" applyNumberFormat="0" applyBorder="0" applyAlignment="0" applyProtection="0">
      <alignment vertical="center"/>
    </xf>
    <xf numFmtId="179" fontId="90" fillId="28" borderId="0" applyNumberFormat="0" applyBorder="0" applyAlignment="0" applyProtection="0">
      <alignment vertical="center"/>
    </xf>
    <xf numFmtId="179" fontId="90" fillId="28" borderId="0" applyNumberFormat="0" applyBorder="0" applyAlignment="0" applyProtection="0">
      <alignment vertical="center"/>
    </xf>
    <xf numFmtId="179" fontId="88" fillId="26" borderId="11" applyNumberFormat="0" applyAlignment="0" applyProtection="0">
      <alignment vertical="center"/>
    </xf>
    <xf numFmtId="179" fontId="88" fillId="26" borderId="11" applyNumberFormat="0" applyAlignment="0" applyProtection="0">
      <alignment vertical="center"/>
    </xf>
    <xf numFmtId="179" fontId="89" fillId="11" borderId="8" applyNumberFormat="0" applyAlignment="0" applyProtection="0">
      <alignment vertical="center"/>
    </xf>
    <xf numFmtId="179" fontId="89" fillId="11" borderId="8" applyNumberFormat="0" applyAlignment="0" applyProtection="0">
      <alignment vertical="center"/>
    </xf>
    <xf numFmtId="179" fontId="53" fillId="26" borderId="11" applyNumberFormat="0" applyAlignment="0" applyProtection="0">
      <alignment vertical="center"/>
    </xf>
    <xf numFmtId="179" fontId="53" fillId="11" borderId="8" applyNumberFormat="0" applyAlignment="0" applyProtection="0">
      <alignment vertical="center"/>
    </xf>
    <xf numFmtId="179" fontId="53" fillId="0" borderId="0" applyNumberFormat="0" applyFill="0" applyBorder="0" applyAlignment="0" applyProtection="0">
      <alignment vertical="center"/>
    </xf>
    <xf numFmtId="179" fontId="53" fillId="28" borderId="0" applyNumberFormat="0" applyBorder="0" applyAlignment="0" applyProtection="0">
      <alignment vertical="center"/>
    </xf>
    <xf numFmtId="179" fontId="53" fillId="21" borderId="3" applyNumberFormat="0" applyFont="0" applyAlignment="0" applyProtection="0">
      <alignment vertical="center"/>
    </xf>
    <xf numFmtId="179" fontId="53" fillId="21" borderId="3" applyNumberFormat="0" applyFont="0" applyAlignment="0" applyProtection="0">
      <alignment vertical="center"/>
    </xf>
    <xf numFmtId="179" fontId="92" fillId="0" borderId="0" applyBorder="0" applyProtection="0"/>
    <xf numFmtId="179" fontId="59" fillId="0" borderId="0">
      <alignment vertical="center"/>
    </xf>
    <xf numFmtId="179" fontId="53" fillId="0" borderId="0"/>
    <xf numFmtId="179" fontId="50" fillId="0" borderId="0">
      <alignment vertical="center"/>
    </xf>
    <xf numFmtId="179" fontId="54" fillId="0" borderId="0"/>
    <xf numFmtId="179" fontId="53" fillId="0" borderId="0"/>
    <xf numFmtId="179" fontId="49" fillId="0" borderId="0">
      <alignment vertical="center"/>
    </xf>
    <xf numFmtId="179" fontId="54" fillId="0" borderId="0"/>
    <xf numFmtId="179" fontId="48" fillId="0" borderId="0">
      <alignment vertical="center"/>
    </xf>
    <xf numFmtId="179" fontId="54" fillId="0" borderId="0"/>
    <xf numFmtId="179" fontId="47" fillId="0" borderId="0">
      <alignment vertical="center"/>
    </xf>
    <xf numFmtId="179" fontId="54" fillId="0" borderId="0"/>
    <xf numFmtId="179" fontId="46" fillId="0" borderId="0">
      <alignment vertical="center"/>
    </xf>
    <xf numFmtId="179" fontId="54" fillId="0" borderId="0"/>
    <xf numFmtId="179" fontId="45" fillId="0" borderId="0">
      <alignment vertical="center"/>
    </xf>
    <xf numFmtId="179" fontId="54" fillId="0" borderId="0"/>
    <xf numFmtId="179" fontId="44" fillId="0" borderId="0">
      <alignment vertical="center"/>
    </xf>
    <xf numFmtId="179" fontId="54" fillId="0" borderId="0"/>
    <xf numFmtId="179" fontId="43" fillId="0" borderId="0">
      <alignment vertical="center"/>
    </xf>
    <xf numFmtId="179" fontId="54" fillId="0" borderId="0"/>
    <xf numFmtId="179" fontId="42" fillId="0" borderId="0">
      <alignment vertical="center"/>
    </xf>
    <xf numFmtId="179" fontId="54" fillId="0" borderId="0"/>
    <xf numFmtId="179" fontId="41" fillId="0" borderId="0">
      <alignment vertical="center"/>
    </xf>
    <xf numFmtId="179" fontId="54" fillId="0" borderId="0"/>
    <xf numFmtId="179" fontId="40" fillId="0" borderId="0">
      <alignment vertical="center"/>
    </xf>
    <xf numFmtId="179" fontId="54" fillId="0" borderId="0"/>
    <xf numFmtId="179" fontId="39" fillId="0" borderId="0">
      <alignment vertical="center"/>
    </xf>
    <xf numFmtId="179" fontId="54" fillId="0" borderId="0"/>
    <xf numFmtId="179" fontId="38" fillId="0" borderId="0">
      <alignment vertical="center"/>
    </xf>
    <xf numFmtId="179" fontId="54" fillId="0" borderId="0"/>
    <xf numFmtId="179" fontId="37" fillId="0" borderId="0">
      <alignment vertical="center"/>
    </xf>
    <xf numFmtId="179" fontId="54" fillId="0" borderId="0"/>
    <xf numFmtId="179" fontId="36" fillId="0" borderId="0">
      <alignment vertical="center"/>
    </xf>
    <xf numFmtId="179" fontId="54" fillId="0" borderId="0"/>
    <xf numFmtId="179" fontId="35" fillId="0" borderId="0">
      <alignment vertical="center"/>
    </xf>
    <xf numFmtId="179" fontId="54" fillId="0" borderId="0"/>
    <xf numFmtId="179" fontId="34" fillId="0" borderId="0">
      <alignment vertical="center"/>
    </xf>
    <xf numFmtId="179" fontId="54" fillId="0" borderId="0"/>
    <xf numFmtId="179" fontId="54" fillId="0" borderId="0"/>
    <xf numFmtId="179" fontId="33" fillId="0" borderId="0">
      <alignment vertical="center"/>
    </xf>
    <xf numFmtId="179" fontId="54" fillId="0" borderId="0"/>
    <xf numFmtId="179" fontId="54" fillId="0" borderId="0"/>
    <xf numFmtId="179" fontId="32" fillId="0" borderId="0">
      <alignment vertical="center"/>
    </xf>
    <xf numFmtId="179" fontId="54" fillId="0" borderId="0"/>
    <xf numFmtId="179" fontId="54" fillId="0" borderId="0"/>
    <xf numFmtId="179" fontId="31" fillId="0" borderId="0">
      <alignment vertical="center"/>
    </xf>
    <xf numFmtId="179" fontId="54" fillId="0" borderId="0"/>
    <xf numFmtId="179" fontId="54" fillId="0" borderId="0"/>
    <xf numFmtId="179" fontId="30" fillId="0" borderId="0">
      <alignment vertical="center"/>
    </xf>
    <xf numFmtId="179" fontId="54" fillId="0" borderId="0"/>
    <xf numFmtId="179" fontId="29" fillId="0" borderId="0">
      <alignment vertical="center"/>
    </xf>
    <xf numFmtId="179" fontId="54" fillId="0" borderId="0"/>
    <xf numFmtId="179" fontId="28" fillId="0" borderId="0">
      <alignment vertical="center"/>
    </xf>
    <xf numFmtId="179" fontId="54" fillId="0" borderId="0"/>
    <xf numFmtId="179" fontId="27" fillId="0" borderId="0">
      <alignment vertical="center"/>
    </xf>
    <xf numFmtId="179" fontId="54" fillId="0" borderId="0"/>
    <xf numFmtId="179" fontId="26" fillId="0" borderId="0">
      <alignment vertical="center"/>
    </xf>
    <xf numFmtId="179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9" fontId="53" fillId="0" borderId="0">
      <alignment horizontal="center" vertical="center"/>
    </xf>
    <xf numFmtId="179" fontId="54" fillId="0" borderId="0"/>
    <xf numFmtId="179" fontId="25" fillId="0" borderId="0">
      <alignment vertical="center"/>
    </xf>
    <xf numFmtId="179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179" fontId="54" fillId="0" borderId="0"/>
    <xf numFmtId="179" fontId="24" fillId="0" borderId="0">
      <alignment vertical="center"/>
    </xf>
    <xf numFmtId="179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179" fontId="54" fillId="0" borderId="0"/>
    <xf numFmtId="179" fontId="23" fillId="0" borderId="0">
      <alignment vertical="center"/>
    </xf>
    <xf numFmtId="179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179" fontId="54" fillId="0" borderId="0"/>
    <xf numFmtId="179" fontId="22" fillId="0" borderId="0">
      <alignment vertical="center"/>
    </xf>
    <xf numFmtId="179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179" fontId="54" fillId="0" borderId="0"/>
    <xf numFmtId="179" fontId="21" fillId="0" borderId="0">
      <alignment vertical="center"/>
    </xf>
    <xf numFmtId="179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9" fontId="54" fillId="0" borderId="0"/>
    <xf numFmtId="179" fontId="20" fillId="0" borderId="0">
      <alignment vertical="center"/>
    </xf>
    <xf numFmtId="179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179" fontId="54" fillId="0" borderId="0"/>
    <xf numFmtId="179" fontId="19" fillId="0" borderId="0">
      <alignment vertical="center"/>
    </xf>
    <xf numFmtId="179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53" fillId="0" borderId="17" applyNumberFormat="0" applyFill="0" applyAlignment="0" applyProtection="0">
      <alignment vertical="center"/>
    </xf>
    <xf numFmtId="179" fontId="85" fillId="0" borderId="17" applyNumberFormat="0" applyFill="0" applyAlignment="0" applyProtection="0">
      <alignment vertical="center"/>
    </xf>
    <xf numFmtId="179" fontId="85" fillId="0" borderId="17" applyNumberFormat="0" applyFill="0" applyAlignment="0" applyProtection="0">
      <alignment vertical="center"/>
    </xf>
    <xf numFmtId="179" fontId="86" fillId="26" borderId="18" applyNumberFormat="0" applyAlignment="0" applyProtection="0">
      <alignment vertical="center"/>
    </xf>
    <xf numFmtId="179" fontId="86" fillId="26" borderId="18" applyNumberFormat="0" applyAlignment="0" applyProtection="0">
      <alignment vertical="center"/>
    </xf>
    <xf numFmtId="179" fontId="53" fillId="26" borderId="18" applyNumberFormat="0" applyAlignment="0" applyProtection="0">
      <alignment vertical="center"/>
    </xf>
    <xf numFmtId="179" fontId="88" fillId="26" borderId="19" applyNumberFormat="0" applyAlignment="0" applyProtection="0">
      <alignment vertical="center"/>
    </xf>
    <xf numFmtId="179" fontId="88" fillId="26" borderId="19" applyNumberFormat="0" applyAlignment="0" applyProtection="0">
      <alignment vertical="center"/>
    </xf>
    <xf numFmtId="179" fontId="89" fillId="11" borderId="18" applyNumberFormat="0" applyAlignment="0" applyProtection="0">
      <alignment vertical="center"/>
    </xf>
    <xf numFmtId="179" fontId="89" fillId="11" borderId="18" applyNumberFormat="0" applyAlignment="0" applyProtection="0">
      <alignment vertical="center"/>
    </xf>
    <xf numFmtId="179" fontId="53" fillId="26" borderId="19" applyNumberFormat="0" applyAlignment="0" applyProtection="0">
      <alignment vertical="center"/>
    </xf>
    <xf numFmtId="179" fontId="53" fillId="11" borderId="18" applyNumberFormat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53" fillId="0" borderId="17" applyNumberFormat="0" applyFill="0" applyAlignment="0" applyProtection="0">
      <alignment vertical="center"/>
    </xf>
    <xf numFmtId="179" fontId="85" fillId="0" borderId="17" applyNumberFormat="0" applyFill="0" applyAlignment="0" applyProtection="0">
      <alignment vertical="center"/>
    </xf>
    <xf numFmtId="179" fontId="85" fillId="0" borderId="17" applyNumberFormat="0" applyFill="0" applyAlignment="0" applyProtection="0">
      <alignment vertical="center"/>
    </xf>
    <xf numFmtId="179" fontId="86" fillId="26" borderId="18" applyNumberFormat="0" applyAlignment="0" applyProtection="0">
      <alignment vertical="center"/>
    </xf>
    <xf numFmtId="179" fontId="86" fillId="26" borderId="18" applyNumberFormat="0" applyAlignment="0" applyProtection="0">
      <alignment vertical="center"/>
    </xf>
    <xf numFmtId="179" fontId="53" fillId="26" borderId="18" applyNumberFormat="0" applyAlignment="0" applyProtection="0">
      <alignment vertical="center"/>
    </xf>
    <xf numFmtId="179" fontId="88" fillId="26" borderId="19" applyNumberFormat="0" applyAlignment="0" applyProtection="0">
      <alignment vertical="center"/>
    </xf>
    <xf numFmtId="179" fontId="88" fillId="26" borderId="19" applyNumberFormat="0" applyAlignment="0" applyProtection="0">
      <alignment vertical="center"/>
    </xf>
    <xf numFmtId="179" fontId="89" fillId="11" borderId="18" applyNumberFormat="0" applyAlignment="0" applyProtection="0">
      <alignment vertical="center"/>
    </xf>
    <xf numFmtId="179" fontId="89" fillId="11" borderId="18" applyNumberFormat="0" applyAlignment="0" applyProtection="0">
      <alignment vertical="center"/>
    </xf>
    <xf numFmtId="179" fontId="53" fillId="26" borderId="19" applyNumberFormat="0" applyAlignment="0" applyProtection="0">
      <alignment vertical="center"/>
    </xf>
    <xf numFmtId="179" fontId="53" fillId="11" borderId="18" applyNumberFormat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53" fillId="21" borderId="16" applyNumberFormat="0" applyFont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53" fillId="21" borderId="20" applyNumberFormat="0" applyFont="0" applyAlignment="0" applyProtection="0">
      <alignment vertical="center"/>
    </xf>
    <xf numFmtId="179" fontId="53" fillId="0" borderId="21" applyNumberFormat="0" applyFill="0" applyAlignment="0" applyProtection="0">
      <alignment vertical="center"/>
    </xf>
    <xf numFmtId="179" fontId="85" fillId="0" borderId="21" applyNumberFormat="0" applyFill="0" applyAlignment="0" applyProtection="0">
      <alignment vertical="center"/>
    </xf>
    <xf numFmtId="179" fontId="85" fillId="0" borderId="21" applyNumberFormat="0" applyFill="0" applyAlignment="0" applyProtection="0">
      <alignment vertical="center"/>
    </xf>
    <xf numFmtId="179" fontId="86" fillId="26" borderId="22" applyNumberFormat="0" applyAlignment="0" applyProtection="0">
      <alignment vertical="center"/>
    </xf>
    <xf numFmtId="179" fontId="86" fillId="26" borderId="22" applyNumberFormat="0" applyAlignment="0" applyProtection="0">
      <alignment vertical="center"/>
    </xf>
    <xf numFmtId="179" fontId="53" fillId="26" borderId="22" applyNumberFormat="0" applyAlignment="0" applyProtection="0">
      <alignment vertical="center"/>
    </xf>
    <xf numFmtId="179" fontId="88" fillId="26" borderId="23" applyNumberFormat="0" applyAlignment="0" applyProtection="0">
      <alignment vertical="center"/>
    </xf>
    <xf numFmtId="179" fontId="88" fillId="26" borderId="23" applyNumberFormat="0" applyAlignment="0" applyProtection="0">
      <alignment vertical="center"/>
    </xf>
    <xf numFmtId="179" fontId="89" fillId="11" borderId="22" applyNumberFormat="0" applyAlignment="0" applyProtection="0">
      <alignment vertical="center"/>
    </xf>
    <xf numFmtId="179" fontId="89" fillId="11" borderId="22" applyNumberFormat="0" applyAlignment="0" applyProtection="0">
      <alignment vertical="center"/>
    </xf>
    <xf numFmtId="179" fontId="53" fillId="26" borderId="23" applyNumberFormat="0" applyAlignment="0" applyProtection="0">
      <alignment vertical="center"/>
    </xf>
    <xf numFmtId="179" fontId="53" fillId="11" borderId="22" applyNumberFormat="0" applyAlignment="0" applyProtection="0">
      <alignment vertical="center"/>
    </xf>
    <xf numFmtId="179" fontId="53" fillId="21" borderId="20" applyNumberFormat="0" applyFont="0" applyAlignment="0" applyProtection="0">
      <alignment vertical="center"/>
    </xf>
    <xf numFmtId="179" fontId="53" fillId="21" borderId="20" applyNumberFormat="0" applyFont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17" fillId="0" borderId="0">
      <alignment vertical="center"/>
    </xf>
    <xf numFmtId="179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79" fontId="54" fillId="0" borderId="0"/>
    <xf numFmtId="179" fontId="53" fillId="0" borderId="0"/>
    <xf numFmtId="179" fontId="16" fillId="0" borderId="0">
      <alignment vertical="center"/>
    </xf>
    <xf numFmtId="179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179" fontId="53" fillId="0" borderId="0">
      <alignment horizontal="center" vertical="center"/>
    </xf>
    <xf numFmtId="179" fontId="54" fillId="0" borderId="0"/>
    <xf numFmtId="179" fontId="53" fillId="0" borderId="0"/>
    <xf numFmtId="179" fontId="15" fillId="0" borderId="0">
      <alignment vertical="center"/>
    </xf>
    <xf numFmtId="179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179" fontId="53" fillId="0" borderId="0">
      <alignment horizontal="center" vertical="center"/>
    </xf>
    <xf numFmtId="0" fontId="54" fillId="0" borderId="0"/>
    <xf numFmtId="0" fontId="53" fillId="0" borderId="0"/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53" fillId="0" borderId="0">
      <alignment horizontal="center" vertical="center"/>
    </xf>
    <xf numFmtId="0" fontId="54" fillId="0" borderId="0"/>
    <xf numFmtId="0" fontId="54" fillId="0" borderId="0"/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54" fillId="0" borderId="0"/>
    <xf numFmtId="0" fontId="54" fillId="0" borderId="0"/>
    <xf numFmtId="0" fontId="54" fillId="0" borderId="0"/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4" fillId="0" borderId="0"/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54" fillId="0" borderId="0"/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54" fillId="0" borderId="0"/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54" fillId="0" borderId="0"/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54" fillId="0" borderId="0"/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54" fillId="0" borderId="0"/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4" fillId="0" borderId="0"/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4" fillId="0" borderId="0"/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4" fillId="0" borderId="0"/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4" fillId="0" borderId="0"/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4" fillId="0" borderId="0"/>
    <xf numFmtId="0" fontId="54" fillId="0" borderId="0"/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64">
    <xf numFmtId="179" fontId="0" fillId="0" borderId="0" xfId="0"/>
    <xf numFmtId="14" fontId="60" fillId="0" borderId="1" xfId="0" applyNumberFormat="1" applyFont="1" applyBorder="1" applyAlignment="1">
      <alignment horizontal="left" vertical="center" wrapText="1"/>
    </xf>
    <xf numFmtId="179" fontId="57" fillId="0" borderId="0" xfId="15"/>
    <xf numFmtId="179" fontId="61" fillId="0" borderId="0" xfId="0" applyFont="1" applyAlignment="1">
      <alignment horizontal="left" vertical="center" wrapText="1"/>
    </xf>
    <xf numFmtId="179" fontId="60" fillId="0" borderId="1" xfId="0" applyFont="1" applyBorder="1" applyAlignment="1">
      <alignment vertical="center" wrapText="1"/>
    </xf>
    <xf numFmtId="179" fontId="60" fillId="2" borderId="1" xfId="0" applyFont="1" applyFill="1" applyBorder="1" applyAlignment="1">
      <alignment vertical="center" wrapText="1"/>
    </xf>
    <xf numFmtId="179" fontId="0" fillId="3" borderId="0" xfId="0" applyFill="1"/>
    <xf numFmtId="179" fontId="63" fillId="0" borderId="0" xfId="0" applyFont="1" applyAlignment="1">
      <alignment horizontal="left" vertical="center" wrapText="1"/>
    </xf>
    <xf numFmtId="179" fontId="0" fillId="0" borderId="0" xfId="0" applyFill="1" applyBorder="1"/>
    <xf numFmtId="179" fontId="61" fillId="0" borderId="0" xfId="0" applyFont="1" applyFill="1" applyBorder="1" applyAlignment="1">
      <alignment horizontal="left" vertical="center" wrapText="1"/>
    </xf>
    <xf numFmtId="179" fontId="62" fillId="3" borderId="0" xfId="0" applyNumberFormat="1" applyFont="1" applyFill="1" applyBorder="1" applyAlignment="1">
      <alignment horizontal="center" vertical="center" wrapText="1"/>
    </xf>
    <xf numFmtId="179" fontId="62" fillId="3" borderId="0" xfId="0" applyNumberFormat="1" applyFont="1" applyFill="1" applyBorder="1"/>
    <xf numFmtId="179" fontId="60" fillId="0" borderId="1" xfId="0" applyFont="1" applyBorder="1" applyAlignment="1">
      <alignment horizontal="left" vertical="center" wrapText="1"/>
    </xf>
    <xf numFmtId="179" fontId="58" fillId="0" borderId="1" xfId="0" applyFont="1" applyBorder="1" applyAlignment="1">
      <alignment vertical="center" wrapText="1"/>
    </xf>
    <xf numFmtId="178" fontId="55" fillId="0" borderId="1" xfId="1" applyNumberFormat="1" applyFont="1" applyFill="1" applyBorder="1" applyAlignment="1">
      <alignment horizontal="left" vertical="center" wrapText="1"/>
    </xf>
    <xf numFmtId="179" fontId="58" fillId="0" borderId="1" xfId="0" applyFont="1" applyBorder="1" applyAlignment="1">
      <alignment horizontal="left" vertical="center" wrapText="1"/>
    </xf>
    <xf numFmtId="179" fontId="60" fillId="0" borderId="1" xfId="0" applyFont="1" applyFill="1" applyBorder="1" applyAlignment="1">
      <alignment vertical="center" wrapText="1"/>
    </xf>
    <xf numFmtId="179" fontId="60" fillId="0" borderId="1" xfId="0" applyNumberFormat="1" applyFont="1" applyBorder="1" applyAlignment="1">
      <alignment horizontal="left" vertical="center" wrapText="1"/>
    </xf>
    <xf numFmtId="14" fontId="62" fillId="0" borderId="1" xfId="0" applyNumberFormat="1" applyFont="1" applyBorder="1" applyAlignment="1">
      <alignment horizontal="left" vertical="center" wrapText="1"/>
    </xf>
    <xf numFmtId="14" fontId="62" fillId="0" borderId="1" xfId="1" applyNumberFormat="1" applyFont="1" applyFill="1" applyBorder="1" applyAlignment="1">
      <alignment horizontal="left" vertical="top" wrapText="1"/>
    </xf>
    <xf numFmtId="179" fontId="62" fillId="2" borderId="1" xfId="1" applyFont="1" applyFill="1" applyBorder="1" applyAlignment="1">
      <alignment vertical="top" wrapText="1"/>
    </xf>
    <xf numFmtId="179" fontId="62" fillId="2" borderId="1" xfId="0" applyFont="1" applyFill="1" applyBorder="1" applyAlignment="1">
      <alignment wrapText="1"/>
    </xf>
    <xf numFmtId="179" fontId="62" fillId="0" borderId="1" xfId="1" applyNumberFormat="1" applyFont="1" applyFill="1" applyBorder="1" applyAlignment="1">
      <alignment vertical="top" wrapText="1"/>
    </xf>
    <xf numFmtId="177" fontId="62" fillId="2" borderId="1" xfId="1" applyNumberFormat="1" applyFont="1" applyFill="1" applyBorder="1" applyAlignment="1">
      <alignment vertical="top" wrapText="1"/>
    </xf>
    <xf numFmtId="179" fontId="58" fillId="0" borderId="1" xfId="1" applyNumberFormat="1" applyFont="1" applyBorder="1" applyAlignment="1">
      <alignment horizontal="left" vertical="top" wrapText="1"/>
    </xf>
    <xf numFmtId="179" fontId="62" fillId="0" borderId="1" xfId="1" applyFont="1" applyBorder="1" applyAlignment="1">
      <alignment vertical="top" wrapText="1"/>
    </xf>
    <xf numFmtId="179" fontId="62" fillId="0" borderId="1" xfId="1" applyFont="1" applyBorder="1" applyAlignment="1">
      <alignment horizontal="left" vertical="center" wrapText="1"/>
    </xf>
    <xf numFmtId="179" fontId="62" fillId="0" borderId="2" xfId="1" applyFont="1" applyBorder="1" applyAlignment="1">
      <alignment vertical="center" wrapText="1"/>
    </xf>
    <xf numFmtId="179" fontId="62" fillId="0" borderId="1" xfId="1" applyFont="1" applyBorder="1" applyAlignment="1">
      <alignment vertical="center" wrapText="1"/>
    </xf>
    <xf numFmtId="14" fontId="62" fillId="0" borderId="1" xfId="0" applyNumberFormat="1" applyFont="1" applyBorder="1" applyAlignment="1">
      <alignment wrapText="1"/>
    </xf>
    <xf numFmtId="179" fontId="62" fillId="0" borderId="1" xfId="0" applyFont="1" applyBorder="1" applyAlignment="1">
      <alignment wrapText="1"/>
    </xf>
    <xf numFmtId="179" fontId="62" fillId="0" borderId="2" xfId="0" applyFont="1" applyBorder="1" applyAlignment="1">
      <alignment wrapText="1"/>
    </xf>
    <xf numFmtId="179" fontId="62" fillId="0" borderId="1" xfId="0" applyFont="1" applyBorder="1" applyAlignment="1">
      <alignment vertical="center" wrapText="1"/>
    </xf>
    <xf numFmtId="179" fontId="62" fillId="0" borderId="0" xfId="0" applyFont="1" applyAlignment="1">
      <alignment wrapText="1"/>
    </xf>
    <xf numFmtId="179" fontId="62" fillId="0" borderId="1" xfId="0" applyNumberFormat="1" applyFont="1" applyFill="1" applyBorder="1" applyAlignment="1">
      <alignment wrapText="1"/>
    </xf>
    <xf numFmtId="179" fontId="62" fillId="0" borderId="1" xfId="0" applyNumberFormat="1" applyFont="1" applyBorder="1" applyAlignment="1">
      <alignment wrapText="1"/>
    </xf>
    <xf numFmtId="179" fontId="60" fillId="0" borderId="1" xfId="0" applyFont="1" applyBorder="1" applyAlignment="1">
      <alignment horizontal="left" vertical="top" wrapText="1"/>
    </xf>
    <xf numFmtId="179" fontId="62" fillId="0" borderId="0" xfId="0" applyFont="1" applyBorder="1" applyAlignment="1">
      <alignment vertical="center" wrapText="1"/>
    </xf>
    <xf numFmtId="179" fontId="68" fillId="0" borderId="1" xfId="0" applyFont="1" applyBorder="1" applyAlignment="1">
      <alignment wrapText="1"/>
    </xf>
    <xf numFmtId="26" fontId="60" fillId="0" borderId="1" xfId="0" applyNumberFormat="1" applyFont="1" applyBorder="1" applyAlignment="1">
      <alignment horizontal="left" vertical="top" wrapText="1"/>
    </xf>
    <xf numFmtId="14" fontId="62" fillId="0" borderId="1" xfId="0" quotePrefix="1" applyNumberFormat="1" applyFont="1" applyBorder="1" applyAlignment="1">
      <alignment horizontal="left" vertical="center" wrapText="1"/>
    </xf>
    <xf numFmtId="179" fontId="62" fillId="0" borderId="1" xfId="0" applyFont="1" applyBorder="1" applyAlignment="1">
      <alignment vertical="top" wrapText="1"/>
    </xf>
    <xf numFmtId="179" fontId="69" fillId="0" borderId="1" xfId="0" applyFont="1" applyBorder="1" applyAlignment="1">
      <alignment horizontal="left" vertical="top" wrapText="1"/>
    </xf>
    <xf numFmtId="179" fontId="60" fillId="0" borderId="1" xfId="0" applyFont="1" applyBorder="1" applyAlignment="1">
      <alignment horizontal="left" wrapText="1"/>
    </xf>
    <xf numFmtId="179" fontId="58" fillId="0" borderId="1" xfId="0" applyFont="1" applyBorder="1" applyAlignment="1">
      <alignment vertical="top" wrapText="1"/>
    </xf>
    <xf numFmtId="179" fontId="62" fillId="2" borderId="1" xfId="0" applyNumberFormat="1" applyFont="1" applyFill="1" applyBorder="1" applyAlignment="1">
      <alignment wrapText="1"/>
    </xf>
    <xf numFmtId="179" fontId="70" fillId="4" borderId="1" xfId="1" applyFont="1" applyFill="1" applyBorder="1" applyAlignment="1">
      <alignment vertical="top" shrinkToFit="1"/>
    </xf>
    <xf numFmtId="176" fontId="70" fillId="0" borderId="1" xfId="1" applyNumberFormat="1" applyFont="1" applyFill="1" applyBorder="1" applyAlignment="1">
      <alignment horizontal="left" vertical="top" shrinkToFit="1"/>
    </xf>
    <xf numFmtId="179" fontId="71" fillId="4" borderId="1" xfId="0" applyFont="1" applyFill="1" applyBorder="1" applyAlignment="1">
      <alignment vertical="center" shrinkToFit="1"/>
    </xf>
    <xf numFmtId="179" fontId="71" fillId="0" borderId="1" xfId="0" applyFont="1" applyFill="1" applyBorder="1" applyAlignment="1">
      <alignment horizontal="left" vertical="center" shrinkToFit="1"/>
    </xf>
    <xf numFmtId="179" fontId="70" fillId="4" borderId="1" xfId="0" applyFont="1" applyFill="1" applyBorder="1" applyAlignment="1">
      <alignment shrinkToFit="1"/>
    </xf>
    <xf numFmtId="179" fontId="70" fillId="0" borderId="1" xfId="0" applyFont="1" applyFill="1" applyBorder="1" applyAlignment="1">
      <alignment shrinkToFit="1"/>
    </xf>
    <xf numFmtId="14" fontId="62" fillId="0" borderId="1" xfId="0" applyNumberFormat="1" applyFont="1" applyBorder="1" applyAlignment="1"/>
    <xf numFmtId="179" fontId="62" fillId="0" borderId="1" xfId="0" applyFont="1" applyBorder="1" applyAlignment="1"/>
    <xf numFmtId="179" fontId="60" fillId="0" borderId="1" xfId="0" applyFont="1" applyBorder="1" applyAlignment="1">
      <alignment horizontal="left" vertical="center"/>
    </xf>
    <xf numFmtId="179" fontId="62" fillId="0" borderId="0" xfId="0" applyFont="1" applyAlignment="1"/>
    <xf numFmtId="179" fontId="0" fillId="0" borderId="0" xfId="0" applyAlignment="1">
      <alignment wrapText="1"/>
    </xf>
    <xf numFmtId="179" fontId="63" fillId="0" borderId="0" xfId="0" applyFont="1" applyFill="1" applyBorder="1" applyAlignment="1">
      <alignment horizontal="left" vertical="center" wrapText="1"/>
    </xf>
    <xf numFmtId="179" fontId="57" fillId="0" borderId="0" xfId="15" applyAlignment="1">
      <alignment wrapText="1"/>
    </xf>
    <xf numFmtId="179" fontId="0" fillId="0" borderId="0" xfId="0" applyFont="1" applyAlignment="1">
      <alignment vertical="center"/>
    </xf>
    <xf numFmtId="179" fontId="62" fillId="3" borderId="0" xfId="0" applyFont="1" applyFill="1"/>
    <xf numFmtId="49" fontId="72" fillId="0" borderId="0" xfId="0" applyNumberFormat="1" applyFont="1" applyBorder="1" applyAlignment="1">
      <alignment vertical="center" wrapText="1"/>
    </xf>
    <xf numFmtId="179" fontId="62" fillId="3" borderId="0" xfId="0" applyNumberFormat="1" applyFont="1" applyFill="1" applyBorder="1"/>
    <xf numFmtId="179" fontId="62" fillId="0" borderId="1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0" fillId="5" borderId="0" xfId="0" applyFill="1" applyAlignment="1">
      <alignment wrapText="1"/>
    </xf>
    <xf numFmtId="179" fontId="72" fillId="0" borderId="0" xfId="0" applyFont="1" applyAlignment="1">
      <alignment horizontal="left" vertical="center" wrapText="1" shrinkToFit="1"/>
    </xf>
    <xf numFmtId="179" fontId="62" fillId="29" borderId="1" xfId="0" applyFont="1" applyFill="1" applyBorder="1"/>
    <xf numFmtId="179" fontId="62" fillId="29" borderId="0" xfId="0" applyFont="1" applyFill="1" applyBorder="1"/>
    <xf numFmtId="179" fontId="0" fillId="0" borderId="1" xfId="0" applyFill="1" applyBorder="1"/>
    <xf numFmtId="179" fontId="0" fillId="0" borderId="1" xfId="0" applyNumberFormat="1" applyFill="1" applyBorder="1"/>
    <xf numFmtId="179" fontId="72" fillId="0" borderId="0" xfId="0" applyFont="1" applyAlignment="1">
      <alignment horizontal="left" vertical="center" wrapText="1"/>
    </xf>
    <xf numFmtId="179" fontId="0" fillId="0" borderId="1" xfId="0" applyFill="1" applyBorder="1" applyAlignment="1">
      <alignment horizontal="center" vertical="center"/>
    </xf>
    <xf numFmtId="179" fontId="94" fillId="30" borderId="0" xfId="0" applyFont="1" applyFill="1" applyBorder="1"/>
    <xf numFmtId="179" fontId="94" fillId="30" borderId="1" xfId="0" quotePrefix="1" applyNumberFormat="1" applyFont="1" applyFill="1" applyBorder="1"/>
    <xf numFmtId="179" fontId="95" fillId="30" borderId="0" xfId="0" applyFont="1" applyFill="1" applyAlignment="1">
      <alignment wrapText="1"/>
    </xf>
    <xf numFmtId="179" fontId="95" fillId="30" borderId="1" xfId="0" applyNumberFormat="1" applyFont="1" applyFill="1" applyBorder="1" applyAlignment="1">
      <alignment wrapText="1"/>
    </xf>
    <xf numFmtId="179" fontId="0" fillId="0" borderId="1" xfId="0" applyFill="1" applyBorder="1" applyProtection="1"/>
    <xf numFmtId="179" fontId="0" fillId="0" borderId="1" xfId="0" quotePrefix="1" applyFill="1" applyBorder="1"/>
    <xf numFmtId="179" fontId="62" fillId="29" borderId="1" xfId="0" applyFont="1" applyFill="1" applyBorder="1" applyProtection="1"/>
    <xf numFmtId="179" fontId="96" fillId="0" borderId="0" xfId="0" applyFont="1" applyAlignment="1">
      <alignment horizontal="center" vertical="center" wrapText="1" shrinkToFit="1"/>
    </xf>
    <xf numFmtId="179" fontId="96" fillId="0" borderId="0" xfId="0" applyFont="1" applyAlignment="1">
      <alignment horizontal="center" vertical="center" wrapText="1"/>
    </xf>
    <xf numFmtId="179" fontId="61" fillId="0" borderId="0" xfId="0" applyFont="1" applyAlignment="1">
      <alignment horizontal="center" vertical="center" wrapText="1"/>
    </xf>
    <xf numFmtId="179" fontId="63" fillId="0" borderId="0" xfId="0" applyFont="1" applyAlignment="1">
      <alignment horizontal="center" vertical="center" wrapText="1"/>
    </xf>
    <xf numFmtId="179" fontId="0" fillId="0" borderId="0" xfId="0" applyAlignment="1">
      <alignment horizontal="center" vertical="center"/>
    </xf>
    <xf numFmtId="179" fontId="0" fillId="0" borderId="1" xfId="0" quotePrefix="1" applyBorder="1" applyAlignment="1" applyProtection="1">
      <alignment vertical="center"/>
    </xf>
    <xf numFmtId="179" fontId="0" fillId="0" borderId="14" xfId="0" applyBorder="1" applyAlignment="1">
      <alignment vertical="center"/>
    </xf>
    <xf numFmtId="179" fontId="97" fillId="0" borderId="0" xfId="0" applyFont="1" applyAlignment="1">
      <alignment horizontal="center" vertical="center" wrapText="1" shrinkToFit="1"/>
    </xf>
    <xf numFmtId="179" fontId="0" fillId="0" borderId="0" xfId="0" applyProtection="1"/>
    <xf numFmtId="179" fontId="99" fillId="31" borderId="14" xfId="0" applyFont="1" applyFill="1" applyBorder="1" applyAlignment="1" applyProtection="1">
      <alignment horizontal="center" vertical="center"/>
    </xf>
    <xf numFmtId="179" fontId="99" fillId="5" borderId="14" xfId="0" applyFont="1" applyFill="1" applyBorder="1" applyAlignment="1" applyProtection="1">
      <alignment horizontal="center" vertical="center"/>
    </xf>
    <xf numFmtId="179" fontId="100" fillId="5" borderId="14" xfId="0" applyFont="1" applyFill="1" applyBorder="1" applyAlignment="1" applyProtection="1">
      <alignment horizontal="center" vertical="center"/>
    </xf>
    <xf numFmtId="179" fontId="101" fillId="5" borderId="14" xfId="0" applyNumberFormat="1" applyFont="1" applyFill="1" applyBorder="1" applyAlignment="1" applyProtection="1">
      <alignment horizontal="center" vertical="center" wrapText="1"/>
    </xf>
    <xf numFmtId="179" fontId="101" fillId="5" borderId="14" xfId="0" applyFont="1" applyFill="1" applyBorder="1" applyAlignment="1" applyProtection="1">
      <alignment horizontal="center" vertical="center"/>
    </xf>
    <xf numFmtId="179" fontId="61" fillId="0" borderId="0" xfId="0" applyFont="1" applyAlignment="1" applyProtection="1">
      <alignment horizontal="left" vertical="center" wrapText="1"/>
    </xf>
    <xf numFmtId="179" fontId="98" fillId="0" borderId="1" xfId="241" applyFont="1" applyBorder="1" applyAlignment="1"/>
    <xf numFmtId="179" fontId="98" fillId="0" borderId="1" xfId="241" applyFont="1" applyBorder="1" applyAlignment="1">
      <alignment horizontal="left"/>
    </xf>
    <xf numFmtId="179" fontId="0" fillId="0" borderId="1" xfId="241" applyFont="1" applyBorder="1" applyAlignment="1"/>
    <xf numFmtId="179" fontId="54" fillId="0" borderId="1" xfId="241" applyBorder="1" applyAlignment="1"/>
    <xf numFmtId="179" fontId="0" fillId="0" borderId="1" xfId="241" applyFont="1" applyFill="1" applyBorder="1" applyAlignment="1"/>
    <xf numFmtId="179" fontId="54" fillId="0" borderId="1" xfId="241" applyBorder="1" applyAlignment="1">
      <alignment vertical="center"/>
    </xf>
    <xf numFmtId="179" fontId="54" fillId="0" borderId="1" xfId="241" applyBorder="1" applyAlignment="1">
      <alignment horizontal="left"/>
    </xf>
    <xf numFmtId="179" fontId="0" fillId="0" borderId="1" xfId="241" applyFont="1" applyFill="1" applyBorder="1" applyAlignment="1">
      <alignment horizontal="left"/>
    </xf>
    <xf numFmtId="179" fontId="0" fillId="0" borderId="1" xfId="241" applyFont="1" applyBorder="1" applyAlignment="1">
      <alignment horizontal="left"/>
    </xf>
    <xf numFmtId="179" fontId="53" fillId="0" borderId="1" xfId="241" applyFont="1" applyBorder="1" applyAlignment="1">
      <alignment horizontal="left"/>
    </xf>
    <xf numFmtId="179" fontId="0" fillId="0" borderId="1" xfId="241" applyFont="1" applyFill="1" applyBorder="1" applyAlignment="1">
      <alignment horizontal="center" vertical="center"/>
    </xf>
    <xf numFmtId="179" fontId="0" fillId="0" borderId="1" xfId="241" applyFont="1" applyBorder="1" applyAlignment="1">
      <alignment horizontal="left" vertical="center"/>
    </xf>
    <xf numFmtId="9" fontId="53" fillId="32" borderId="1" xfId="240" applyFont="1" applyFill="1" applyBorder="1" applyAlignment="1">
      <alignment horizontal="left"/>
    </xf>
    <xf numFmtId="179" fontId="104" fillId="0" borderId="1" xfId="241" applyFont="1" applyBorder="1" applyAlignment="1"/>
    <xf numFmtId="179" fontId="0" fillId="32" borderId="1" xfId="241" applyFont="1" applyFill="1" applyBorder="1" applyAlignment="1">
      <alignment horizontal="left"/>
    </xf>
    <xf numFmtId="179" fontId="54" fillId="32" borderId="1" xfId="241" applyFill="1" applyBorder="1" applyAlignment="1">
      <alignment horizontal="left"/>
    </xf>
    <xf numFmtId="179" fontId="102" fillId="0" borderId="1" xfId="241" applyFont="1" applyBorder="1" applyAlignment="1"/>
    <xf numFmtId="179" fontId="0" fillId="0" borderId="1" xfId="241" applyFont="1" applyFill="1" applyBorder="1" applyAlignment="1">
      <alignment horizontal="left" vertical="center"/>
    </xf>
    <xf numFmtId="179" fontId="98" fillId="4" borderId="1" xfId="241" applyFont="1" applyFill="1" applyBorder="1" applyAlignment="1">
      <alignment horizontal="left"/>
    </xf>
    <xf numFmtId="179" fontId="98" fillId="4" borderId="1" xfId="241" applyFont="1" applyFill="1" applyBorder="1" applyAlignment="1"/>
    <xf numFmtId="179" fontId="102" fillId="20" borderId="1" xfId="241" applyFont="1" applyFill="1" applyBorder="1" applyAlignment="1"/>
    <xf numFmtId="179" fontId="0" fillId="0" borderId="1" xfId="241" applyFont="1" applyBorder="1" applyAlignment="1">
      <alignment horizontal="left" vertical="top" wrapText="1"/>
    </xf>
    <xf numFmtId="179" fontId="103" fillId="0" borderId="1" xfId="241" applyFont="1" applyBorder="1" applyAlignment="1">
      <alignment horizontal="left" vertical="center"/>
    </xf>
    <xf numFmtId="179" fontId="0" fillId="0" borderId="1" xfId="241" applyFont="1" applyBorder="1" applyAlignment="1">
      <alignment horizontal="left" vertical="center" wrapText="1"/>
    </xf>
    <xf numFmtId="179" fontId="105" fillId="0" borderId="1" xfId="241" applyFont="1" applyFill="1" applyBorder="1" applyAlignment="1">
      <alignment horizontal="left"/>
    </xf>
    <xf numFmtId="179" fontId="0" fillId="0" borderId="15" xfId="241" applyFont="1" applyBorder="1" applyAlignment="1">
      <alignment horizontal="left" vertical="top" wrapText="1"/>
    </xf>
    <xf numFmtId="179" fontId="54" fillId="0" borderId="1" xfId="241" applyBorder="1" applyAlignment="1" applyProtection="1">
      <alignment vertical="center"/>
    </xf>
    <xf numFmtId="179" fontId="102" fillId="0" borderId="1" xfId="241" applyFont="1" applyBorder="1" applyAlignment="1" applyProtection="1"/>
    <xf numFmtId="179" fontId="0" fillId="0" borderId="1" xfId="241" applyFont="1" applyBorder="1" applyAlignment="1" applyProtection="1"/>
    <xf numFmtId="179" fontId="98" fillId="0" borderId="1" xfId="241" applyFont="1" applyBorder="1" applyAlignment="1" applyProtection="1"/>
    <xf numFmtId="179" fontId="104" fillId="0" borderId="1" xfId="241" applyFont="1" applyBorder="1" applyAlignment="1" applyProtection="1"/>
    <xf numFmtId="179" fontId="0" fillId="0" borderId="1" xfId="241" applyFont="1" applyFill="1" applyBorder="1" applyAlignment="1" applyProtection="1"/>
    <xf numFmtId="179" fontId="54" fillId="0" borderId="1" xfId="241" applyBorder="1" applyAlignment="1" applyProtection="1"/>
    <xf numFmtId="179" fontId="0" fillId="0" borderId="1" xfId="241" applyFont="1" applyFill="1" applyBorder="1" applyAlignment="1" applyProtection="1">
      <alignment horizontal="center" vertical="center"/>
    </xf>
    <xf numFmtId="179" fontId="98" fillId="4" borderId="1" xfId="241" applyFont="1" applyFill="1" applyBorder="1" applyAlignment="1" applyProtection="1"/>
    <xf numFmtId="179" fontId="105" fillId="0" borderId="1" xfId="241" applyFont="1" applyFill="1" applyBorder="1" applyAlignment="1" applyProtection="1">
      <alignment horizontal="left"/>
    </xf>
    <xf numFmtId="179" fontId="0" fillId="0" borderId="1" xfId="241" applyFont="1" applyFill="1" applyBorder="1" applyAlignment="1" applyProtection="1">
      <alignment horizontal="left" vertical="center"/>
    </xf>
    <xf numFmtId="179" fontId="60" fillId="0" borderId="14" xfId="0" applyNumberFormat="1" applyFont="1" applyBorder="1" applyAlignment="1" applyProtection="1">
      <alignment horizontal="center" vertical="center" wrapText="1"/>
    </xf>
    <xf numFmtId="179" fontId="60" fillId="5" borderId="14" xfId="0" applyNumberFormat="1" applyFont="1" applyFill="1" applyBorder="1" applyAlignment="1" applyProtection="1">
      <alignment horizontal="center" vertical="center" wrapText="1"/>
    </xf>
    <xf numFmtId="179" fontId="58" fillId="5" borderId="14" xfId="0" applyNumberFormat="1" applyFont="1" applyFill="1" applyBorder="1" applyAlignment="1" applyProtection="1">
      <alignment horizontal="center" vertical="center" wrapText="1"/>
    </xf>
    <xf numFmtId="177" fontId="60" fillId="5" borderId="14" xfId="0" applyNumberFormat="1" applyFont="1" applyFill="1" applyBorder="1" applyAlignment="1" applyProtection="1">
      <alignment horizontal="center" vertical="center" wrapText="1"/>
    </xf>
    <xf numFmtId="179" fontId="60" fillId="0" borderId="1" xfId="0" applyFont="1" applyBorder="1" applyAlignment="1" applyProtection="1">
      <alignment horizontal="left" vertical="center" wrapText="1"/>
    </xf>
    <xf numFmtId="179" fontId="0" fillId="0" borderId="0" xfId="0"/>
    <xf numFmtId="179" fontId="0" fillId="0" borderId="0" xfId="0" applyProtection="1"/>
    <xf numFmtId="179" fontId="0" fillId="0" borderId="0" xfId="0"/>
    <xf numFmtId="179" fontId="107" fillId="0" borderId="24" xfId="0" applyNumberFormat="1" applyFont="1" applyFill="1" applyBorder="1" applyAlignment="1" applyProtection="1">
      <alignment horizontal="center" vertical="center" wrapText="1"/>
    </xf>
    <xf numFmtId="0" fontId="108" fillId="0" borderId="24" xfId="0" applyNumberFormat="1" applyFont="1" applyFill="1" applyBorder="1" applyAlignment="1" applyProtection="1">
      <alignment horizontal="center" vertical="center" wrapText="1"/>
    </xf>
    <xf numFmtId="179" fontId="68" fillId="0" borderId="14" xfId="0" applyFont="1" applyBorder="1" applyAlignment="1" applyProtection="1">
      <alignment horizontal="center" vertical="center"/>
    </xf>
    <xf numFmtId="179" fontId="106" fillId="0" borderId="14" xfId="0" applyFont="1" applyBorder="1" applyAlignment="1" applyProtection="1">
      <alignment horizontal="center" vertical="center"/>
    </xf>
    <xf numFmtId="0" fontId="109" fillId="0" borderId="14" xfId="491" applyFont="1" applyBorder="1" applyAlignment="1" applyProtection="1">
      <alignment horizontal="left" vertical="center"/>
    </xf>
    <xf numFmtId="0" fontId="109" fillId="0" borderId="14" xfId="491" applyFont="1" applyBorder="1" applyAlignment="1">
      <alignment horizontal="left" vertical="center"/>
    </xf>
    <xf numFmtId="0" fontId="0" fillId="0" borderId="14" xfId="503" applyFont="1" applyBorder="1" applyAlignment="1" applyProtection="1"/>
    <xf numFmtId="0" fontId="54" fillId="0" borderId="14" xfId="503" applyBorder="1" applyAlignment="1" applyProtection="1"/>
    <xf numFmtId="0" fontId="0" fillId="0" borderId="14" xfId="503" applyFont="1" applyBorder="1" applyAlignment="1" applyProtection="1">
      <alignment horizontal="left" vertical="center"/>
    </xf>
    <xf numFmtId="0" fontId="54" fillId="0" borderId="14" xfId="503" applyBorder="1" applyAlignment="1"/>
    <xf numFmtId="0" fontId="54" fillId="0" borderId="14" xfId="503" applyBorder="1" applyAlignment="1">
      <alignment horizontal="left"/>
    </xf>
    <xf numFmtId="0" fontId="0" fillId="0" borderId="14" xfId="503" applyFont="1" applyBorder="1" applyAlignment="1">
      <alignment horizontal="left" vertical="center"/>
    </xf>
    <xf numFmtId="0" fontId="109" fillId="0" borderId="14" xfId="503" applyFont="1" applyBorder="1" applyAlignment="1">
      <alignment horizontal="left" vertical="center"/>
    </xf>
    <xf numFmtId="0" fontId="109" fillId="0" borderId="14" xfId="503" applyFont="1" applyBorder="1" applyAlignment="1" applyProtection="1">
      <alignment horizontal="left" vertical="center"/>
    </xf>
    <xf numFmtId="0" fontId="54" fillId="0" borderId="14" xfId="503" applyBorder="1" applyAlignment="1" applyProtection="1">
      <alignment horizontal="left"/>
    </xf>
    <xf numFmtId="0" fontId="53" fillId="0" borderId="14" xfId="508" applyFont="1" applyBorder="1" applyAlignment="1" applyProtection="1">
      <alignment horizontal="left" vertical="center"/>
    </xf>
    <xf numFmtId="0" fontId="60" fillId="0" borderId="14" xfId="0" applyNumberFormat="1" applyFont="1" applyBorder="1" applyAlignment="1" applyProtection="1">
      <alignment horizontal="center" vertical="center" wrapText="1"/>
    </xf>
    <xf numFmtId="179" fontId="109" fillId="0" borderId="14" xfId="0" applyFont="1" applyBorder="1" applyAlignment="1" applyProtection="1">
      <alignment horizontal="center" vertical="center" wrapText="1"/>
    </xf>
    <xf numFmtId="179" fontId="0" fillId="0" borderId="25" xfId="0" applyFont="1" applyBorder="1" applyAlignment="1" applyProtection="1">
      <alignment horizontal="center" vertical="center" wrapText="1"/>
    </xf>
    <xf numFmtId="179" fontId="0" fillId="0" borderId="14" xfId="0" applyBorder="1" applyAlignment="1" applyProtection="1">
      <alignment horizontal="center" vertical="center" wrapText="1"/>
    </xf>
    <xf numFmtId="179" fontId="95" fillId="30" borderId="12" xfId="0" applyFont="1" applyFill="1" applyBorder="1" applyAlignment="1">
      <alignment horizontal="center" wrapText="1"/>
    </xf>
    <xf numFmtId="179" fontId="95" fillId="30" borderId="13" xfId="0" applyFont="1" applyFill="1" applyBorder="1" applyAlignment="1">
      <alignment horizontal="center" wrapText="1"/>
    </xf>
    <xf numFmtId="179" fontId="95" fillId="30" borderId="1" xfId="0" applyFont="1" applyFill="1" applyBorder="1" applyAlignment="1">
      <alignment horizontal="center" vertical="center"/>
    </xf>
  </cellXfs>
  <cellStyles count="512">
    <cellStyle name="20% - 輔色1" xfId="21"/>
    <cellStyle name="20% - 輔色2" xfId="22"/>
    <cellStyle name="20% - 輔色3" xfId="23"/>
    <cellStyle name="20% - 輔色4" xfId="24"/>
    <cellStyle name="20% - 輔色5" xfId="25"/>
    <cellStyle name="20% - 輔色6" xfId="26"/>
    <cellStyle name="20% - 强调文字颜色 1 2" xfId="28"/>
    <cellStyle name="20% - 强调文字颜色 1 3" xfId="27"/>
    <cellStyle name="20% - 强调文字颜色 2 2" xfId="30"/>
    <cellStyle name="20% - 强调文字颜色 2 3" xfId="29"/>
    <cellStyle name="20% - 强调文字颜色 3 2" xfId="32"/>
    <cellStyle name="20% - 强调文字颜色 3 3" xfId="31"/>
    <cellStyle name="20% - 强调文字颜色 4 2" xfId="34"/>
    <cellStyle name="20% - 强调文字颜色 4 3" xfId="33"/>
    <cellStyle name="20% - 强调文字颜色 5 2" xfId="36"/>
    <cellStyle name="20% - 强调文字颜色 5 3" xfId="35"/>
    <cellStyle name="20% - 强调文字颜色 6 2" xfId="38"/>
    <cellStyle name="20% - 强调文字颜色 6 3" xfId="37"/>
    <cellStyle name="32B12" xfId="1"/>
    <cellStyle name="32B12 2" xfId="8"/>
    <cellStyle name="32B12 3" xfId="4"/>
    <cellStyle name="32B12 4" xfId="39"/>
    <cellStyle name="40% - 輔色1" xfId="40"/>
    <cellStyle name="40% - 輔色2" xfId="41"/>
    <cellStyle name="40% - 輔色3" xfId="42"/>
    <cellStyle name="40% - 輔色4" xfId="43"/>
    <cellStyle name="40% - 輔色5" xfId="44"/>
    <cellStyle name="40% - 輔色6" xfId="45"/>
    <cellStyle name="40% - 强调文字颜色 1 2" xfId="47"/>
    <cellStyle name="40% - 强调文字颜色 1 3" xfId="46"/>
    <cellStyle name="40% - 强调文字颜色 2 2" xfId="49"/>
    <cellStyle name="40% - 强调文字颜色 2 3" xfId="48"/>
    <cellStyle name="40% - 强调文字颜色 3 2" xfId="51"/>
    <cellStyle name="40% - 强调文字颜色 3 3" xfId="50"/>
    <cellStyle name="40% - 强调文字颜色 4 2" xfId="53"/>
    <cellStyle name="40% - 强调文字颜色 4 3" xfId="52"/>
    <cellStyle name="40% - 强调文字颜色 5 2" xfId="55"/>
    <cellStyle name="40% - 强调文字颜色 5 3" xfId="54"/>
    <cellStyle name="40% - 强调文字颜色 6 2" xfId="57"/>
    <cellStyle name="40% - 强调文字颜色 6 3" xfId="56"/>
    <cellStyle name="60% - 輔色1" xfId="58"/>
    <cellStyle name="60% - 輔色2" xfId="59"/>
    <cellStyle name="60% - 輔色3" xfId="60"/>
    <cellStyle name="60% - 輔色4" xfId="61"/>
    <cellStyle name="60% - 輔色5" xfId="62"/>
    <cellStyle name="60% - 輔色6" xfId="63"/>
    <cellStyle name="60% - 强调文字颜色 1 2" xfId="65"/>
    <cellStyle name="60% - 强调文字颜色 1 3" xfId="64"/>
    <cellStyle name="60% - 强调文字颜色 2 2" xfId="67"/>
    <cellStyle name="60% - 强调文字颜色 2 3" xfId="66"/>
    <cellStyle name="60% - 强调文字颜色 3 2" xfId="69"/>
    <cellStyle name="60% - 强调文字颜色 3 3" xfId="68"/>
    <cellStyle name="60% - 强调文字颜色 4 2" xfId="71"/>
    <cellStyle name="60% - 强调文字颜色 4 3" xfId="70"/>
    <cellStyle name="60% - 强调文字颜色 5 2" xfId="73"/>
    <cellStyle name="60% - 强调文字颜色 5 3" xfId="72"/>
    <cellStyle name="60% - 强调文字颜色 6 2" xfId="75"/>
    <cellStyle name="60% - 强调文字颜色 6 3" xfId="74"/>
    <cellStyle name="Excel Built-in Normal" xfId="160"/>
    <cellStyle name="S10" xfId="76"/>
    <cellStyle name="S12" xfId="77"/>
    <cellStyle name="S13" xfId="78"/>
    <cellStyle name="S14" xfId="79"/>
    <cellStyle name="S14 2" xfId="219"/>
    <cellStyle name="S14 3" xfId="443"/>
    <cellStyle name="S14 4" xfId="449"/>
    <cellStyle name="S14 5" xfId="455"/>
    <cellStyle name="S15" xfId="80"/>
    <cellStyle name="S6" xfId="81"/>
    <cellStyle name="S7" xfId="82"/>
    <cellStyle name="S8" xfId="83"/>
    <cellStyle name="百分比" xfId="240" builtinId="5"/>
    <cellStyle name="百分比 2" xfId="218"/>
    <cellStyle name="百分比 2 10" xfId="353"/>
    <cellStyle name="百分比 2 11" xfId="442"/>
    <cellStyle name="百分比 2 12" xfId="448"/>
    <cellStyle name="百分比 2 13" xfId="454"/>
    <cellStyle name="百分比 2 14" xfId="460"/>
    <cellStyle name="百分比 2 15" xfId="466"/>
    <cellStyle name="百分比 2 16" xfId="470"/>
    <cellStyle name="百分比 2 17" xfId="474"/>
    <cellStyle name="百分比 2 18" xfId="478"/>
    <cellStyle name="百分比 2 19" xfId="482"/>
    <cellStyle name="百分比 2 2" xfId="223"/>
    <cellStyle name="百分比 2 2 2" xfId="293"/>
    <cellStyle name="百分比 2 2 2 2" xfId="419"/>
    <cellStyle name="百分比 2 2 3" xfId="356"/>
    <cellStyle name="百分比 2 20" xfId="486"/>
    <cellStyle name="百分比 2 21" xfId="490"/>
    <cellStyle name="百分比 2 22" xfId="494"/>
    <cellStyle name="百分比 2 23" xfId="498"/>
    <cellStyle name="百分比 2 24" xfId="502"/>
    <cellStyle name="百分比 2 25" xfId="506"/>
    <cellStyle name="百分比 2 26" xfId="511"/>
    <cellStyle name="百分比 2 3" xfId="227"/>
    <cellStyle name="百分比 2 3 2" xfId="296"/>
    <cellStyle name="百分比 2 3 2 2" xfId="422"/>
    <cellStyle name="百分比 2 3 3" xfId="359"/>
    <cellStyle name="百分比 2 4" xfId="231"/>
    <cellStyle name="百分比 2 4 2" xfId="299"/>
    <cellStyle name="百分比 2 4 2 2" xfId="425"/>
    <cellStyle name="百分比 2 4 3" xfId="362"/>
    <cellStyle name="百分比 2 5" xfId="235"/>
    <cellStyle name="百分比 2 5 2" xfId="302"/>
    <cellStyle name="百分比 2 5 2 2" xfId="428"/>
    <cellStyle name="百分比 2 5 3" xfId="365"/>
    <cellStyle name="百分比 2 6" xfId="239"/>
    <cellStyle name="百分比 2 6 2" xfId="305"/>
    <cellStyle name="百分比 2 6 2 2" xfId="431"/>
    <cellStyle name="百分比 2 6 3" xfId="368"/>
    <cellStyle name="百分比 2 7" xfId="244"/>
    <cellStyle name="百分比 2 7 2" xfId="308"/>
    <cellStyle name="百分比 2 7 2 2" xfId="434"/>
    <cellStyle name="百分比 2 7 3" xfId="371"/>
    <cellStyle name="百分比 2 8" xfId="248"/>
    <cellStyle name="百分比 2 8 2" xfId="311"/>
    <cellStyle name="百分比 2 8 2 2" xfId="437"/>
    <cellStyle name="百分比 2 8 3" xfId="374"/>
    <cellStyle name="百分比 2 9" xfId="290"/>
    <cellStyle name="百分比 2 9 2" xfId="416"/>
    <cellStyle name="備註" xfId="84"/>
    <cellStyle name="備註 2" xfId="249"/>
    <cellStyle name="備註 2 2" xfId="375"/>
    <cellStyle name="備註 3" xfId="312"/>
    <cellStyle name="标题 1 2" xfId="87"/>
    <cellStyle name="标题 1 3" xfId="86"/>
    <cellStyle name="标题 2 2" xfId="89"/>
    <cellStyle name="标题 2 3" xfId="88"/>
    <cellStyle name="标题 3 2" xfId="91"/>
    <cellStyle name="标题 3 3" xfId="90"/>
    <cellStyle name="标题 4 2" xfId="93"/>
    <cellStyle name="标题 4 3" xfId="92"/>
    <cellStyle name="标题 5" xfId="94"/>
    <cellStyle name="标题 6" xfId="85"/>
    <cellStyle name="標題" xfId="95"/>
    <cellStyle name="標題 1" xfId="96"/>
    <cellStyle name="標題 2" xfId="97"/>
    <cellStyle name="標題 3" xfId="98"/>
    <cellStyle name="標題 4" xfId="99"/>
    <cellStyle name="差 2" xfId="101"/>
    <cellStyle name="差 3" xfId="100"/>
    <cellStyle name="常规" xfId="0" builtinId="0"/>
    <cellStyle name="常规 10" xfId="19"/>
    <cellStyle name="常规 10 2" xfId="163"/>
    <cellStyle name="常规 10 2 2" xfId="264"/>
    <cellStyle name="常规 10 2 2 2" xfId="390"/>
    <cellStyle name="常规 10 2 3" xfId="327"/>
    <cellStyle name="常规 11" xfId="20"/>
    <cellStyle name="常规 12" xfId="164"/>
    <cellStyle name="常规 13" xfId="167"/>
    <cellStyle name="常规 14" xfId="169"/>
    <cellStyle name="常规 15" xfId="171"/>
    <cellStyle name="常规 16" xfId="173"/>
    <cellStyle name="常规 17" xfId="175"/>
    <cellStyle name="常规 18" xfId="177"/>
    <cellStyle name="常规 19" xfId="179"/>
    <cellStyle name="常规 2" xfId="5"/>
    <cellStyle name="常规 2 2" xfId="13"/>
    <cellStyle name="常规 2 3" xfId="17"/>
    <cellStyle name="常规 2 4" xfId="102"/>
    <cellStyle name="常规 2 5" xfId="165"/>
    <cellStyle name="常规 2 6" xfId="439"/>
    <cellStyle name="常规 2 7" xfId="445"/>
    <cellStyle name="常规 2 8" xfId="451"/>
    <cellStyle name="常规 20" xfId="181"/>
    <cellStyle name="常规 21" xfId="183"/>
    <cellStyle name="常规 22" xfId="185"/>
    <cellStyle name="常规 23" xfId="187"/>
    <cellStyle name="常规 24" xfId="189"/>
    <cellStyle name="常规 25" xfId="191"/>
    <cellStyle name="常规 26" xfId="193"/>
    <cellStyle name="常规 27" xfId="195"/>
    <cellStyle name="常规 28" xfId="197"/>
    <cellStyle name="常规 29" xfId="198"/>
    <cellStyle name="常规 3" xfId="6"/>
    <cellStyle name="常规 3 10" xfId="178"/>
    <cellStyle name="常规 3 10 2" xfId="271"/>
    <cellStyle name="常规 3 10 2 2" xfId="397"/>
    <cellStyle name="常规 3 10 3" xfId="334"/>
    <cellStyle name="常规 3 11" xfId="180"/>
    <cellStyle name="常规 3 11 2" xfId="272"/>
    <cellStyle name="常规 3 11 2 2" xfId="398"/>
    <cellStyle name="常规 3 11 3" xfId="335"/>
    <cellStyle name="常规 3 12" xfId="182"/>
    <cellStyle name="常规 3 12 2" xfId="273"/>
    <cellStyle name="常规 3 12 2 2" xfId="399"/>
    <cellStyle name="常规 3 12 3" xfId="336"/>
    <cellStyle name="常规 3 13" xfId="184"/>
    <cellStyle name="常规 3 13 2" xfId="274"/>
    <cellStyle name="常规 3 13 2 2" xfId="400"/>
    <cellStyle name="常规 3 13 3" xfId="337"/>
    <cellStyle name="常规 3 14" xfId="186"/>
    <cellStyle name="常规 3 14 2" xfId="275"/>
    <cellStyle name="常规 3 14 2 2" xfId="401"/>
    <cellStyle name="常规 3 14 3" xfId="338"/>
    <cellStyle name="常规 3 15" xfId="188"/>
    <cellStyle name="常规 3 15 2" xfId="276"/>
    <cellStyle name="常规 3 15 2 2" xfId="402"/>
    <cellStyle name="常规 3 15 3" xfId="339"/>
    <cellStyle name="常规 3 16" xfId="190"/>
    <cellStyle name="常规 3 16 2" xfId="277"/>
    <cellStyle name="常规 3 16 2 2" xfId="403"/>
    <cellStyle name="常规 3 16 3" xfId="340"/>
    <cellStyle name="常规 3 17" xfId="192"/>
    <cellStyle name="常规 3 17 2" xfId="278"/>
    <cellStyle name="常规 3 17 2 2" xfId="404"/>
    <cellStyle name="常规 3 17 3" xfId="341"/>
    <cellStyle name="常规 3 18" xfId="194"/>
    <cellStyle name="常规 3 18 2" xfId="279"/>
    <cellStyle name="常规 3 18 2 2" xfId="405"/>
    <cellStyle name="常规 3 18 3" xfId="342"/>
    <cellStyle name="常规 3 19" xfId="196"/>
    <cellStyle name="常规 3 19 2" xfId="280"/>
    <cellStyle name="常规 3 19 2 2" xfId="406"/>
    <cellStyle name="常规 3 19 3" xfId="343"/>
    <cellStyle name="常规 3 2" xfId="14"/>
    <cellStyle name="常规 3 20" xfId="199"/>
    <cellStyle name="常规 3 20 2" xfId="281"/>
    <cellStyle name="常规 3 20 2 2" xfId="407"/>
    <cellStyle name="常规 3 20 3" xfId="344"/>
    <cellStyle name="常规 3 21" xfId="202"/>
    <cellStyle name="常规 3 21 2" xfId="282"/>
    <cellStyle name="常规 3 21 2 2" xfId="408"/>
    <cellStyle name="常规 3 21 3" xfId="345"/>
    <cellStyle name="常规 3 22" xfId="205"/>
    <cellStyle name="常规 3 22 2" xfId="283"/>
    <cellStyle name="常规 3 22 2 2" xfId="409"/>
    <cellStyle name="常规 3 22 3" xfId="346"/>
    <cellStyle name="常规 3 23" xfId="208"/>
    <cellStyle name="常规 3 23 2" xfId="284"/>
    <cellStyle name="常规 3 23 2 2" xfId="410"/>
    <cellStyle name="常规 3 23 3" xfId="347"/>
    <cellStyle name="常规 3 24" xfId="210"/>
    <cellStyle name="常规 3 24 2" xfId="285"/>
    <cellStyle name="常规 3 24 2 2" xfId="411"/>
    <cellStyle name="常规 3 24 3" xfId="348"/>
    <cellStyle name="常规 3 25" xfId="212"/>
    <cellStyle name="常规 3 25 2" xfId="286"/>
    <cellStyle name="常规 3 25 2 2" xfId="412"/>
    <cellStyle name="常规 3 25 3" xfId="349"/>
    <cellStyle name="常规 3 26" xfId="214"/>
    <cellStyle name="常规 3 26 2" xfId="287"/>
    <cellStyle name="常规 3 26 2 2" xfId="413"/>
    <cellStyle name="常规 3 26 3" xfId="350"/>
    <cellStyle name="常规 3 27" xfId="216"/>
    <cellStyle name="常规 3 27 2" xfId="288"/>
    <cellStyle name="常规 3 27 2 2" xfId="414"/>
    <cellStyle name="常规 3 27 3" xfId="351"/>
    <cellStyle name="常规 3 28" xfId="221"/>
    <cellStyle name="常规 3 28 2" xfId="291"/>
    <cellStyle name="常规 3 28 2 2" xfId="417"/>
    <cellStyle name="常规 3 28 3" xfId="354"/>
    <cellStyle name="常规 3 29" xfId="225"/>
    <cellStyle name="常规 3 29 2" xfId="294"/>
    <cellStyle name="常规 3 29 2 2" xfId="420"/>
    <cellStyle name="常规 3 29 3" xfId="357"/>
    <cellStyle name="常规 3 3" xfId="103"/>
    <cellStyle name="常规 3 30" xfId="229"/>
    <cellStyle name="常规 3 30 2" xfId="297"/>
    <cellStyle name="常规 3 30 2 2" xfId="423"/>
    <cellStyle name="常规 3 30 3" xfId="360"/>
    <cellStyle name="常规 3 31" xfId="233"/>
    <cellStyle name="常规 3 31 2" xfId="300"/>
    <cellStyle name="常规 3 31 2 2" xfId="426"/>
    <cellStyle name="常规 3 31 3" xfId="363"/>
    <cellStyle name="常规 3 32" xfId="237"/>
    <cellStyle name="常规 3 32 2" xfId="303"/>
    <cellStyle name="常规 3 32 2 2" xfId="429"/>
    <cellStyle name="常规 3 32 3" xfId="366"/>
    <cellStyle name="常规 3 33" xfId="242"/>
    <cellStyle name="常规 3 33 2" xfId="306"/>
    <cellStyle name="常规 3 33 2 2" xfId="432"/>
    <cellStyle name="常规 3 33 3" xfId="369"/>
    <cellStyle name="常规 3 34" xfId="246"/>
    <cellStyle name="常规 3 34 2" xfId="309"/>
    <cellStyle name="常规 3 34 2 2" xfId="435"/>
    <cellStyle name="常规 3 34 3" xfId="372"/>
    <cellStyle name="常规 3 35" xfId="440"/>
    <cellStyle name="常规 3 36" xfId="446"/>
    <cellStyle name="常规 3 37" xfId="452"/>
    <cellStyle name="常规 3 38" xfId="458"/>
    <cellStyle name="常规 3 39" xfId="464"/>
    <cellStyle name="常规 3 4" xfId="166"/>
    <cellStyle name="常规 3 4 2" xfId="265"/>
    <cellStyle name="常规 3 4 2 2" xfId="391"/>
    <cellStyle name="常规 3 4 3" xfId="328"/>
    <cellStyle name="常规 3 40" xfId="468"/>
    <cellStyle name="常规 3 41" xfId="472"/>
    <cellStyle name="常规 3 42" xfId="476"/>
    <cellStyle name="常规 3 43" xfId="480"/>
    <cellStyle name="常规 3 44" xfId="484"/>
    <cellStyle name="常规 3 45" xfId="488"/>
    <cellStyle name="常规 3 46" xfId="492"/>
    <cellStyle name="常规 3 47" xfId="496"/>
    <cellStyle name="常规 3 48" xfId="500"/>
    <cellStyle name="常规 3 49" xfId="504"/>
    <cellStyle name="常规 3 5" xfId="168"/>
    <cellStyle name="常规 3 5 2" xfId="266"/>
    <cellStyle name="常规 3 5 2 2" xfId="392"/>
    <cellStyle name="常规 3 5 3" xfId="329"/>
    <cellStyle name="常规 3 50" xfId="509"/>
    <cellStyle name="常规 3 6" xfId="170"/>
    <cellStyle name="常规 3 6 2" xfId="267"/>
    <cellStyle name="常规 3 6 2 2" xfId="393"/>
    <cellStyle name="常规 3 6 3" xfId="330"/>
    <cellStyle name="常规 3 7" xfId="172"/>
    <cellStyle name="常规 3 7 2" xfId="268"/>
    <cellStyle name="常规 3 7 2 2" xfId="394"/>
    <cellStyle name="常规 3 7 3" xfId="331"/>
    <cellStyle name="常规 3 8" xfId="174"/>
    <cellStyle name="常规 3 8 2" xfId="269"/>
    <cellStyle name="常规 3 8 2 2" xfId="395"/>
    <cellStyle name="常规 3 8 3" xfId="332"/>
    <cellStyle name="常规 3 9" xfId="176"/>
    <cellStyle name="常规 3 9 2" xfId="270"/>
    <cellStyle name="常规 3 9 2 2" xfId="396"/>
    <cellStyle name="常规 3 9 3" xfId="333"/>
    <cellStyle name="常规 30" xfId="200"/>
    <cellStyle name="常规 31" xfId="201"/>
    <cellStyle name="常规 32" xfId="203"/>
    <cellStyle name="常规 33" xfId="204"/>
    <cellStyle name="常规 34" xfId="206"/>
    <cellStyle name="常规 35" xfId="207"/>
    <cellStyle name="常规 36" xfId="209"/>
    <cellStyle name="常规 37" xfId="211"/>
    <cellStyle name="常规 38" xfId="213"/>
    <cellStyle name="常规 39" xfId="215"/>
    <cellStyle name="常规 4" xfId="7"/>
    <cellStyle name="常规 4 10" xfId="243"/>
    <cellStyle name="常规 4 10 2" xfId="307"/>
    <cellStyle name="常规 4 10 2 2" xfId="433"/>
    <cellStyle name="常规 4 10 3" xfId="370"/>
    <cellStyle name="常规 4 11" xfId="247"/>
    <cellStyle name="常规 4 11 2" xfId="310"/>
    <cellStyle name="常规 4 11 2 2" xfId="436"/>
    <cellStyle name="常规 4 11 3" xfId="373"/>
    <cellStyle name="常规 4 12" xfId="441"/>
    <cellStyle name="常规 4 13" xfId="447"/>
    <cellStyle name="常规 4 14" xfId="453"/>
    <cellStyle name="常规 4 15" xfId="459"/>
    <cellStyle name="常规 4 16" xfId="465"/>
    <cellStyle name="常规 4 17" xfId="469"/>
    <cellStyle name="常规 4 18" xfId="473"/>
    <cellStyle name="常规 4 19" xfId="477"/>
    <cellStyle name="常规 4 2" xfId="105"/>
    <cellStyle name="常规 4 20" xfId="481"/>
    <cellStyle name="常规 4 21" xfId="485"/>
    <cellStyle name="常规 4 22" xfId="489"/>
    <cellStyle name="常规 4 23" xfId="493"/>
    <cellStyle name="常规 4 24" xfId="497"/>
    <cellStyle name="常规 4 25" xfId="501"/>
    <cellStyle name="常规 4 26" xfId="505"/>
    <cellStyle name="常规 4 27" xfId="510"/>
    <cellStyle name="常规 4 3" xfId="104"/>
    <cellStyle name="常规 4 4" xfId="217"/>
    <cellStyle name="常规 4 4 2" xfId="289"/>
    <cellStyle name="常规 4 4 2 2" xfId="415"/>
    <cellStyle name="常规 4 4 3" xfId="352"/>
    <cellStyle name="常规 4 5" xfId="222"/>
    <cellStyle name="常规 4 5 2" xfId="292"/>
    <cellStyle name="常规 4 5 2 2" xfId="418"/>
    <cellStyle name="常规 4 5 3" xfId="355"/>
    <cellStyle name="常规 4 6" xfId="226"/>
    <cellStyle name="常规 4 6 2" xfId="295"/>
    <cellStyle name="常规 4 6 2 2" xfId="421"/>
    <cellStyle name="常规 4 6 3" xfId="358"/>
    <cellStyle name="常规 4 7" xfId="230"/>
    <cellStyle name="常规 4 7 2" xfId="298"/>
    <cellStyle name="常规 4 7 2 2" xfId="424"/>
    <cellStyle name="常规 4 7 3" xfId="361"/>
    <cellStyle name="常规 4 8" xfId="234"/>
    <cellStyle name="常规 4 8 2" xfId="301"/>
    <cellStyle name="常规 4 8 2 2" xfId="427"/>
    <cellStyle name="常规 4 8 3" xfId="364"/>
    <cellStyle name="常规 4 9" xfId="238"/>
    <cellStyle name="常规 4 9 2" xfId="304"/>
    <cellStyle name="常规 4 9 2 2" xfId="430"/>
    <cellStyle name="常规 4 9 3" xfId="367"/>
    <cellStyle name="常规 40" xfId="220"/>
    <cellStyle name="常规 41" xfId="224"/>
    <cellStyle name="常规 42" xfId="228"/>
    <cellStyle name="常规 43" xfId="232"/>
    <cellStyle name="常规 44" xfId="236"/>
    <cellStyle name="常规 45" xfId="241"/>
    <cellStyle name="常规 46" xfId="245"/>
    <cellStyle name="常规 47" xfId="438"/>
    <cellStyle name="常规 48" xfId="444"/>
    <cellStyle name="常规 49" xfId="450"/>
    <cellStyle name="常规 5" xfId="2"/>
    <cellStyle name="常规 5 2" xfId="10"/>
    <cellStyle name="常规 5 3" xfId="106"/>
    <cellStyle name="常规 50" xfId="456"/>
    <cellStyle name="常规 51" xfId="457"/>
    <cellStyle name="常规 52" xfId="461"/>
    <cellStyle name="常规 53" xfId="462"/>
    <cellStyle name="常规 54" xfId="463"/>
    <cellStyle name="常规 55" xfId="467"/>
    <cellStyle name="常规 56" xfId="471"/>
    <cellStyle name="常规 57" xfId="475"/>
    <cellStyle name="常规 58" xfId="479"/>
    <cellStyle name="常规 59" xfId="483"/>
    <cellStyle name="常规 6" xfId="11"/>
    <cellStyle name="常规 6 2" xfId="12"/>
    <cellStyle name="常规 6 3" xfId="107"/>
    <cellStyle name="常规 60" xfId="487"/>
    <cellStyle name="常规 61" xfId="491"/>
    <cellStyle name="常规 62" xfId="495"/>
    <cellStyle name="常规 63" xfId="499"/>
    <cellStyle name="常规 64" xfId="503"/>
    <cellStyle name="常规 65" xfId="507"/>
    <cellStyle name="常规 66" xfId="508"/>
    <cellStyle name="常规 7" xfId="3"/>
    <cellStyle name="常规 7 2" xfId="108"/>
    <cellStyle name="常规 8" xfId="16"/>
    <cellStyle name="常规 8 2" xfId="161"/>
    <cellStyle name="常规 9" xfId="18"/>
    <cellStyle name="常规 9 2" xfId="162"/>
    <cellStyle name="超链接" xfId="15" builtinId="8"/>
    <cellStyle name="超链接 2" xfId="9"/>
    <cellStyle name="輔色1" xfId="109"/>
    <cellStyle name="輔色2" xfId="110"/>
    <cellStyle name="輔色3" xfId="111"/>
    <cellStyle name="輔色4" xfId="112"/>
    <cellStyle name="輔色5" xfId="113"/>
    <cellStyle name="輔色6" xfId="114"/>
    <cellStyle name="好 2" xfId="116"/>
    <cellStyle name="好 3" xfId="117"/>
    <cellStyle name="好 4" xfId="115"/>
    <cellStyle name="合計" xfId="118"/>
    <cellStyle name="合計 2" xfId="250"/>
    <cellStyle name="合計 2 2" xfId="376"/>
    <cellStyle name="合計 3" xfId="313"/>
    <cellStyle name="壞" xfId="119"/>
    <cellStyle name="汇总 2" xfId="121"/>
    <cellStyle name="汇总 2 2" xfId="252"/>
    <cellStyle name="汇总 2 2 2" xfId="378"/>
    <cellStyle name="汇总 2 3" xfId="315"/>
    <cellStyle name="汇总 3" xfId="120"/>
    <cellStyle name="汇总 3 2" xfId="251"/>
    <cellStyle name="汇总 3 2 2" xfId="377"/>
    <cellStyle name="汇总 3 3" xfId="314"/>
    <cellStyle name="计算 2" xfId="123"/>
    <cellStyle name="计算 2 2" xfId="254"/>
    <cellStyle name="计算 2 2 2" xfId="380"/>
    <cellStyle name="计算 2 3" xfId="317"/>
    <cellStyle name="计算 3" xfId="122"/>
    <cellStyle name="计算 3 2" xfId="253"/>
    <cellStyle name="计算 3 2 2" xfId="379"/>
    <cellStyle name="计算 3 3" xfId="316"/>
    <cellStyle name="計算方式" xfId="124"/>
    <cellStyle name="計算方式 2" xfId="255"/>
    <cellStyle name="計算方式 2 2" xfId="381"/>
    <cellStyle name="計算方式 3" xfId="318"/>
    <cellStyle name="检查单元格 2" xfId="126"/>
    <cellStyle name="检查单元格 3" xfId="125"/>
    <cellStyle name="檢查儲存格" xfId="127"/>
    <cellStyle name="解释性文本 2" xfId="129"/>
    <cellStyle name="解释性文本 3" xfId="128"/>
    <cellStyle name="警告文本 2" xfId="131"/>
    <cellStyle name="警告文本 3" xfId="130"/>
    <cellStyle name="警告文字" xfId="132"/>
    <cellStyle name="連結的儲存格" xfId="133"/>
    <cellStyle name="链接单元格 2" xfId="135"/>
    <cellStyle name="链接单元格 3" xfId="134"/>
    <cellStyle name="强调文字颜色 1 2" xfId="137"/>
    <cellStyle name="强调文字颜色 1 3" xfId="136"/>
    <cellStyle name="强调文字颜色 2 2" xfId="139"/>
    <cellStyle name="强调文字颜色 2 3" xfId="138"/>
    <cellStyle name="强调文字颜色 3 2" xfId="141"/>
    <cellStyle name="强调文字颜色 3 3" xfId="140"/>
    <cellStyle name="强调文字颜色 4 2" xfId="143"/>
    <cellStyle name="强调文字颜色 4 3" xfId="142"/>
    <cellStyle name="强调文字颜色 5 2" xfId="145"/>
    <cellStyle name="强调文字颜色 5 3" xfId="144"/>
    <cellStyle name="强调文字颜色 6 2" xfId="147"/>
    <cellStyle name="强调文字颜色 6 3" xfId="146"/>
    <cellStyle name="适中 2" xfId="149"/>
    <cellStyle name="适中 3" xfId="148"/>
    <cellStyle name="输出 2" xfId="151"/>
    <cellStyle name="输出 2 2" xfId="257"/>
    <cellStyle name="输出 2 2 2" xfId="383"/>
    <cellStyle name="输出 2 3" xfId="320"/>
    <cellStyle name="输出 3" xfId="150"/>
    <cellStyle name="输出 3 2" xfId="256"/>
    <cellStyle name="输出 3 2 2" xfId="382"/>
    <cellStyle name="输出 3 3" xfId="319"/>
    <cellStyle name="输入 2" xfId="153"/>
    <cellStyle name="输入 2 2" xfId="259"/>
    <cellStyle name="输入 2 2 2" xfId="385"/>
    <cellStyle name="输入 2 3" xfId="322"/>
    <cellStyle name="输入 3" xfId="152"/>
    <cellStyle name="输入 3 2" xfId="258"/>
    <cellStyle name="输入 3 2 2" xfId="384"/>
    <cellStyle name="输入 3 3" xfId="321"/>
    <cellStyle name="輸出" xfId="154"/>
    <cellStyle name="輸出 2" xfId="260"/>
    <cellStyle name="輸出 2 2" xfId="386"/>
    <cellStyle name="輸出 3" xfId="323"/>
    <cellStyle name="輸入" xfId="155"/>
    <cellStyle name="輸入 2" xfId="261"/>
    <cellStyle name="輸入 2 2" xfId="387"/>
    <cellStyle name="輸入 3" xfId="324"/>
    <cellStyle name="說明文字" xfId="156"/>
    <cellStyle name="中等" xfId="157"/>
    <cellStyle name="注释 2" xfId="159"/>
    <cellStyle name="注释 2 2" xfId="263"/>
    <cellStyle name="注释 2 2 2" xfId="389"/>
    <cellStyle name="注释 2 3" xfId="326"/>
    <cellStyle name="注释 3" xfId="158"/>
    <cellStyle name="注释 3 2" xfId="262"/>
    <cellStyle name="注释 3 2 2" xfId="388"/>
    <cellStyle name="注释 3 3" xfId="325"/>
  </cellStyles>
  <dxfs count="3">
    <dxf>
      <font>
        <color rgb="FFFF0000"/>
      </font>
      <fill>
        <patternFill>
          <bgColor rgb="FFFFFF00"/>
        </patternFill>
      </fill>
    </dxf>
    <dxf>
      <font>
        <color theme="0" tint="-0.24994659260841701"/>
      </font>
    </dxf>
    <dxf>
      <font>
        <color rgb="FFFF00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colors>
    <mruColors>
      <color rgb="FFD4E2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1371600</xdr:colOff>
          <xdr:row>0</xdr:row>
          <xdr:rowOff>19050</xdr:rowOff>
        </xdr:from>
        <xdr:to>
          <xdr:col>6</xdr:col>
          <xdr:colOff>2108200</xdr:colOff>
          <xdr:row>0</xdr:row>
          <xdr:rowOff>279400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简化comp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0</xdr:row>
          <xdr:rowOff>12700</xdr:rowOff>
        </xdr:from>
        <xdr:to>
          <xdr:col>2</xdr:col>
          <xdr:colOff>1771650</xdr:colOff>
          <xdr:row>0</xdr:row>
          <xdr:rowOff>298450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清除信息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8</xdr:col>
          <xdr:colOff>1085850</xdr:colOff>
          <xdr:row>0</xdr:row>
          <xdr:rowOff>279400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469900</xdr:colOff>
          <xdr:row>0</xdr:row>
          <xdr:rowOff>679450</xdr:rowOff>
        </xdr:from>
        <xdr:to>
          <xdr:col>6</xdr:col>
          <xdr:colOff>184150</xdr:colOff>
          <xdr:row>0</xdr:row>
          <xdr:rowOff>1079500</xdr:rowOff>
        </xdr:to>
        <xdr:sp macro="" textlink="">
          <xdr:nvSpPr>
            <xdr:cNvPr id="23553" name="choose_new_label_info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0</xdr:row>
          <xdr:rowOff>660400</xdr:rowOff>
        </xdr:from>
        <xdr:to>
          <xdr:col>10</xdr:col>
          <xdr:colOff>171450</xdr:colOff>
          <xdr:row>0</xdr:row>
          <xdr:rowOff>1098550</xdr:rowOff>
        </xdr:to>
        <xdr:sp macro="" textlink="">
          <xdr:nvSpPr>
            <xdr:cNvPr id="19461" name="保存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0</xdr:row>
          <xdr:rowOff>666750</xdr:rowOff>
        </xdr:from>
        <xdr:to>
          <xdr:col>6</xdr:col>
          <xdr:colOff>590550</xdr:colOff>
          <xdr:row>0</xdr:row>
          <xdr:rowOff>1104900</xdr:rowOff>
        </xdr:to>
        <xdr:sp macro="" textlink="">
          <xdr:nvSpPr>
            <xdr:cNvPr id="19463" name="选择位置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0</xdr:row>
          <xdr:rowOff>666750</xdr:rowOff>
        </xdr:from>
        <xdr:to>
          <xdr:col>8</xdr:col>
          <xdr:colOff>336550</xdr:colOff>
          <xdr:row>0</xdr:row>
          <xdr:rowOff>1104900</xdr:rowOff>
        </xdr:to>
        <xdr:sp macro="" textlink="">
          <xdr:nvSpPr>
            <xdr:cNvPr id="19464" name="粘贴标签信息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9</xdr:row>
          <xdr:rowOff>0</xdr:rowOff>
        </xdr:from>
        <xdr:to>
          <xdr:col>14</xdr:col>
          <xdr:colOff>228600</xdr:colOff>
          <xdr:row>13</xdr:row>
          <xdr:rowOff>12700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FF00FF"/>
                  </a:solidFill>
                  <a:latin typeface="黑体"/>
                  <a:ea typeface="黑体"/>
                </a:rPr>
                <a:t>清除B列的“EBT”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628650</xdr:rowOff>
        </xdr:from>
        <xdr:to>
          <xdr:col>6</xdr:col>
          <xdr:colOff>127000</xdr:colOff>
          <xdr:row>1</xdr:row>
          <xdr:rowOff>1041400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准备打印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889000</xdr:colOff>
          <xdr:row>1</xdr:row>
          <xdr:rowOff>355600</xdr:rowOff>
        </xdr:from>
        <xdr:to>
          <xdr:col>1</xdr:col>
          <xdr:colOff>1924050</xdr:colOff>
          <xdr:row>1</xdr:row>
          <xdr:rowOff>641350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选择打印标签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1136650</xdr:colOff>
          <xdr:row>1</xdr:row>
          <xdr:rowOff>412750</xdr:rowOff>
        </xdr:from>
        <xdr:to>
          <xdr:col>2</xdr:col>
          <xdr:colOff>69850</xdr:colOff>
          <xdr:row>1</xdr:row>
          <xdr:rowOff>704850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选择打印标签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0</xdr:row>
          <xdr:rowOff>393700</xdr:rowOff>
        </xdr:from>
        <xdr:to>
          <xdr:col>4</xdr:col>
          <xdr:colOff>165100</xdr:colOff>
          <xdr:row>0</xdr:row>
          <xdr:rowOff>742950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选择打印标签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2797;&#21046;&#25968;&#20540;&#21040;&#27492;&#34920;&#21333;A&#21015;&#26356;&#25913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复制数值到此表单A列更改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O379"/>
  <sheetViews>
    <sheetView zoomScaleNormal="100" workbookViewId="0">
      <pane ySplit="1" topLeftCell="A2" activePane="bottomLeft" state="frozen"/>
      <selection pane="bottomLeft" activeCell="C20" sqref="C20"/>
    </sheetView>
  </sheetViews>
  <sheetFormatPr defaultColWidth="9" defaultRowHeight="13" x14ac:dyDescent="0.25"/>
  <cols>
    <col min="1" max="1" width="20.36328125" style="29" bestFit="1" customWidth="1"/>
    <col min="2" max="2" width="16.08984375" style="30" bestFit="1" customWidth="1"/>
    <col min="3" max="3" width="33.90625" style="21" bestFit="1" customWidth="1"/>
    <col min="4" max="4" width="6.90625" style="50" customWidth="1"/>
    <col min="5" max="6" width="6.90625" style="51" customWidth="1"/>
    <col min="7" max="7" width="34.90625" style="21" customWidth="1"/>
    <col min="8" max="8" width="13.90625" style="34" bestFit="1" customWidth="1"/>
    <col min="9" max="9" width="20.90625" style="21" customWidth="1"/>
    <col min="10" max="10" width="23.90625" style="21" customWidth="1"/>
    <col min="11" max="11" width="35" style="35" bestFit="1" customWidth="1"/>
    <col min="12" max="12" width="10.36328125" style="30" bestFit="1" customWidth="1"/>
    <col min="13" max="13" width="8.36328125" style="30" bestFit="1" customWidth="1"/>
    <col min="14" max="14" width="27.26953125" style="30" bestFit="1" customWidth="1"/>
    <col min="15" max="16384" width="9" style="33"/>
  </cols>
  <sheetData>
    <row r="1" spans="1:15" s="28" customFormat="1" ht="26" x14ac:dyDescent="0.25">
      <c r="A1" s="18"/>
      <c r="B1" s="19"/>
      <c r="C1" s="20" t="s">
        <v>7421</v>
      </c>
      <c r="D1" s="46"/>
      <c r="E1" s="47"/>
      <c r="F1" s="47"/>
      <c r="G1" s="21" t="s">
        <v>2</v>
      </c>
      <c r="H1" s="22"/>
      <c r="I1" s="23" t="s">
        <v>6</v>
      </c>
      <c r="J1" s="20" t="s">
        <v>3</v>
      </c>
      <c r="K1" s="24"/>
      <c r="L1" s="25"/>
      <c r="M1" s="25" t="s">
        <v>1</v>
      </c>
      <c r="N1" s="26" t="s">
        <v>0</v>
      </c>
      <c r="O1" s="27"/>
    </row>
    <row r="2" spans="1:15" s="32" customFormat="1" ht="25" x14ac:dyDescent="0.25">
      <c r="A2" s="29"/>
      <c r="B2" s="30" t="str">
        <f>IF(LEN(C2),C2,"")</f>
        <v>EBT170733</v>
      </c>
      <c r="C2" s="134" t="s">
        <v>13649</v>
      </c>
      <c r="D2" s="135" t="s">
        <v>13650</v>
      </c>
      <c r="E2" s="133" t="s">
        <v>13651</v>
      </c>
      <c r="F2" s="136">
        <v>88</v>
      </c>
      <c r="G2" s="133" t="s">
        <v>13652</v>
      </c>
      <c r="H2" s="133"/>
      <c r="I2" s="133" t="s">
        <v>13653</v>
      </c>
      <c r="J2" s="133"/>
      <c r="K2" s="133"/>
      <c r="L2" s="30"/>
      <c r="M2" s="30"/>
      <c r="N2" s="30"/>
      <c r="O2" s="31"/>
    </row>
    <row r="3" spans="1:15" ht="25" x14ac:dyDescent="0.25">
      <c r="B3" s="30" t="str">
        <f t="shared" ref="B3:B66" si="0">IF(LEN(C3),C3,"")</f>
        <v>EBT170734</v>
      </c>
      <c r="C3" s="134" t="s">
        <v>13654</v>
      </c>
      <c r="D3" s="135" t="s">
        <v>13655</v>
      </c>
      <c r="E3" s="133" t="s">
        <v>13656</v>
      </c>
      <c r="F3" s="136">
        <v>40.700000000000003</v>
      </c>
      <c r="G3" s="133" t="s">
        <v>13657</v>
      </c>
      <c r="H3" s="133"/>
      <c r="I3" s="133" t="s">
        <v>13653</v>
      </c>
      <c r="J3" s="133"/>
      <c r="K3" s="156" t="s">
        <v>13463</v>
      </c>
    </row>
    <row r="4" spans="1:15" x14ac:dyDescent="0.25">
      <c r="B4" s="30" t="str">
        <f t="shared" si="0"/>
        <v/>
      </c>
      <c r="C4" s="134"/>
      <c r="D4" s="135"/>
      <c r="E4" s="133"/>
      <c r="F4" s="136"/>
      <c r="G4" s="133"/>
      <c r="H4" s="133"/>
      <c r="I4" s="133"/>
      <c r="J4" s="133"/>
      <c r="K4" s="137"/>
    </row>
    <row r="5" spans="1:15" x14ac:dyDescent="0.25">
      <c r="B5" s="30" t="str">
        <f t="shared" si="0"/>
        <v/>
      </c>
      <c r="C5" s="134"/>
      <c r="D5" s="135"/>
      <c r="E5" s="133"/>
      <c r="F5" s="136"/>
      <c r="G5" s="133"/>
      <c r="H5" s="133"/>
      <c r="I5" s="133"/>
      <c r="J5" s="133"/>
      <c r="K5" s="12"/>
    </row>
    <row r="6" spans="1:15" ht="13.5" thickBot="1" x14ac:dyDescent="0.3">
      <c r="B6" s="30" t="str">
        <f t="shared" si="0"/>
        <v/>
      </c>
      <c r="C6" s="134"/>
      <c r="D6" s="135"/>
      <c r="E6" s="133"/>
      <c r="F6" s="136"/>
      <c r="G6" s="133"/>
      <c r="H6" s="133"/>
      <c r="I6" s="133"/>
      <c r="J6" s="133"/>
      <c r="K6" s="12"/>
    </row>
    <row r="7" spans="1:15" ht="14.5" thickBot="1" x14ac:dyDescent="0.3">
      <c r="B7" s="30" t="str">
        <f t="shared" si="0"/>
        <v/>
      </c>
      <c r="C7" s="158"/>
      <c r="D7" s="159"/>
      <c r="E7" s="160"/>
      <c r="F7" s="160"/>
      <c r="G7" s="160"/>
      <c r="H7" s="160"/>
      <c r="I7" s="160"/>
      <c r="J7" s="160"/>
      <c r="K7" s="12"/>
    </row>
    <row r="8" spans="1:15" s="55" customFormat="1" x14ac:dyDescent="0.25">
      <c r="A8" s="52"/>
      <c r="B8" s="30" t="str">
        <f t="shared" si="0"/>
        <v/>
      </c>
      <c r="C8" s="134"/>
      <c r="D8" s="135"/>
      <c r="E8" s="133"/>
      <c r="F8" s="136"/>
      <c r="G8" s="133"/>
      <c r="H8" s="133"/>
      <c r="I8" s="133"/>
      <c r="J8" s="133"/>
      <c r="K8" s="54"/>
      <c r="L8" s="53"/>
      <c r="M8" s="53"/>
      <c r="N8" s="53"/>
    </row>
    <row r="9" spans="1:15" x14ac:dyDescent="0.25">
      <c r="B9" s="30" t="str">
        <f t="shared" si="0"/>
        <v/>
      </c>
      <c r="C9" s="134"/>
      <c r="D9" s="135"/>
      <c r="E9" s="133"/>
      <c r="F9" s="136"/>
      <c r="G9" s="133"/>
      <c r="H9" s="133"/>
      <c r="I9" s="133"/>
      <c r="J9" s="133"/>
      <c r="K9" s="12"/>
    </row>
    <row r="10" spans="1:15" x14ac:dyDescent="0.25">
      <c r="B10" s="30" t="str">
        <f t="shared" si="0"/>
        <v/>
      </c>
      <c r="C10" s="134"/>
      <c r="D10" s="135"/>
      <c r="E10" s="133"/>
      <c r="F10" s="136"/>
      <c r="G10" s="133"/>
      <c r="H10" s="133"/>
      <c r="I10" s="133"/>
      <c r="J10" s="133"/>
    </row>
    <row r="11" spans="1:15" x14ac:dyDescent="0.25">
      <c r="B11" s="30" t="str">
        <f t="shared" si="0"/>
        <v/>
      </c>
      <c r="C11" s="134"/>
      <c r="D11" s="135"/>
      <c r="E11" s="157"/>
      <c r="F11" s="136"/>
      <c r="G11" s="133"/>
      <c r="H11" s="133"/>
      <c r="I11" s="133"/>
      <c r="J11" s="133"/>
      <c r="K11" s="12"/>
    </row>
    <row r="12" spans="1:15" ht="14" x14ac:dyDescent="0.25">
      <c r="B12" s="30" t="str">
        <f t="shared" si="0"/>
        <v/>
      </c>
      <c r="C12" s="154"/>
      <c r="D12" s="149"/>
      <c r="E12" s="147"/>
      <c r="F12" s="147"/>
      <c r="G12" s="147"/>
      <c r="H12" s="147"/>
      <c r="I12" s="147"/>
      <c r="J12" s="147"/>
      <c r="K12" s="12"/>
    </row>
    <row r="13" spans="1:15" ht="14" x14ac:dyDescent="0.25">
      <c r="B13" s="30" t="str">
        <f t="shared" si="0"/>
        <v/>
      </c>
      <c r="C13" s="154"/>
      <c r="D13" s="149"/>
      <c r="E13" s="147"/>
      <c r="F13" s="147"/>
      <c r="G13" s="147"/>
      <c r="H13" s="147"/>
      <c r="I13" s="147"/>
      <c r="J13" s="147"/>
      <c r="K13" s="12"/>
    </row>
    <row r="14" spans="1:15" ht="14" x14ac:dyDescent="0.25">
      <c r="B14" s="30" t="str">
        <f t="shared" si="0"/>
        <v/>
      </c>
      <c r="C14" s="154"/>
      <c r="D14" s="149"/>
      <c r="E14" s="149"/>
      <c r="F14" s="149"/>
      <c r="G14" s="149"/>
      <c r="H14" s="149"/>
      <c r="I14" s="147"/>
      <c r="J14" s="149"/>
    </row>
    <row r="15" spans="1:15" ht="14" x14ac:dyDescent="0.25">
      <c r="B15" s="30" t="str">
        <f t="shared" si="0"/>
        <v/>
      </c>
      <c r="C15" s="154"/>
      <c r="D15" s="149"/>
      <c r="E15" s="149"/>
      <c r="F15" s="149"/>
      <c r="G15" s="149"/>
      <c r="H15" s="149"/>
      <c r="I15" s="147"/>
      <c r="J15" s="149"/>
    </row>
    <row r="16" spans="1:15" ht="14" x14ac:dyDescent="0.25">
      <c r="A16" s="1"/>
      <c r="B16" s="30" t="str">
        <f t="shared" si="0"/>
        <v/>
      </c>
      <c r="C16" s="154"/>
      <c r="D16" s="149"/>
      <c r="E16" s="149"/>
      <c r="F16" s="149"/>
      <c r="G16" s="149"/>
      <c r="H16" s="149"/>
      <c r="I16" s="147"/>
      <c r="J16" s="149"/>
      <c r="K16" s="36"/>
      <c r="L16" s="12"/>
      <c r="M16" s="12"/>
      <c r="N16" s="13"/>
      <c r="O16" s="37"/>
    </row>
    <row r="17" spans="1:14" ht="14" x14ac:dyDescent="0.25">
      <c r="A17" s="1"/>
      <c r="B17" s="30" t="str">
        <f t="shared" si="0"/>
        <v/>
      </c>
      <c r="C17" s="154"/>
      <c r="D17" s="149"/>
      <c r="E17" s="149"/>
      <c r="F17" s="149"/>
      <c r="G17" s="149"/>
      <c r="H17" s="149"/>
      <c r="I17" s="147"/>
      <c r="J17" s="149"/>
      <c r="K17" s="14"/>
      <c r="L17" s="12"/>
      <c r="M17" s="12"/>
      <c r="N17" s="13"/>
    </row>
    <row r="18" spans="1:14" ht="14" x14ac:dyDescent="0.25">
      <c r="A18" s="1"/>
      <c r="B18" s="30" t="str">
        <f t="shared" si="0"/>
        <v/>
      </c>
      <c r="C18" s="154"/>
      <c r="D18" s="149"/>
      <c r="E18" s="149"/>
      <c r="F18" s="149"/>
      <c r="G18" s="149"/>
      <c r="H18" s="149"/>
      <c r="I18" s="147"/>
      <c r="J18" s="149"/>
      <c r="K18" s="38"/>
      <c r="L18" s="15"/>
      <c r="M18" s="15"/>
      <c r="N18" s="13"/>
    </row>
    <row r="19" spans="1:14" ht="14" x14ac:dyDescent="0.25">
      <c r="A19" s="1"/>
      <c r="B19" s="30" t="str">
        <f t="shared" si="0"/>
        <v/>
      </c>
      <c r="C19" s="154"/>
      <c r="D19" s="149"/>
      <c r="E19" s="149"/>
      <c r="F19" s="149"/>
      <c r="G19" s="149"/>
      <c r="H19" s="149"/>
      <c r="I19" s="147"/>
      <c r="J19" s="149"/>
      <c r="K19" s="39"/>
      <c r="L19" s="15"/>
      <c r="M19" s="15"/>
      <c r="N19" s="13"/>
    </row>
    <row r="20" spans="1:14" ht="14" x14ac:dyDescent="0.25">
      <c r="A20" s="1"/>
      <c r="B20" s="30" t="str">
        <f t="shared" si="0"/>
        <v/>
      </c>
      <c r="C20" s="154"/>
      <c r="D20" s="149"/>
      <c r="E20" s="149"/>
      <c r="F20" s="149"/>
      <c r="G20" s="149"/>
      <c r="H20" s="149"/>
      <c r="I20" s="147"/>
      <c r="J20" s="149"/>
      <c r="K20" s="39"/>
      <c r="L20" s="15"/>
      <c r="M20" s="15"/>
      <c r="N20" s="13"/>
    </row>
    <row r="21" spans="1:14" ht="14" x14ac:dyDescent="0.25">
      <c r="A21" s="40"/>
      <c r="B21" s="30" t="str">
        <f t="shared" si="0"/>
        <v/>
      </c>
      <c r="C21" s="154"/>
      <c r="D21" s="155"/>
      <c r="E21" s="148"/>
      <c r="F21" s="148"/>
      <c r="G21" s="148"/>
      <c r="H21" s="148"/>
      <c r="I21" s="147"/>
      <c r="J21" s="147"/>
      <c r="K21" s="36"/>
      <c r="L21" s="41"/>
      <c r="M21" s="42"/>
    </row>
    <row r="22" spans="1:14" ht="14" x14ac:dyDescent="0.25">
      <c r="A22" s="40"/>
      <c r="B22" s="30" t="str">
        <f t="shared" si="0"/>
        <v/>
      </c>
      <c r="C22" s="153"/>
      <c r="D22" s="152"/>
      <c r="E22" s="152"/>
      <c r="F22" s="152"/>
      <c r="G22" s="149"/>
      <c r="H22" s="149"/>
      <c r="I22" s="147"/>
      <c r="J22" s="149"/>
      <c r="K22" s="36"/>
      <c r="L22" s="41"/>
      <c r="M22" s="42"/>
    </row>
    <row r="23" spans="1:14" ht="14" x14ac:dyDescent="0.25">
      <c r="A23" s="40"/>
      <c r="B23" s="30" t="str">
        <f t="shared" si="0"/>
        <v/>
      </c>
      <c r="C23" s="153"/>
      <c r="D23" s="152"/>
      <c r="E23" s="152"/>
      <c r="F23" s="152"/>
      <c r="G23" s="149"/>
      <c r="H23" s="149"/>
      <c r="I23" s="147"/>
      <c r="J23" s="149"/>
      <c r="K23" s="43"/>
      <c r="L23" s="41"/>
      <c r="M23" s="42"/>
    </row>
    <row r="24" spans="1:14" ht="14" x14ac:dyDescent="0.25">
      <c r="A24" s="40"/>
      <c r="B24" s="30" t="str">
        <f t="shared" si="0"/>
        <v/>
      </c>
      <c r="C24" s="153"/>
      <c r="D24" s="152"/>
      <c r="E24" s="152"/>
      <c r="F24" s="152"/>
      <c r="G24" s="149"/>
      <c r="H24" s="149"/>
      <c r="I24" s="147"/>
      <c r="J24" s="149"/>
      <c r="K24" s="36"/>
      <c r="L24" s="44"/>
      <c r="M24" s="42"/>
    </row>
    <row r="25" spans="1:14" ht="14" x14ac:dyDescent="0.25">
      <c r="A25" s="40"/>
      <c r="B25" s="30" t="str">
        <f t="shared" si="0"/>
        <v/>
      </c>
      <c r="C25" s="153"/>
      <c r="D25" s="151"/>
      <c r="E25" s="150"/>
      <c r="F25" s="150"/>
      <c r="G25" s="148"/>
      <c r="H25" s="148"/>
      <c r="I25" s="147"/>
      <c r="J25" s="147"/>
      <c r="K25" s="36"/>
      <c r="L25" s="41"/>
      <c r="M25" s="42"/>
    </row>
    <row r="26" spans="1:14" x14ac:dyDescent="0.25">
      <c r="B26" s="30" t="str">
        <f t="shared" si="0"/>
        <v/>
      </c>
      <c r="C26" s="145"/>
      <c r="D26" s="145"/>
      <c r="E26" s="145"/>
      <c r="F26" s="145"/>
      <c r="G26" s="145"/>
      <c r="H26" s="145"/>
      <c r="I26" s="145"/>
      <c r="J26" s="145"/>
      <c r="K26" s="36"/>
    </row>
    <row r="27" spans="1:14" x14ac:dyDescent="0.25">
      <c r="B27" s="30" t="str">
        <f t="shared" si="0"/>
        <v/>
      </c>
      <c r="C27" s="145"/>
      <c r="D27" s="145"/>
      <c r="E27" s="145"/>
      <c r="F27" s="145"/>
      <c r="G27" s="145"/>
      <c r="H27" s="145"/>
      <c r="I27" s="145"/>
      <c r="J27" s="145"/>
      <c r="K27" s="12"/>
    </row>
    <row r="28" spans="1:14" x14ac:dyDescent="0.25">
      <c r="B28" s="30" t="str">
        <f t="shared" si="0"/>
        <v/>
      </c>
      <c r="C28" s="145"/>
      <c r="D28" s="145"/>
      <c r="E28" s="145"/>
      <c r="F28" s="145"/>
      <c r="G28" s="145"/>
      <c r="H28" s="145"/>
      <c r="I28" s="145"/>
      <c r="J28" s="145"/>
    </row>
    <row r="29" spans="1:14" x14ac:dyDescent="0.25">
      <c r="B29" s="30" t="str">
        <f t="shared" si="0"/>
        <v/>
      </c>
      <c r="C29" s="145"/>
      <c r="D29" s="145"/>
      <c r="E29" s="145"/>
      <c r="F29" s="145"/>
      <c r="G29" s="145"/>
      <c r="H29" s="145"/>
      <c r="I29" s="145"/>
      <c r="J29" s="145"/>
    </row>
    <row r="30" spans="1:14" x14ac:dyDescent="0.25">
      <c r="B30" s="30" t="str">
        <f t="shared" si="0"/>
        <v/>
      </c>
      <c r="C30" s="145"/>
      <c r="D30" s="145"/>
      <c r="E30" s="145"/>
      <c r="F30" s="145"/>
      <c r="G30" s="145"/>
      <c r="H30" s="145"/>
      <c r="I30" s="145"/>
      <c r="J30" s="145"/>
    </row>
    <row r="31" spans="1:14" x14ac:dyDescent="0.25">
      <c r="B31" s="30" t="str">
        <f t="shared" si="0"/>
        <v/>
      </c>
      <c r="C31" s="145"/>
      <c r="D31" s="145"/>
      <c r="E31" s="145"/>
      <c r="F31" s="145"/>
      <c r="G31" s="145"/>
      <c r="H31" s="145"/>
      <c r="I31" s="145"/>
      <c r="J31" s="145"/>
    </row>
    <row r="32" spans="1:14" x14ac:dyDescent="0.25">
      <c r="B32" s="30" t="str">
        <f t="shared" si="0"/>
        <v/>
      </c>
      <c r="C32" s="145"/>
      <c r="D32" s="145"/>
      <c r="E32" s="145"/>
      <c r="F32" s="145"/>
      <c r="G32" s="145"/>
      <c r="H32" s="145"/>
      <c r="I32" s="145"/>
      <c r="J32" s="145"/>
    </row>
    <row r="33" spans="2:10" x14ac:dyDescent="0.25">
      <c r="B33" s="30" t="str">
        <f t="shared" si="0"/>
        <v/>
      </c>
      <c r="C33" s="145"/>
      <c r="D33" s="145"/>
      <c r="E33" s="145"/>
      <c r="F33" s="145"/>
      <c r="G33" s="145"/>
      <c r="H33" s="145"/>
      <c r="I33" s="145"/>
      <c r="J33" s="145"/>
    </row>
    <row r="34" spans="2:10" x14ac:dyDescent="0.25">
      <c r="B34" s="30" t="str">
        <f t="shared" si="0"/>
        <v/>
      </c>
      <c r="C34" s="145"/>
      <c r="D34" s="145"/>
      <c r="E34" s="145"/>
      <c r="F34" s="145"/>
      <c r="G34" s="145"/>
      <c r="H34" s="145"/>
      <c r="I34" s="145"/>
      <c r="J34" s="145"/>
    </row>
    <row r="35" spans="2:10" x14ac:dyDescent="0.25">
      <c r="B35" s="30" t="str">
        <f t="shared" si="0"/>
        <v/>
      </c>
      <c r="C35" s="145"/>
      <c r="D35" s="145"/>
      <c r="E35" s="145"/>
      <c r="F35" s="145"/>
      <c r="G35" s="145"/>
      <c r="H35" s="145"/>
      <c r="I35" s="145"/>
      <c r="J35" s="145"/>
    </row>
    <row r="36" spans="2:10" x14ac:dyDescent="0.25">
      <c r="B36" s="30" t="str">
        <f t="shared" si="0"/>
        <v/>
      </c>
      <c r="C36" s="145"/>
      <c r="D36" s="145"/>
      <c r="E36" s="145"/>
      <c r="F36" s="145"/>
      <c r="G36" s="145"/>
      <c r="H36" s="145"/>
      <c r="I36" s="145"/>
      <c r="J36" s="145"/>
    </row>
    <row r="37" spans="2:10" x14ac:dyDescent="0.25">
      <c r="B37" s="30" t="str">
        <f t="shared" si="0"/>
        <v/>
      </c>
      <c r="C37" s="145"/>
      <c r="D37" s="145"/>
      <c r="E37" s="145"/>
      <c r="F37" s="145"/>
      <c r="G37" s="145"/>
      <c r="H37" s="145"/>
      <c r="I37" s="145"/>
      <c r="J37" s="145"/>
    </row>
    <row r="38" spans="2:10" x14ac:dyDescent="0.25">
      <c r="B38" s="30" t="str">
        <f t="shared" si="0"/>
        <v/>
      </c>
      <c r="C38" s="145"/>
      <c r="D38" s="145"/>
      <c r="E38" s="145"/>
      <c r="F38" s="145"/>
      <c r="G38" s="145"/>
      <c r="H38" s="145"/>
      <c r="I38" s="145"/>
      <c r="J38" s="145"/>
    </row>
    <row r="39" spans="2:10" x14ac:dyDescent="0.25">
      <c r="B39" s="30" t="str">
        <f t="shared" si="0"/>
        <v/>
      </c>
      <c r="C39" s="145"/>
      <c r="D39" s="145"/>
      <c r="E39" s="145"/>
      <c r="F39" s="145"/>
      <c r="G39" s="145"/>
      <c r="H39" s="145"/>
      <c r="I39" s="145"/>
      <c r="J39" s="145"/>
    </row>
    <row r="40" spans="2:10" x14ac:dyDescent="0.25">
      <c r="B40" s="30" t="str">
        <f t="shared" si="0"/>
        <v/>
      </c>
      <c r="C40" s="145"/>
      <c r="D40" s="145"/>
      <c r="E40" s="145"/>
      <c r="F40" s="145"/>
      <c r="G40" s="145"/>
      <c r="H40" s="145"/>
      <c r="I40" s="145"/>
      <c r="J40" s="145"/>
    </row>
    <row r="41" spans="2:10" x14ac:dyDescent="0.25">
      <c r="B41" s="30" t="str">
        <f t="shared" si="0"/>
        <v/>
      </c>
      <c r="C41" s="145"/>
      <c r="D41" s="145"/>
      <c r="E41" s="145"/>
      <c r="F41" s="145"/>
      <c r="G41" s="145"/>
      <c r="H41" s="145"/>
      <c r="I41" s="145"/>
      <c r="J41" s="145"/>
    </row>
    <row r="42" spans="2:10" x14ac:dyDescent="0.25">
      <c r="B42" s="30" t="str">
        <f t="shared" si="0"/>
        <v/>
      </c>
      <c r="C42" s="145"/>
      <c r="D42" s="145"/>
      <c r="E42" s="145"/>
      <c r="F42" s="145"/>
      <c r="G42" s="145"/>
      <c r="H42" s="145"/>
      <c r="I42" s="145"/>
      <c r="J42" s="145"/>
    </row>
    <row r="43" spans="2:10" x14ac:dyDescent="0.25">
      <c r="B43" s="30" t="str">
        <f t="shared" si="0"/>
        <v/>
      </c>
      <c r="C43" s="145"/>
      <c r="D43" s="145"/>
      <c r="E43" s="145"/>
      <c r="F43" s="145"/>
      <c r="G43" s="145"/>
      <c r="H43" s="145"/>
      <c r="I43" s="145"/>
      <c r="J43" s="145"/>
    </row>
    <row r="44" spans="2:10" x14ac:dyDescent="0.25">
      <c r="B44" s="30" t="str">
        <f t="shared" si="0"/>
        <v/>
      </c>
      <c r="C44" s="146"/>
      <c r="D44" s="146"/>
      <c r="E44" s="146"/>
      <c r="F44" s="146"/>
      <c r="G44" s="146"/>
      <c r="H44" s="146"/>
      <c r="I44" s="133"/>
      <c r="J44" s="133"/>
    </row>
    <row r="45" spans="2:10" x14ac:dyDescent="0.25">
      <c r="B45" s="30" t="str">
        <f t="shared" si="0"/>
        <v/>
      </c>
      <c r="C45" s="146"/>
      <c r="D45" s="146"/>
      <c r="E45" s="146"/>
      <c r="F45" s="146"/>
      <c r="G45" s="146"/>
      <c r="H45" s="146"/>
      <c r="I45" s="133"/>
      <c r="J45" s="133"/>
    </row>
    <row r="46" spans="2:10" x14ac:dyDescent="0.25">
      <c r="B46" s="30" t="str">
        <f t="shared" si="0"/>
        <v/>
      </c>
      <c r="C46" s="134"/>
      <c r="D46" s="135"/>
      <c r="E46" s="133"/>
      <c r="F46" s="136"/>
      <c r="G46" s="133"/>
      <c r="H46" s="133"/>
      <c r="I46" s="133"/>
      <c r="J46" s="133"/>
    </row>
    <row r="47" spans="2:10" x14ac:dyDescent="0.25">
      <c r="B47" s="30" t="str">
        <f t="shared" si="0"/>
        <v/>
      </c>
      <c r="C47" s="134"/>
      <c r="D47" s="135"/>
      <c r="E47" s="143"/>
      <c r="F47" s="136"/>
      <c r="G47" s="133"/>
      <c r="H47" s="133"/>
      <c r="I47" s="133"/>
      <c r="J47" s="133"/>
    </row>
    <row r="48" spans="2:10" ht="14" x14ac:dyDescent="0.25">
      <c r="B48" s="30" t="str">
        <f t="shared" si="0"/>
        <v/>
      </c>
      <c r="C48" s="134"/>
      <c r="D48" s="135"/>
      <c r="E48" s="144"/>
      <c r="F48" s="136"/>
      <c r="G48" s="133"/>
      <c r="H48" s="133"/>
      <c r="I48" s="133"/>
      <c r="J48" s="133"/>
    </row>
    <row r="49" spans="2:10" ht="14" x14ac:dyDescent="0.25">
      <c r="B49" s="30" t="str">
        <f t="shared" si="0"/>
        <v/>
      </c>
      <c r="C49" s="118"/>
      <c r="D49" s="103"/>
      <c r="E49" s="98"/>
      <c r="F49" s="98"/>
      <c r="G49" s="124"/>
      <c r="H49" s="96"/>
      <c r="I49" s="125"/>
      <c r="J49" s="125"/>
    </row>
    <row r="50" spans="2:10" ht="14" x14ac:dyDescent="0.25">
      <c r="B50" s="30" t="str">
        <f t="shared" si="0"/>
        <v/>
      </c>
      <c r="C50" s="118"/>
      <c r="D50" s="98"/>
      <c r="E50" s="99"/>
      <c r="F50" s="98"/>
      <c r="G50" s="128"/>
      <c r="H50" s="96"/>
      <c r="I50" s="125"/>
      <c r="J50" s="125"/>
    </row>
    <row r="51" spans="2:10" ht="14" x14ac:dyDescent="0.25">
      <c r="B51" s="30" t="str">
        <f t="shared" si="0"/>
        <v/>
      </c>
      <c r="C51" s="118"/>
      <c r="D51" s="104"/>
      <c r="E51" s="98"/>
      <c r="F51" s="98"/>
      <c r="G51" s="124"/>
      <c r="H51" s="96"/>
      <c r="I51" s="125"/>
      <c r="J51" s="125"/>
    </row>
    <row r="52" spans="2:10" ht="14" x14ac:dyDescent="0.25">
      <c r="B52" s="30" t="str">
        <f t="shared" si="0"/>
        <v/>
      </c>
      <c r="C52" s="118"/>
      <c r="D52" s="107"/>
      <c r="E52" s="106"/>
      <c r="F52" s="106"/>
      <c r="G52" s="129"/>
      <c r="H52" s="96"/>
      <c r="I52" s="125"/>
      <c r="J52" s="125"/>
    </row>
    <row r="53" spans="2:10" ht="14" x14ac:dyDescent="0.25">
      <c r="B53" s="30" t="str">
        <f t="shared" si="0"/>
        <v/>
      </c>
      <c r="C53" s="118"/>
      <c r="D53" s="107"/>
      <c r="E53" s="98"/>
      <c r="F53" s="98"/>
      <c r="G53" s="124"/>
      <c r="H53" s="96"/>
      <c r="I53" s="125"/>
      <c r="J53" s="125"/>
    </row>
    <row r="54" spans="2:10" x14ac:dyDescent="0.25">
      <c r="B54" s="30" t="str">
        <f t="shared" si="0"/>
        <v/>
      </c>
      <c r="C54" s="118"/>
      <c r="D54" s="114"/>
      <c r="E54" s="96"/>
      <c r="F54" s="96"/>
      <c r="G54" s="125"/>
      <c r="H54" s="96"/>
      <c r="I54" s="125"/>
      <c r="J54" s="125"/>
    </row>
    <row r="55" spans="2:10" ht="14" x14ac:dyDescent="0.25">
      <c r="B55" s="30" t="str">
        <f t="shared" si="0"/>
        <v/>
      </c>
      <c r="C55" s="118"/>
      <c r="D55" s="107"/>
      <c r="E55" s="99"/>
      <c r="F55" s="98"/>
      <c r="G55" s="124"/>
      <c r="H55" s="96"/>
      <c r="I55" s="125"/>
      <c r="J55" s="125"/>
    </row>
    <row r="56" spans="2:10" ht="15" x14ac:dyDescent="0.25">
      <c r="B56" s="30" t="str">
        <f t="shared" si="0"/>
        <v/>
      </c>
      <c r="C56" s="118"/>
      <c r="D56" s="108"/>
      <c r="E56" s="96"/>
      <c r="F56" s="96"/>
      <c r="G56" s="125"/>
      <c r="H56" s="96"/>
      <c r="I56" s="125"/>
      <c r="J56" s="125"/>
    </row>
    <row r="57" spans="2:10" x14ac:dyDescent="0.25">
      <c r="B57" s="30" t="str">
        <f t="shared" si="0"/>
        <v/>
      </c>
      <c r="C57" s="118"/>
      <c r="D57" s="97"/>
      <c r="E57" s="96"/>
      <c r="F57" s="96"/>
      <c r="G57" s="125"/>
      <c r="H57" s="96"/>
      <c r="I57" s="125"/>
      <c r="J57" s="125"/>
    </row>
    <row r="58" spans="2:10" ht="14" x14ac:dyDescent="0.25">
      <c r="B58" s="30" t="str">
        <f t="shared" si="0"/>
        <v/>
      </c>
      <c r="C58" s="118"/>
      <c r="D58" s="110"/>
      <c r="E58" s="96"/>
      <c r="F58" s="98"/>
      <c r="G58" s="125"/>
      <c r="H58" s="96"/>
      <c r="I58" s="125"/>
      <c r="J58" s="125"/>
    </row>
    <row r="59" spans="2:10" ht="14" x14ac:dyDescent="0.25">
      <c r="B59" s="30" t="str">
        <f t="shared" si="0"/>
        <v/>
      </c>
      <c r="C59" s="118"/>
      <c r="D59" s="110"/>
      <c r="E59" s="96"/>
      <c r="F59" s="96"/>
      <c r="G59" s="125"/>
      <c r="H59" s="96"/>
      <c r="I59" s="125"/>
      <c r="J59" s="125"/>
    </row>
    <row r="60" spans="2:10" ht="14" x14ac:dyDescent="0.25">
      <c r="B60" s="30" t="str">
        <f t="shared" si="0"/>
        <v/>
      </c>
      <c r="C60" s="118"/>
      <c r="D60" s="107"/>
      <c r="E60" s="96"/>
      <c r="F60" s="96"/>
      <c r="G60" s="125"/>
      <c r="H60" s="96"/>
      <c r="I60" s="125"/>
      <c r="J60" s="125"/>
    </row>
    <row r="61" spans="2:10" ht="14" x14ac:dyDescent="0.25">
      <c r="B61" s="30" t="str">
        <f t="shared" si="0"/>
        <v/>
      </c>
      <c r="C61" s="118"/>
      <c r="D61" s="110"/>
      <c r="E61" s="96"/>
      <c r="F61" s="96"/>
      <c r="G61" s="125"/>
      <c r="H61" s="96"/>
      <c r="I61" s="125"/>
      <c r="J61" s="125"/>
    </row>
    <row r="62" spans="2:10" ht="14" x14ac:dyDescent="0.25">
      <c r="B62" s="30" t="str">
        <f t="shared" si="0"/>
        <v/>
      </c>
      <c r="C62" s="118"/>
      <c r="D62" s="107"/>
      <c r="E62" s="96"/>
      <c r="F62" s="96"/>
      <c r="G62" s="125"/>
      <c r="H62" s="96"/>
      <c r="I62" s="125"/>
      <c r="J62" s="125"/>
    </row>
    <row r="63" spans="2:10" ht="14" x14ac:dyDescent="0.25">
      <c r="B63" s="30" t="str">
        <f t="shared" si="0"/>
        <v/>
      </c>
      <c r="C63" s="118"/>
      <c r="D63" s="104"/>
      <c r="E63" s="96"/>
      <c r="F63" s="99"/>
      <c r="G63" s="125"/>
      <c r="H63" s="96"/>
      <c r="I63" s="125"/>
      <c r="J63" s="125"/>
    </row>
    <row r="64" spans="2:10" x14ac:dyDescent="0.25">
      <c r="B64" s="30" t="str">
        <f t="shared" si="0"/>
        <v/>
      </c>
      <c r="C64" s="118"/>
      <c r="D64" s="114"/>
      <c r="E64" s="96"/>
      <c r="F64" s="96"/>
      <c r="G64" s="125"/>
      <c r="H64" s="96"/>
      <c r="I64" s="125"/>
      <c r="J64" s="125"/>
    </row>
    <row r="65" spans="2:14" x14ac:dyDescent="0.25">
      <c r="B65" s="30" t="str">
        <f t="shared" si="0"/>
        <v/>
      </c>
      <c r="C65" s="118"/>
      <c r="D65" s="114"/>
      <c r="E65" s="96"/>
      <c r="F65" s="96"/>
      <c r="G65" s="125"/>
      <c r="H65" s="96"/>
      <c r="I65" s="125"/>
      <c r="J65" s="125"/>
    </row>
    <row r="66" spans="2:14" x14ac:dyDescent="0.25">
      <c r="B66" s="30" t="str">
        <f t="shared" si="0"/>
        <v/>
      </c>
      <c r="C66" s="118"/>
      <c r="D66" s="116"/>
      <c r="E66" s="96"/>
      <c r="F66" s="112"/>
      <c r="G66" s="125"/>
      <c r="H66" s="96"/>
      <c r="I66" s="125"/>
      <c r="J66" s="125"/>
    </row>
    <row r="67" spans="2:14" ht="14" x14ac:dyDescent="0.25">
      <c r="B67" s="30" t="str">
        <f t="shared" ref="B67:B130" si="1">IF(LEN(C67),C67,"")</f>
        <v/>
      </c>
      <c r="C67" s="118"/>
      <c r="D67" s="102"/>
      <c r="E67" s="96"/>
      <c r="F67" s="99"/>
      <c r="G67" s="125"/>
      <c r="H67" s="96"/>
      <c r="I67" s="125"/>
      <c r="J67" s="125"/>
    </row>
    <row r="68" spans="2:14" ht="14" x14ac:dyDescent="0.25">
      <c r="B68" s="30" t="str">
        <f t="shared" si="1"/>
        <v/>
      </c>
      <c r="C68" s="118"/>
      <c r="D68" s="102"/>
      <c r="E68" s="96"/>
      <c r="F68" s="99"/>
      <c r="G68" s="125"/>
      <c r="H68" s="96"/>
      <c r="I68" s="125"/>
      <c r="J68" s="125"/>
    </row>
    <row r="69" spans="2:14" ht="14" x14ac:dyDescent="0.25">
      <c r="B69" s="30" t="str">
        <f t="shared" si="1"/>
        <v/>
      </c>
      <c r="C69" s="118"/>
      <c r="D69" s="104"/>
      <c r="E69" s="96"/>
      <c r="F69" s="104"/>
      <c r="G69" s="125"/>
      <c r="H69" s="96"/>
      <c r="I69" s="125"/>
      <c r="J69" s="125"/>
    </row>
    <row r="70" spans="2:14" ht="14" x14ac:dyDescent="0.25">
      <c r="B70" s="30" t="str">
        <f t="shared" si="1"/>
        <v/>
      </c>
      <c r="C70" s="118"/>
      <c r="D70" s="102"/>
      <c r="E70" s="96"/>
      <c r="F70" s="98"/>
      <c r="G70" s="125"/>
      <c r="H70" s="96"/>
      <c r="I70" s="125"/>
      <c r="J70" s="125"/>
      <c r="L70" s="35"/>
      <c r="M70" s="35"/>
      <c r="N70" s="35"/>
    </row>
    <row r="71" spans="2:14" ht="14" x14ac:dyDescent="0.25">
      <c r="B71" s="30" t="str">
        <f t="shared" si="1"/>
        <v/>
      </c>
      <c r="C71" s="118"/>
      <c r="D71" s="102"/>
      <c r="E71" s="96"/>
      <c r="F71" s="98"/>
      <c r="G71" s="125"/>
      <c r="H71" s="96"/>
      <c r="I71" s="125"/>
      <c r="J71" s="125"/>
      <c r="L71" s="35"/>
      <c r="M71" s="35"/>
      <c r="N71" s="35"/>
    </row>
    <row r="72" spans="2:14" ht="14" x14ac:dyDescent="0.25">
      <c r="B72" s="30" t="str">
        <f t="shared" si="1"/>
        <v/>
      </c>
      <c r="C72" s="118"/>
      <c r="D72" s="111"/>
      <c r="E72" s="96"/>
      <c r="F72" s="98"/>
      <c r="G72" s="125"/>
      <c r="H72" s="96"/>
      <c r="I72" s="125"/>
      <c r="J72" s="125"/>
      <c r="L72" s="35"/>
      <c r="M72" s="35"/>
      <c r="N72" s="35"/>
    </row>
    <row r="73" spans="2:14" ht="14" x14ac:dyDescent="0.25">
      <c r="B73" s="30" t="str">
        <f t="shared" si="1"/>
        <v/>
      </c>
      <c r="C73" s="118"/>
      <c r="D73" s="107"/>
      <c r="E73" s="96"/>
      <c r="F73" s="99"/>
      <c r="G73" s="125"/>
      <c r="H73" s="96"/>
      <c r="I73" s="125"/>
      <c r="J73" s="125"/>
      <c r="L73" s="35"/>
      <c r="M73" s="35"/>
      <c r="N73" s="35"/>
    </row>
    <row r="74" spans="2:14" ht="15" x14ac:dyDescent="0.25">
      <c r="B74" s="30" t="str">
        <f t="shared" si="1"/>
        <v/>
      </c>
      <c r="C74" s="118"/>
      <c r="D74" s="104"/>
      <c r="E74" s="96"/>
      <c r="F74" s="105"/>
      <c r="G74" s="125"/>
      <c r="H74" s="96"/>
      <c r="I74" s="125"/>
      <c r="J74" s="125"/>
      <c r="L74" s="35"/>
      <c r="M74" s="35"/>
      <c r="N74" s="35"/>
    </row>
    <row r="75" spans="2:14" ht="14" x14ac:dyDescent="0.25">
      <c r="B75" s="30" t="str">
        <f t="shared" si="1"/>
        <v/>
      </c>
      <c r="C75" s="118"/>
      <c r="D75" s="107"/>
      <c r="E75" s="98"/>
      <c r="F75" s="99"/>
      <c r="G75" s="124"/>
      <c r="H75" s="96"/>
      <c r="I75" s="125"/>
      <c r="J75" s="125"/>
      <c r="L75" s="35"/>
      <c r="M75" s="35"/>
      <c r="N75" s="35"/>
    </row>
    <row r="76" spans="2:14" x14ac:dyDescent="0.25">
      <c r="B76" s="30" t="str">
        <f t="shared" si="1"/>
        <v/>
      </c>
      <c r="C76" s="118"/>
      <c r="D76" s="116"/>
      <c r="E76" s="112"/>
      <c r="F76" s="112"/>
      <c r="G76" s="123"/>
      <c r="H76" s="96"/>
      <c r="I76" s="125"/>
      <c r="J76" s="125"/>
      <c r="L76" s="35"/>
      <c r="M76" s="35"/>
      <c r="N76" s="35"/>
    </row>
    <row r="77" spans="2:14" x14ac:dyDescent="0.25">
      <c r="B77" s="30" t="str">
        <f t="shared" si="1"/>
        <v/>
      </c>
      <c r="C77" s="118"/>
      <c r="D77" s="115"/>
      <c r="E77" s="115"/>
      <c r="F77" s="115"/>
      <c r="G77" s="130"/>
      <c r="H77" s="96"/>
      <c r="I77" s="125"/>
      <c r="J77" s="125"/>
      <c r="L77" s="35"/>
      <c r="M77" s="35"/>
      <c r="N77" s="35"/>
    </row>
    <row r="78" spans="2:14" ht="14" x14ac:dyDescent="0.25">
      <c r="B78" s="30" t="str">
        <f t="shared" si="1"/>
        <v/>
      </c>
      <c r="C78" s="118"/>
      <c r="D78" s="104"/>
      <c r="E78" s="98"/>
      <c r="F78" s="98"/>
      <c r="G78" s="124"/>
      <c r="H78" s="96"/>
      <c r="I78" s="125"/>
      <c r="J78" s="125"/>
      <c r="L78" s="35"/>
      <c r="M78" s="35"/>
      <c r="N78" s="35"/>
    </row>
    <row r="79" spans="2:14" ht="14" x14ac:dyDescent="0.25">
      <c r="B79" s="30" t="str">
        <f t="shared" si="1"/>
        <v/>
      </c>
      <c r="C79" s="118"/>
      <c r="D79" s="104"/>
      <c r="E79" s="98"/>
      <c r="F79" s="99"/>
      <c r="G79" s="124"/>
      <c r="H79" s="96"/>
      <c r="I79" s="125"/>
      <c r="J79" s="125"/>
    </row>
    <row r="80" spans="2:14" ht="14" x14ac:dyDescent="0.25">
      <c r="B80" s="30" t="str">
        <f t="shared" si="1"/>
        <v/>
      </c>
      <c r="C80" s="118"/>
      <c r="D80" s="102"/>
      <c r="E80" s="100"/>
      <c r="F80" s="99"/>
      <c r="G80" s="127"/>
      <c r="H80" s="96"/>
      <c r="I80" s="125"/>
      <c r="J80" s="125"/>
    </row>
    <row r="81" spans="2:10" ht="14" x14ac:dyDescent="0.25">
      <c r="B81" s="30" t="str">
        <f t="shared" si="1"/>
        <v/>
      </c>
      <c r="C81" s="118"/>
      <c r="D81" s="119"/>
      <c r="E81" s="98"/>
      <c r="F81" s="98"/>
      <c r="G81" s="124"/>
      <c r="H81" s="96"/>
      <c r="I81" s="125"/>
      <c r="J81" s="125"/>
    </row>
    <row r="82" spans="2:10" ht="14" x14ac:dyDescent="0.25">
      <c r="B82" s="30" t="str">
        <f t="shared" si="1"/>
        <v/>
      </c>
      <c r="C82" s="118"/>
      <c r="D82" s="119"/>
      <c r="E82" s="99"/>
      <c r="F82" s="100"/>
      <c r="G82" s="128"/>
      <c r="H82" s="96"/>
      <c r="I82" s="125"/>
      <c r="J82" s="125"/>
    </row>
    <row r="83" spans="2:10" ht="15" x14ac:dyDescent="0.3">
      <c r="B83" s="30" t="str">
        <f t="shared" si="1"/>
        <v/>
      </c>
      <c r="C83" s="118"/>
      <c r="D83" s="104"/>
      <c r="E83" s="120"/>
      <c r="F83" s="99"/>
      <c r="G83" s="131"/>
      <c r="H83" s="96"/>
      <c r="I83" s="125"/>
      <c r="J83" s="125"/>
    </row>
    <row r="84" spans="2:10" ht="14" x14ac:dyDescent="0.25">
      <c r="B84" s="30" t="str">
        <f t="shared" si="1"/>
        <v/>
      </c>
      <c r="C84" s="118"/>
      <c r="D84" s="104"/>
      <c r="E84" s="100"/>
      <c r="F84" s="98"/>
      <c r="G84" s="127"/>
      <c r="H84" s="96"/>
      <c r="I84" s="125"/>
      <c r="J84" s="125"/>
    </row>
    <row r="85" spans="2:10" ht="14" x14ac:dyDescent="0.25">
      <c r="B85" s="30" t="str">
        <f t="shared" si="1"/>
        <v/>
      </c>
      <c r="C85" s="118"/>
      <c r="D85" s="102"/>
      <c r="E85" s="100"/>
      <c r="F85" s="100"/>
      <c r="G85" s="127"/>
      <c r="H85" s="96"/>
      <c r="I85" s="125"/>
      <c r="J85" s="125"/>
    </row>
    <row r="86" spans="2:10" ht="14" x14ac:dyDescent="0.25">
      <c r="B86" s="30" t="str">
        <f t="shared" si="1"/>
        <v/>
      </c>
      <c r="C86" s="118"/>
      <c r="D86" s="119"/>
      <c r="E86" s="113"/>
      <c r="F86" s="113"/>
      <c r="G86" s="132"/>
      <c r="H86" s="96"/>
      <c r="I86" s="125"/>
      <c r="J86" s="125"/>
    </row>
    <row r="87" spans="2:10" ht="14" x14ac:dyDescent="0.25">
      <c r="B87" s="30" t="str">
        <f t="shared" si="1"/>
        <v/>
      </c>
      <c r="C87" s="118"/>
      <c r="D87" s="117"/>
      <c r="E87" s="98"/>
      <c r="F87" s="98"/>
      <c r="G87" s="124"/>
      <c r="H87" s="96"/>
      <c r="I87" s="125"/>
      <c r="J87" s="125"/>
    </row>
    <row r="88" spans="2:10" ht="14" x14ac:dyDescent="0.25">
      <c r="B88" s="30" t="str">
        <f t="shared" si="1"/>
        <v/>
      </c>
      <c r="C88" s="118"/>
      <c r="D88" s="102"/>
      <c r="E88" s="100"/>
      <c r="F88" s="98"/>
      <c r="G88" s="127"/>
      <c r="H88" s="96"/>
      <c r="I88" s="125"/>
      <c r="J88" s="125"/>
    </row>
    <row r="89" spans="2:10" ht="14" x14ac:dyDescent="0.25">
      <c r="B89" s="30" t="str">
        <f t="shared" si="1"/>
        <v/>
      </c>
      <c r="C89" s="118"/>
      <c r="D89" s="117"/>
      <c r="E89" s="98"/>
      <c r="F89" s="98"/>
      <c r="G89" s="124"/>
      <c r="H89" s="96"/>
      <c r="I89" s="125"/>
      <c r="J89" s="125"/>
    </row>
    <row r="90" spans="2:10" ht="14" x14ac:dyDescent="0.25">
      <c r="B90" s="30" t="str">
        <f t="shared" si="1"/>
        <v/>
      </c>
      <c r="C90" s="118"/>
      <c r="D90" s="117"/>
      <c r="E90" s="98"/>
      <c r="F90" s="98"/>
      <c r="G90" s="124"/>
      <c r="H90" s="96"/>
      <c r="I90" s="125"/>
      <c r="J90" s="125"/>
    </row>
    <row r="91" spans="2:10" ht="15" x14ac:dyDescent="0.35">
      <c r="B91" s="30" t="str">
        <f t="shared" si="1"/>
        <v/>
      </c>
      <c r="C91" s="118"/>
      <c r="D91" s="98"/>
      <c r="E91" s="109"/>
      <c r="F91" s="112"/>
      <c r="G91" s="126"/>
      <c r="H91" s="96"/>
      <c r="I91" s="125"/>
      <c r="J91" s="125"/>
    </row>
    <row r="92" spans="2:10" ht="14" x14ac:dyDescent="0.25">
      <c r="B92" s="30" t="str">
        <f t="shared" si="1"/>
        <v/>
      </c>
      <c r="C92" s="118"/>
      <c r="D92" s="117"/>
      <c r="E92" s="98"/>
      <c r="F92" s="98"/>
      <c r="G92" s="124"/>
      <c r="H92" s="96"/>
      <c r="I92" s="125"/>
      <c r="J92" s="125"/>
    </row>
    <row r="93" spans="2:10" ht="14" x14ac:dyDescent="0.25">
      <c r="B93" s="30" t="str">
        <f t="shared" si="1"/>
        <v/>
      </c>
      <c r="C93" s="118"/>
      <c r="D93" s="121"/>
      <c r="E93" s="98"/>
      <c r="F93" s="98"/>
      <c r="G93" s="124"/>
      <c r="H93" s="96"/>
      <c r="I93" s="125"/>
      <c r="J93" s="125"/>
    </row>
    <row r="94" spans="2:10" ht="14" x14ac:dyDescent="0.25">
      <c r="B94" s="30" t="str">
        <f t="shared" si="1"/>
        <v/>
      </c>
      <c r="C94" s="118"/>
      <c r="D94" s="119"/>
      <c r="E94" s="113"/>
      <c r="F94" s="113"/>
      <c r="G94" s="132"/>
      <c r="H94" s="96"/>
      <c r="I94" s="125"/>
      <c r="J94" s="125"/>
    </row>
    <row r="95" spans="2:10" ht="14" x14ac:dyDescent="0.25">
      <c r="B95" s="30" t="str">
        <f t="shared" si="1"/>
        <v/>
      </c>
      <c r="C95" s="118"/>
      <c r="D95" s="119"/>
      <c r="E95" s="113"/>
      <c r="F95" s="113"/>
      <c r="G95" s="132"/>
      <c r="H95" s="96"/>
      <c r="I95" s="125"/>
      <c r="J95" s="125"/>
    </row>
    <row r="96" spans="2:10" ht="14" x14ac:dyDescent="0.25">
      <c r="B96" s="30" t="str">
        <f t="shared" si="1"/>
        <v/>
      </c>
      <c r="C96" s="118"/>
      <c r="D96" s="104"/>
      <c r="E96" s="98"/>
      <c r="F96" s="98"/>
      <c r="G96" s="124"/>
      <c r="H96" s="96"/>
      <c r="I96" s="125"/>
      <c r="J96" s="125"/>
    </row>
    <row r="97" spans="2:10" ht="14" x14ac:dyDescent="0.25">
      <c r="B97" s="30" t="str">
        <f t="shared" si="1"/>
        <v/>
      </c>
      <c r="C97" s="118"/>
      <c r="D97" s="101"/>
      <c r="E97" s="101"/>
      <c r="F97" s="101"/>
      <c r="G97" s="122"/>
      <c r="H97" s="101"/>
      <c r="I97" s="122"/>
      <c r="J97" s="122"/>
    </row>
    <row r="98" spans="2:10" x14ac:dyDescent="0.25">
      <c r="B98" s="30" t="str">
        <f t="shared" si="1"/>
        <v/>
      </c>
    </row>
    <row r="99" spans="2:10" x14ac:dyDescent="0.25">
      <c r="B99" s="30" t="str">
        <f t="shared" si="1"/>
        <v/>
      </c>
    </row>
    <row r="100" spans="2:10" x14ac:dyDescent="0.25">
      <c r="B100" s="30" t="str">
        <f t="shared" si="1"/>
        <v/>
      </c>
    </row>
    <row r="101" spans="2:10" x14ac:dyDescent="0.25">
      <c r="B101" s="30" t="str">
        <f t="shared" si="1"/>
        <v/>
      </c>
    </row>
    <row r="102" spans="2:10" x14ac:dyDescent="0.25">
      <c r="B102" s="30" t="str">
        <f t="shared" si="1"/>
        <v/>
      </c>
    </row>
    <row r="103" spans="2:10" x14ac:dyDescent="0.25">
      <c r="B103" s="30" t="str">
        <f t="shared" si="1"/>
        <v/>
      </c>
    </row>
    <row r="104" spans="2:10" x14ac:dyDescent="0.25">
      <c r="B104" s="30" t="str">
        <f t="shared" si="1"/>
        <v/>
      </c>
    </row>
    <row r="105" spans="2:10" x14ac:dyDescent="0.25">
      <c r="B105" s="30" t="str">
        <f t="shared" si="1"/>
        <v/>
      </c>
    </row>
    <row r="106" spans="2:10" x14ac:dyDescent="0.25">
      <c r="B106" s="30" t="str">
        <f t="shared" si="1"/>
        <v/>
      </c>
    </row>
    <row r="107" spans="2:10" x14ac:dyDescent="0.25">
      <c r="B107" s="30" t="str">
        <f t="shared" si="1"/>
        <v/>
      </c>
    </row>
    <row r="108" spans="2:10" x14ac:dyDescent="0.25">
      <c r="B108" s="30" t="str">
        <f t="shared" si="1"/>
        <v/>
      </c>
    </row>
    <row r="109" spans="2:10" x14ac:dyDescent="0.25">
      <c r="B109" s="30" t="str">
        <f t="shared" si="1"/>
        <v/>
      </c>
    </row>
    <row r="110" spans="2:10" x14ac:dyDescent="0.25">
      <c r="B110" s="30" t="str">
        <f t="shared" si="1"/>
        <v/>
      </c>
    </row>
    <row r="111" spans="2:10" x14ac:dyDescent="0.25">
      <c r="B111" s="30" t="str">
        <f t="shared" si="1"/>
        <v/>
      </c>
    </row>
    <row r="112" spans="2:10" x14ac:dyDescent="0.25">
      <c r="B112" s="30" t="str">
        <f t="shared" si="1"/>
        <v/>
      </c>
    </row>
    <row r="113" spans="2:2" x14ac:dyDescent="0.25">
      <c r="B113" s="30" t="str">
        <f t="shared" si="1"/>
        <v/>
      </c>
    </row>
    <row r="114" spans="2:2" x14ac:dyDescent="0.25">
      <c r="B114" s="30" t="str">
        <f t="shared" si="1"/>
        <v/>
      </c>
    </row>
    <row r="115" spans="2:2" x14ac:dyDescent="0.25">
      <c r="B115" s="30" t="str">
        <f t="shared" si="1"/>
        <v/>
      </c>
    </row>
    <row r="116" spans="2:2" x14ac:dyDescent="0.25">
      <c r="B116" s="30" t="str">
        <f t="shared" si="1"/>
        <v/>
      </c>
    </row>
    <row r="117" spans="2:2" x14ac:dyDescent="0.25">
      <c r="B117" s="30" t="str">
        <f t="shared" si="1"/>
        <v/>
      </c>
    </row>
    <row r="118" spans="2:2" x14ac:dyDescent="0.25">
      <c r="B118" s="30" t="str">
        <f t="shared" si="1"/>
        <v/>
      </c>
    </row>
    <row r="119" spans="2:2" x14ac:dyDescent="0.25">
      <c r="B119" s="30" t="str">
        <f t="shared" si="1"/>
        <v/>
      </c>
    </row>
    <row r="120" spans="2:2" x14ac:dyDescent="0.25">
      <c r="B120" s="30" t="str">
        <f t="shared" si="1"/>
        <v/>
      </c>
    </row>
    <row r="121" spans="2:2" x14ac:dyDescent="0.25">
      <c r="B121" s="30" t="str">
        <f t="shared" si="1"/>
        <v/>
      </c>
    </row>
    <row r="122" spans="2:2" x14ac:dyDescent="0.25">
      <c r="B122" s="30" t="str">
        <f t="shared" si="1"/>
        <v/>
      </c>
    </row>
    <row r="123" spans="2:2" x14ac:dyDescent="0.25">
      <c r="B123" s="30" t="str">
        <f t="shared" si="1"/>
        <v/>
      </c>
    </row>
    <row r="124" spans="2:2" x14ac:dyDescent="0.25">
      <c r="B124" s="30" t="str">
        <f t="shared" si="1"/>
        <v/>
      </c>
    </row>
    <row r="125" spans="2:2" x14ac:dyDescent="0.25">
      <c r="B125" s="30" t="str">
        <f t="shared" si="1"/>
        <v/>
      </c>
    </row>
    <row r="126" spans="2:2" x14ac:dyDescent="0.25">
      <c r="B126" s="30" t="str">
        <f t="shared" si="1"/>
        <v/>
      </c>
    </row>
    <row r="127" spans="2:2" x14ac:dyDescent="0.25">
      <c r="B127" s="30" t="str">
        <f t="shared" si="1"/>
        <v/>
      </c>
    </row>
    <row r="128" spans="2:2" x14ac:dyDescent="0.25">
      <c r="B128" s="30" t="str">
        <f t="shared" si="1"/>
        <v/>
      </c>
    </row>
    <row r="129" spans="2:2" x14ac:dyDescent="0.25">
      <c r="B129" s="30" t="str">
        <f t="shared" si="1"/>
        <v/>
      </c>
    </row>
    <row r="130" spans="2:2" x14ac:dyDescent="0.25">
      <c r="B130" s="30" t="str">
        <f t="shared" si="1"/>
        <v/>
      </c>
    </row>
    <row r="131" spans="2:2" x14ac:dyDescent="0.25">
      <c r="B131" s="30" t="str">
        <f t="shared" ref="B131:B194" si="2">IF(LEN(C131),C131,"")</f>
        <v/>
      </c>
    </row>
    <row r="132" spans="2:2" x14ac:dyDescent="0.25">
      <c r="B132" s="30" t="str">
        <f t="shared" si="2"/>
        <v/>
      </c>
    </row>
    <row r="133" spans="2:2" x14ac:dyDescent="0.25">
      <c r="B133" s="30" t="str">
        <f t="shared" si="2"/>
        <v/>
      </c>
    </row>
    <row r="134" spans="2:2" x14ac:dyDescent="0.25">
      <c r="B134" s="30" t="str">
        <f t="shared" si="2"/>
        <v/>
      </c>
    </row>
    <row r="135" spans="2:2" x14ac:dyDescent="0.25">
      <c r="B135" s="30" t="str">
        <f t="shared" si="2"/>
        <v/>
      </c>
    </row>
    <row r="136" spans="2:2" x14ac:dyDescent="0.25">
      <c r="B136" s="30" t="str">
        <f t="shared" si="2"/>
        <v/>
      </c>
    </row>
    <row r="137" spans="2:2" x14ac:dyDescent="0.25">
      <c r="B137" s="30" t="str">
        <f t="shared" si="2"/>
        <v/>
      </c>
    </row>
    <row r="138" spans="2:2" x14ac:dyDescent="0.25">
      <c r="B138" s="30" t="str">
        <f t="shared" si="2"/>
        <v/>
      </c>
    </row>
    <row r="139" spans="2:2" x14ac:dyDescent="0.25">
      <c r="B139" s="30" t="str">
        <f t="shared" si="2"/>
        <v/>
      </c>
    </row>
    <row r="140" spans="2:2" x14ac:dyDescent="0.25">
      <c r="B140" s="30" t="str">
        <f t="shared" si="2"/>
        <v/>
      </c>
    </row>
    <row r="141" spans="2:2" x14ac:dyDescent="0.25">
      <c r="B141" s="30" t="str">
        <f t="shared" si="2"/>
        <v/>
      </c>
    </row>
    <row r="142" spans="2:2" x14ac:dyDescent="0.25">
      <c r="B142" s="30" t="str">
        <f t="shared" si="2"/>
        <v/>
      </c>
    </row>
    <row r="143" spans="2:2" x14ac:dyDescent="0.25">
      <c r="B143" s="30" t="str">
        <f t="shared" si="2"/>
        <v/>
      </c>
    </row>
    <row r="144" spans="2:2" x14ac:dyDescent="0.25">
      <c r="B144" s="30" t="str">
        <f t="shared" si="2"/>
        <v/>
      </c>
    </row>
    <row r="145" spans="2:2" x14ac:dyDescent="0.25">
      <c r="B145" s="30" t="str">
        <f t="shared" si="2"/>
        <v/>
      </c>
    </row>
    <row r="146" spans="2:2" x14ac:dyDescent="0.25">
      <c r="B146" s="30" t="str">
        <f t="shared" si="2"/>
        <v/>
      </c>
    </row>
    <row r="147" spans="2:2" x14ac:dyDescent="0.25">
      <c r="B147" s="30" t="str">
        <f t="shared" si="2"/>
        <v/>
      </c>
    </row>
    <row r="148" spans="2:2" x14ac:dyDescent="0.25">
      <c r="B148" s="30" t="str">
        <f t="shared" si="2"/>
        <v/>
      </c>
    </row>
    <row r="149" spans="2:2" x14ac:dyDescent="0.25">
      <c r="B149" s="30" t="str">
        <f t="shared" si="2"/>
        <v/>
      </c>
    </row>
    <row r="150" spans="2:2" x14ac:dyDescent="0.25">
      <c r="B150" s="30" t="str">
        <f t="shared" si="2"/>
        <v/>
      </c>
    </row>
    <row r="151" spans="2:2" x14ac:dyDescent="0.25">
      <c r="B151" s="30" t="str">
        <f t="shared" si="2"/>
        <v/>
      </c>
    </row>
    <row r="152" spans="2:2" x14ac:dyDescent="0.25">
      <c r="B152" s="30" t="str">
        <f t="shared" si="2"/>
        <v/>
      </c>
    </row>
    <row r="153" spans="2:2" x14ac:dyDescent="0.25">
      <c r="B153" s="30" t="str">
        <f t="shared" si="2"/>
        <v/>
      </c>
    </row>
    <row r="154" spans="2:2" x14ac:dyDescent="0.25">
      <c r="B154" s="30" t="str">
        <f t="shared" si="2"/>
        <v/>
      </c>
    </row>
    <row r="155" spans="2:2" x14ac:dyDescent="0.25">
      <c r="B155" s="30" t="str">
        <f t="shared" si="2"/>
        <v/>
      </c>
    </row>
    <row r="156" spans="2:2" x14ac:dyDescent="0.25">
      <c r="B156" s="30" t="str">
        <f t="shared" si="2"/>
        <v/>
      </c>
    </row>
    <row r="157" spans="2:2" x14ac:dyDescent="0.25">
      <c r="B157" s="30" t="str">
        <f t="shared" si="2"/>
        <v/>
      </c>
    </row>
    <row r="158" spans="2:2" x14ac:dyDescent="0.25">
      <c r="B158" s="30" t="str">
        <f t="shared" si="2"/>
        <v/>
      </c>
    </row>
    <row r="159" spans="2:2" x14ac:dyDescent="0.25">
      <c r="B159" s="30" t="str">
        <f t="shared" si="2"/>
        <v/>
      </c>
    </row>
    <row r="160" spans="2:2" x14ac:dyDescent="0.25">
      <c r="B160" s="30" t="str">
        <f t="shared" si="2"/>
        <v/>
      </c>
    </row>
    <row r="161" spans="1:14" x14ac:dyDescent="0.25">
      <c r="B161" s="30" t="str">
        <f t="shared" si="2"/>
        <v/>
      </c>
    </row>
    <row r="162" spans="1:14" x14ac:dyDescent="0.25">
      <c r="A162" s="1"/>
      <c r="B162" s="30" t="str">
        <f t="shared" si="2"/>
        <v/>
      </c>
      <c r="C162" s="5"/>
      <c r="D162" s="48"/>
      <c r="E162" s="49"/>
      <c r="F162" s="49"/>
      <c r="G162" s="5"/>
      <c r="H162" s="16"/>
      <c r="I162" s="5"/>
      <c r="J162" s="5"/>
      <c r="K162" s="12"/>
      <c r="L162" s="12"/>
      <c r="M162" s="12"/>
      <c r="N162" s="4" t="s">
        <v>4</v>
      </c>
    </row>
    <row r="163" spans="1:14" x14ac:dyDescent="0.25">
      <c r="A163" s="1"/>
      <c r="B163" s="30" t="str">
        <f t="shared" si="2"/>
        <v/>
      </c>
      <c r="C163" s="5"/>
      <c r="D163" s="48"/>
      <c r="E163" s="49"/>
      <c r="F163" s="49"/>
      <c r="G163" s="5"/>
      <c r="H163" s="16"/>
      <c r="I163" s="5"/>
      <c r="J163" s="5"/>
      <c r="K163" s="17"/>
      <c r="L163" s="12"/>
      <c r="M163" s="12"/>
      <c r="N163" s="4" t="s">
        <v>5</v>
      </c>
    </row>
    <row r="164" spans="1:14" x14ac:dyDescent="0.25">
      <c r="B164" s="30" t="str">
        <f t="shared" si="2"/>
        <v/>
      </c>
    </row>
    <row r="165" spans="1:14" x14ac:dyDescent="0.25">
      <c r="B165" s="30" t="str">
        <f t="shared" si="2"/>
        <v/>
      </c>
    </row>
    <row r="166" spans="1:14" x14ac:dyDescent="0.25">
      <c r="B166" s="30" t="str">
        <f t="shared" si="2"/>
        <v/>
      </c>
    </row>
    <row r="167" spans="1:14" x14ac:dyDescent="0.25">
      <c r="B167" s="30" t="str">
        <f t="shared" si="2"/>
        <v/>
      </c>
    </row>
    <row r="168" spans="1:14" x14ac:dyDescent="0.25">
      <c r="B168" s="30" t="str">
        <f t="shared" si="2"/>
        <v/>
      </c>
    </row>
    <row r="169" spans="1:14" x14ac:dyDescent="0.25">
      <c r="B169" s="30" t="str">
        <f t="shared" si="2"/>
        <v/>
      </c>
    </row>
    <row r="170" spans="1:14" x14ac:dyDescent="0.25">
      <c r="B170" s="30" t="str">
        <f t="shared" si="2"/>
        <v/>
      </c>
    </row>
    <row r="171" spans="1:14" x14ac:dyDescent="0.25">
      <c r="B171" s="30" t="str">
        <f t="shared" si="2"/>
        <v/>
      </c>
    </row>
    <row r="172" spans="1:14" x14ac:dyDescent="0.25">
      <c r="B172" s="30" t="str">
        <f t="shared" si="2"/>
        <v/>
      </c>
    </row>
    <row r="173" spans="1:14" x14ac:dyDescent="0.25">
      <c r="B173" s="30" t="str">
        <f t="shared" si="2"/>
        <v/>
      </c>
    </row>
    <row r="174" spans="1:14" x14ac:dyDescent="0.25">
      <c r="B174" s="30" t="str">
        <f t="shared" si="2"/>
        <v/>
      </c>
    </row>
    <row r="175" spans="1:14" x14ac:dyDescent="0.25">
      <c r="B175" s="30" t="str">
        <f t="shared" si="2"/>
        <v/>
      </c>
    </row>
    <row r="176" spans="1:14" x14ac:dyDescent="0.25">
      <c r="B176" s="30" t="str">
        <f t="shared" si="2"/>
        <v/>
      </c>
    </row>
    <row r="177" spans="2:2" x14ac:dyDescent="0.25">
      <c r="B177" s="30" t="str">
        <f t="shared" si="2"/>
        <v/>
      </c>
    </row>
    <row r="178" spans="2:2" x14ac:dyDescent="0.25">
      <c r="B178" s="30" t="str">
        <f t="shared" si="2"/>
        <v/>
      </c>
    </row>
    <row r="179" spans="2:2" x14ac:dyDescent="0.25">
      <c r="B179" s="30" t="str">
        <f t="shared" si="2"/>
        <v/>
      </c>
    </row>
    <row r="180" spans="2:2" x14ac:dyDescent="0.25">
      <c r="B180" s="30" t="str">
        <f t="shared" si="2"/>
        <v/>
      </c>
    </row>
    <row r="181" spans="2:2" x14ac:dyDescent="0.25">
      <c r="B181" s="30" t="str">
        <f t="shared" si="2"/>
        <v/>
      </c>
    </row>
    <row r="182" spans="2:2" x14ac:dyDescent="0.25">
      <c r="B182" s="30" t="str">
        <f t="shared" si="2"/>
        <v/>
      </c>
    </row>
    <row r="183" spans="2:2" x14ac:dyDescent="0.25">
      <c r="B183" s="30" t="str">
        <f t="shared" si="2"/>
        <v/>
      </c>
    </row>
    <row r="184" spans="2:2" x14ac:dyDescent="0.25">
      <c r="B184" s="30" t="str">
        <f t="shared" si="2"/>
        <v/>
      </c>
    </row>
    <row r="185" spans="2:2" x14ac:dyDescent="0.25">
      <c r="B185" s="30" t="str">
        <f t="shared" si="2"/>
        <v/>
      </c>
    </row>
    <row r="186" spans="2:2" x14ac:dyDescent="0.25">
      <c r="B186" s="30" t="str">
        <f t="shared" si="2"/>
        <v/>
      </c>
    </row>
    <row r="187" spans="2:2" x14ac:dyDescent="0.25">
      <c r="B187" s="30" t="str">
        <f t="shared" si="2"/>
        <v/>
      </c>
    </row>
    <row r="188" spans="2:2" x14ac:dyDescent="0.25">
      <c r="B188" s="30" t="str">
        <f t="shared" si="2"/>
        <v/>
      </c>
    </row>
    <row r="189" spans="2:2" x14ac:dyDescent="0.25">
      <c r="B189" s="30" t="str">
        <f t="shared" si="2"/>
        <v/>
      </c>
    </row>
    <row r="190" spans="2:2" x14ac:dyDescent="0.25">
      <c r="B190" s="30" t="str">
        <f t="shared" si="2"/>
        <v/>
      </c>
    </row>
    <row r="191" spans="2:2" x14ac:dyDescent="0.25">
      <c r="B191" s="30" t="str">
        <f t="shared" si="2"/>
        <v/>
      </c>
    </row>
    <row r="192" spans="2:2" x14ac:dyDescent="0.25">
      <c r="B192" s="30" t="str">
        <f t="shared" si="2"/>
        <v/>
      </c>
    </row>
    <row r="193" spans="2:2" x14ac:dyDescent="0.25">
      <c r="B193" s="30" t="str">
        <f t="shared" si="2"/>
        <v/>
      </c>
    </row>
    <row r="194" spans="2:2" x14ac:dyDescent="0.25">
      <c r="B194" s="30" t="str">
        <f t="shared" si="2"/>
        <v/>
      </c>
    </row>
    <row r="195" spans="2:2" x14ac:dyDescent="0.25">
      <c r="B195" s="30" t="str">
        <f t="shared" ref="B195:B258" si="3">IF(LEN(C195),C195,"")</f>
        <v/>
      </c>
    </row>
    <row r="196" spans="2:2" x14ac:dyDescent="0.25">
      <c r="B196" s="30" t="str">
        <f t="shared" si="3"/>
        <v/>
      </c>
    </row>
    <row r="197" spans="2:2" x14ac:dyDescent="0.25">
      <c r="B197" s="30" t="str">
        <f t="shared" si="3"/>
        <v/>
      </c>
    </row>
    <row r="198" spans="2:2" x14ac:dyDescent="0.25">
      <c r="B198" s="30" t="str">
        <f t="shared" si="3"/>
        <v/>
      </c>
    </row>
    <row r="199" spans="2:2" x14ac:dyDescent="0.25">
      <c r="B199" s="30" t="str">
        <f t="shared" si="3"/>
        <v/>
      </c>
    </row>
    <row r="200" spans="2:2" x14ac:dyDescent="0.25">
      <c r="B200" s="30" t="str">
        <f t="shared" si="3"/>
        <v/>
      </c>
    </row>
    <row r="201" spans="2:2" x14ac:dyDescent="0.25">
      <c r="B201" s="30" t="str">
        <f t="shared" si="3"/>
        <v/>
      </c>
    </row>
    <row r="202" spans="2:2" x14ac:dyDescent="0.25">
      <c r="B202" s="30" t="str">
        <f t="shared" si="3"/>
        <v/>
      </c>
    </row>
    <row r="203" spans="2:2" x14ac:dyDescent="0.25">
      <c r="B203" s="30" t="str">
        <f t="shared" si="3"/>
        <v/>
      </c>
    </row>
    <row r="204" spans="2:2" x14ac:dyDescent="0.25">
      <c r="B204" s="30" t="str">
        <f t="shared" si="3"/>
        <v/>
      </c>
    </row>
    <row r="205" spans="2:2" x14ac:dyDescent="0.25">
      <c r="B205" s="30" t="str">
        <f t="shared" si="3"/>
        <v/>
      </c>
    </row>
    <row r="206" spans="2:2" x14ac:dyDescent="0.25">
      <c r="B206" s="30" t="str">
        <f t="shared" si="3"/>
        <v/>
      </c>
    </row>
    <row r="207" spans="2:2" x14ac:dyDescent="0.25">
      <c r="B207" s="30" t="str">
        <f t="shared" si="3"/>
        <v/>
      </c>
    </row>
    <row r="208" spans="2:2" x14ac:dyDescent="0.25">
      <c r="B208" s="30" t="str">
        <f t="shared" si="3"/>
        <v/>
      </c>
    </row>
    <row r="209" spans="2:2" x14ac:dyDescent="0.25">
      <c r="B209" s="30" t="str">
        <f t="shared" si="3"/>
        <v/>
      </c>
    </row>
    <row r="210" spans="2:2" x14ac:dyDescent="0.25">
      <c r="B210" s="30" t="str">
        <f t="shared" si="3"/>
        <v/>
      </c>
    </row>
    <row r="211" spans="2:2" x14ac:dyDescent="0.25">
      <c r="B211" s="30" t="str">
        <f t="shared" si="3"/>
        <v/>
      </c>
    </row>
    <row r="212" spans="2:2" x14ac:dyDescent="0.25">
      <c r="B212" s="30" t="str">
        <f t="shared" si="3"/>
        <v/>
      </c>
    </row>
    <row r="213" spans="2:2" x14ac:dyDescent="0.25">
      <c r="B213" s="30" t="str">
        <f t="shared" si="3"/>
        <v/>
      </c>
    </row>
    <row r="214" spans="2:2" x14ac:dyDescent="0.25">
      <c r="B214" s="30" t="str">
        <f t="shared" si="3"/>
        <v/>
      </c>
    </row>
    <row r="215" spans="2:2" x14ac:dyDescent="0.25">
      <c r="B215" s="30" t="str">
        <f t="shared" si="3"/>
        <v/>
      </c>
    </row>
    <row r="216" spans="2:2" x14ac:dyDescent="0.25">
      <c r="B216" s="30" t="str">
        <f t="shared" si="3"/>
        <v/>
      </c>
    </row>
    <row r="217" spans="2:2" x14ac:dyDescent="0.25">
      <c r="B217" s="30" t="str">
        <f t="shared" si="3"/>
        <v/>
      </c>
    </row>
    <row r="218" spans="2:2" x14ac:dyDescent="0.25">
      <c r="B218" s="30" t="str">
        <f t="shared" si="3"/>
        <v/>
      </c>
    </row>
    <row r="219" spans="2:2" x14ac:dyDescent="0.25">
      <c r="B219" s="30" t="str">
        <f t="shared" si="3"/>
        <v/>
      </c>
    </row>
    <row r="220" spans="2:2" x14ac:dyDescent="0.25">
      <c r="B220" s="30" t="str">
        <f t="shared" si="3"/>
        <v/>
      </c>
    </row>
    <row r="221" spans="2:2" x14ac:dyDescent="0.25">
      <c r="B221" s="30" t="str">
        <f t="shared" si="3"/>
        <v/>
      </c>
    </row>
    <row r="222" spans="2:2" x14ac:dyDescent="0.25">
      <c r="B222" s="30" t="str">
        <f t="shared" si="3"/>
        <v/>
      </c>
    </row>
    <row r="223" spans="2:2" x14ac:dyDescent="0.25">
      <c r="B223" s="30" t="str">
        <f t="shared" si="3"/>
        <v/>
      </c>
    </row>
    <row r="224" spans="2:2" x14ac:dyDescent="0.25">
      <c r="B224" s="30" t="str">
        <f t="shared" si="3"/>
        <v/>
      </c>
    </row>
    <row r="225" spans="2:2" x14ac:dyDescent="0.25">
      <c r="B225" s="30" t="str">
        <f t="shared" si="3"/>
        <v/>
      </c>
    </row>
    <row r="226" spans="2:2" x14ac:dyDescent="0.25">
      <c r="B226" s="30" t="str">
        <f t="shared" si="3"/>
        <v/>
      </c>
    </row>
    <row r="227" spans="2:2" x14ac:dyDescent="0.25">
      <c r="B227" s="30" t="str">
        <f t="shared" si="3"/>
        <v/>
      </c>
    </row>
    <row r="228" spans="2:2" x14ac:dyDescent="0.25">
      <c r="B228" s="30" t="str">
        <f t="shared" si="3"/>
        <v/>
      </c>
    </row>
    <row r="229" spans="2:2" x14ac:dyDescent="0.25">
      <c r="B229" s="30" t="str">
        <f t="shared" si="3"/>
        <v/>
      </c>
    </row>
    <row r="230" spans="2:2" x14ac:dyDescent="0.25">
      <c r="B230" s="30" t="str">
        <f t="shared" si="3"/>
        <v/>
      </c>
    </row>
    <row r="231" spans="2:2" x14ac:dyDescent="0.25">
      <c r="B231" s="30" t="str">
        <f t="shared" si="3"/>
        <v/>
      </c>
    </row>
    <row r="232" spans="2:2" x14ac:dyDescent="0.25">
      <c r="B232" s="30" t="str">
        <f t="shared" si="3"/>
        <v/>
      </c>
    </row>
    <row r="233" spans="2:2" x14ac:dyDescent="0.25">
      <c r="B233" s="30" t="str">
        <f t="shared" si="3"/>
        <v/>
      </c>
    </row>
    <row r="234" spans="2:2" x14ac:dyDescent="0.25">
      <c r="B234" s="30" t="str">
        <f t="shared" si="3"/>
        <v/>
      </c>
    </row>
    <row r="235" spans="2:2" x14ac:dyDescent="0.25">
      <c r="B235" s="30" t="str">
        <f t="shared" si="3"/>
        <v/>
      </c>
    </row>
    <row r="236" spans="2:2" x14ac:dyDescent="0.25">
      <c r="B236" s="30" t="str">
        <f t="shared" si="3"/>
        <v/>
      </c>
    </row>
    <row r="237" spans="2:2" x14ac:dyDescent="0.25">
      <c r="B237" s="30" t="str">
        <f t="shared" si="3"/>
        <v/>
      </c>
    </row>
    <row r="238" spans="2:2" x14ac:dyDescent="0.25">
      <c r="B238" s="30" t="str">
        <f t="shared" si="3"/>
        <v/>
      </c>
    </row>
    <row r="239" spans="2:2" x14ac:dyDescent="0.25">
      <c r="B239" s="30" t="str">
        <f t="shared" si="3"/>
        <v/>
      </c>
    </row>
    <row r="240" spans="2:2" x14ac:dyDescent="0.25">
      <c r="B240" s="30" t="str">
        <f t="shared" si="3"/>
        <v/>
      </c>
    </row>
    <row r="241" spans="2:2" x14ac:dyDescent="0.25">
      <c r="B241" s="30" t="str">
        <f t="shared" si="3"/>
        <v/>
      </c>
    </row>
    <row r="242" spans="2:2" x14ac:dyDescent="0.25">
      <c r="B242" s="30" t="str">
        <f t="shared" si="3"/>
        <v/>
      </c>
    </row>
    <row r="243" spans="2:2" x14ac:dyDescent="0.25">
      <c r="B243" s="30" t="str">
        <f t="shared" si="3"/>
        <v/>
      </c>
    </row>
    <row r="244" spans="2:2" x14ac:dyDescent="0.25">
      <c r="B244" s="30" t="str">
        <f t="shared" si="3"/>
        <v/>
      </c>
    </row>
    <row r="245" spans="2:2" x14ac:dyDescent="0.25">
      <c r="B245" s="30" t="str">
        <f t="shared" si="3"/>
        <v/>
      </c>
    </row>
    <row r="246" spans="2:2" x14ac:dyDescent="0.25">
      <c r="B246" s="30" t="str">
        <f t="shared" si="3"/>
        <v/>
      </c>
    </row>
    <row r="247" spans="2:2" x14ac:dyDescent="0.25">
      <c r="B247" s="30" t="str">
        <f t="shared" si="3"/>
        <v/>
      </c>
    </row>
    <row r="248" spans="2:2" x14ac:dyDescent="0.25">
      <c r="B248" s="30" t="str">
        <f t="shared" si="3"/>
        <v/>
      </c>
    </row>
    <row r="249" spans="2:2" x14ac:dyDescent="0.25">
      <c r="B249" s="30" t="str">
        <f t="shared" si="3"/>
        <v/>
      </c>
    </row>
    <row r="250" spans="2:2" x14ac:dyDescent="0.25">
      <c r="B250" s="30" t="str">
        <f t="shared" si="3"/>
        <v/>
      </c>
    </row>
    <row r="251" spans="2:2" x14ac:dyDescent="0.25">
      <c r="B251" s="30" t="str">
        <f t="shared" si="3"/>
        <v/>
      </c>
    </row>
    <row r="252" spans="2:2" x14ac:dyDescent="0.25">
      <c r="B252" s="30" t="str">
        <f t="shared" si="3"/>
        <v/>
      </c>
    </row>
    <row r="253" spans="2:2" x14ac:dyDescent="0.25">
      <c r="B253" s="30" t="str">
        <f t="shared" si="3"/>
        <v/>
      </c>
    </row>
    <row r="254" spans="2:2" x14ac:dyDescent="0.25">
      <c r="B254" s="30" t="str">
        <f t="shared" si="3"/>
        <v/>
      </c>
    </row>
    <row r="255" spans="2:2" x14ac:dyDescent="0.25">
      <c r="B255" s="30" t="str">
        <f t="shared" si="3"/>
        <v/>
      </c>
    </row>
    <row r="256" spans="2:2" x14ac:dyDescent="0.25">
      <c r="B256" s="30" t="str">
        <f t="shared" si="3"/>
        <v/>
      </c>
    </row>
    <row r="257" spans="2:2" x14ac:dyDescent="0.25">
      <c r="B257" s="30" t="str">
        <f t="shared" si="3"/>
        <v/>
      </c>
    </row>
    <row r="258" spans="2:2" x14ac:dyDescent="0.25">
      <c r="B258" s="30" t="str">
        <f t="shared" si="3"/>
        <v/>
      </c>
    </row>
    <row r="379" spans="9:9" x14ac:dyDescent="0.25">
      <c r="I379" s="45"/>
    </row>
  </sheetData>
  <sheetProtection password="CA78" sheet="1" objects="1" scenarios="1" autoFilter="0"/>
  <protectedRanges>
    <protectedRange sqref="C1:L1048576" name="INFO"/>
  </protectedRanges>
  <autoFilter ref="A1:O1147">
    <sortState ref="A2:O1147">
      <sortCondition ref="C1:C1147"/>
    </sortState>
  </autoFilter>
  <phoneticPr fontId="52" type="noConversion"/>
  <pageMargins left="7.874015748031496E-2" right="7.874015748031496E-2" top="7.874015748031496E-2" bottom="7.874015748031496E-2" header="7.874015748031496E-2" footer="7.874015748031496E-2"/>
  <pageSetup paperSize="9" scale="17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3.面_底_冒号" altText="清除信息">
                <anchor moveWithCells="1" sizeWithCells="1">
                  <from>
                    <xdr:col>6</xdr:col>
                    <xdr:colOff>1371600</xdr:colOff>
                    <xdr:row>0</xdr:row>
                    <xdr:rowOff>19050</xdr:rowOff>
                  </from>
                  <to>
                    <xdr:col>6</xdr:col>
                    <xdr:colOff>2108200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清除款号信息">
                <anchor moveWithCells="1" sizeWithCells="1">
                  <from>
                    <xdr:col>2</xdr:col>
                    <xdr:colOff>1009650</xdr:colOff>
                    <xdr:row>0</xdr:row>
                    <xdr:rowOff>12700</xdr:rowOff>
                  </from>
                  <to>
                    <xdr:col>2</xdr:col>
                    <xdr:colOff>1771650</xdr:colOff>
                    <xdr:row>0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W和CM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8</xdr:col>
                    <xdr:colOff>1085850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F1152"/>
  <sheetViews>
    <sheetView zoomScale="85" zoomScaleNormal="85" workbookViewId="0">
      <selection sqref="A1:B2"/>
    </sheetView>
  </sheetViews>
  <sheetFormatPr defaultRowHeight="112" customHeight="1" x14ac:dyDescent="0.25"/>
  <cols>
    <col min="1" max="1" width="11.7265625" customWidth="1"/>
    <col min="2" max="2" width="28.36328125" customWidth="1"/>
  </cols>
  <sheetData>
    <row r="1" spans="1:6" ht="112" customHeight="1" x14ac:dyDescent="0.25">
      <c r="A1" t="str">
        <f>'new info'!B2</f>
        <v>EBT170733</v>
      </c>
      <c r="B1" s="3" t="str">
        <f>'new info'!A2&amp;'new info'!$C$1&amp;""&amp;'new info'!C2&amp;CHAR(10)&amp;'new info'!$G$1&amp;":"&amp;'new info'!G2&amp;CHAR(10)&amp;'new info'!$I$1&amp;":"&amp;'new info'!I2&amp;CHAR(10)&amp;'new info'!$J$1&amp;":"&amp;'new info'!J2&amp;""&amp;$C$1&amp;'new info'!M2&amp;$E$1</f>
        <v>ART.EBT170733
COMP:100%PA
WIDTH:125CM
WEIGHT:</v>
      </c>
      <c r="C1" s="3"/>
      <c r="D1" s="3" t="s">
        <v>4746</v>
      </c>
      <c r="E1" s="2"/>
      <c r="F1" s="2"/>
    </row>
    <row r="2" spans="1:6" ht="112" customHeight="1" x14ac:dyDescent="0.25">
      <c r="A2" t="str">
        <f>'new info'!B3</f>
        <v>EBT170734</v>
      </c>
      <c r="B2" s="3" t="str">
        <f>'new info'!A3&amp;'new info'!$C$1&amp;""&amp;'new info'!C3&amp;CHAR(10)&amp;'new info'!$G$1&amp;":"&amp;'new info'!G3&amp;CHAR(10)&amp;'new info'!$I$1&amp;":"&amp;'new info'!I3&amp;CHAR(10)&amp;'new info'!$J$1&amp;":"&amp;'new info'!J3&amp;""&amp;$C$1&amp;'new info'!M3&amp;$E$1</f>
        <v>ART.EBT170734
COMP:100%PL
WIDTH:125CM
WEIGHT:</v>
      </c>
      <c r="C2" s="3"/>
      <c r="E2" s="2"/>
    </row>
    <row r="3" spans="1:6" ht="112" hidden="1" customHeight="1" x14ac:dyDescent="0.25">
      <c r="A3" t="str">
        <f>'new info'!B4</f>
        <v/>
      </c>
      <c r="B3" s="3" t="str">
        <f>'new info'!A4&amp;'new info'!$C$1&amp;""&amp;'new info'!C4&amp;CHAR(10)&amp;'new info'!$G$1&amp;":"&amp;'new info'!G4&amp;CHAR(10)&amp;'new info'!$I$1&amp;":"&amp;'new info'!I4&amp;CHAR(10)&amp;'new info'!$J$1&amp;":"&amp;'new info'!J4&amp;""&amp;$C$1&amp;'new info'!M4&amp;$E$1</f>
        <v>ART.
COMP:
WIDTH:
WEIGHT:</v>
      </c>
      <c r="C3" s="3"/>
      <c r="E3" s="2"/>
    </row>
    <row r="4" spans="1:6" ht="112" hidden="1" customHeight="1" x14ac:dyDescent="0.25">
      <c r="A4" t="str">
        <f>'new info'!B5</f>
        <v/>
      </c>
      <c r="B4" s="3" t="str">
        <f>'new info'!A5&amp;'new info'!$C$1&amp;""&amp;'new info'!C5&amp;CHAR(10)&amp;'new info'!$G$1&amp;":"&amp;'new info'!G5&amp;CHAR(10)&amp;'new info'!$I$1&amp;":"&amp;'new info'!I5&amp;CHAR(10)&amp;'new info'!$J$1&amp;":"&amp;'new info'!J5&amp;""&amp;$C$1&amp;'new info'!M5&amp;$E$1</f>
        <v>ART.
COMP:
WIDTH:
WEIGHT:</v>
      </c>
      <c r="C4" s="3"/>
      <c r="E4" s="2"/>
      <c r="F4" s="2"/>
    </row>
    <row r="5" spans="1:6" ht="112" hidden="1" customHeight="1" x14ac:dyDescent="0.25">
      <c r="A5" t="str">
        <f>'new info'!B6</f>
        <v/>
      </c>
      <c r="B5" s="3" t="str">
        <f>'new info'!A6&amp;'new info'!$C$1&amp;""&amp;'new info'!C6&amp;CHAR(10)&amp;'new info'!$G$1&amp;":"&amp;'new info'!G6&amp;CHAR(10)&amp;'new info'!$I$1&amp;":"&amp;'new info'!I6&amp;CHAR(10)&amp;'new info'!$J$1&amp;":"&amp;'new info'!J6&amp;""&amp;$C$1&amp;'new info'!M6&amp;$E$1</f>
        <v>ART.
COMP:
WIDTH:
WEIGHT:</v>
      </c>
      <c r="C5" s="3"/>
      <c r="E5" s="2"/>
    </row>
    <row r="6" spans="1:6" ht="112" hidden="1" customHeight="1" x14ac:dyDescent="0.25">
      <c r="A6" t="str">
        <f>'new info'!B7</f>
        <v/>
      </c>
      <c r="B6" s="3" t="str">
        <f>'new info'!A7&amp;'new info'!$C$1&amp;""&amp;'new info'!C7&amp;CHAR(10)&amp;'new info'!$G$1&amp;":"&amp;'new info'!G7&amp;CHAR(10)&amp;'new info'!$I$1&amp;":"&amp;'new info'!I7&amp;CHAR(10)&amp;'new info'!$J$1&amp;":"&amp;'new info'!J7&amp;""&amp;$C$1&amp;'new info'!M7&amp;$E$1</f>
        <v>ART.
COMP:
WIDTH:
WEIGHT:</v>
      </c>
      <c r="C6" s="3"/>
      <c r="E6" s="2"/>
    </row>
    <row r="7" spans="1:6" ht="112" hidden="1" customHeight="1" x14ac:dyDescent="0.25">
      <c r="A7" t="str">
        <f>'new info'!B8</f>
        <v/>
      </c>
      <c r="B7" s="3" t="str">
        <f>'new info'!A8&amp;'new info'!$C$1&amp;""&amp;'new info'!C8&amp;CHAR(10)&amp;'new info'!$G$1&amp;":"&amp;'new info'!G8&amp;CHAR(10)&amp;'new info'!$I$1&amp;":"&amp;'new info'!I8&amp;CHAR(10)&amp;'new info'!$J$1&amp;":"&amp;'new info'!J8&amp;""&amp;$C$1&amp;'new info'!M8&amp;$E$1</f>
        <v>ART.
COMP:
WIDTH:
WEIGHT:</v>
      </c>
      <c r="C7" s="3"/>
      <c r="E7" s="2"/>
      <c r="F7" s="2"/>
    </row>
    <row r="8" spans="1:6" ht="112" hidden="1" customHeight="1" x14ac:dyDescent="0.25">
      <c r="A8" t="str">
        <f>'new info'!B9</f>
        <v/>
      </c>
      <c r="B8" s="3" t="str">
        <f>'new info'!A9&amp;'new info'!$C$1&amp;""&amp;'new info'!C9&amp;CHAR(10)&amp;'new info'!$G$1&amp;":"&amp;'new info'!G9&amp;CHAR(10)&amp;'new info'!$I$1&amp;":"&amp;'new info'!I9&amp;CHAR(10)&amp;'new info'!$J$1&amp;":"&amp;'new info'!J9&amp;""&amp;$C$1&amp;'new info'!M9&amp;$E$1</f>
        <v>ART.
COMP:
WIDTH:
WEIGHT:</v>
      </c>
      <c r="C8" s="3"/>
      <c r="E8" s="2"/>
    </row>
    <row r="9" spans="1:6" ht="112" hidden="1" customHeight="1" x14ac:dyDescent="0.25">
      <c r="A9" t="str">
        <f>'new info'!B10</f>
        <v/>
      </c>
      <c r="B9" s="3" t="str">
        <f>'new info'!A10&amp;'new info'!$C$1&amp;""&amp;'new info'!C10&amp;CHAR(10)&amp;'new info'!$G$1&amp;":"&amp;'new info'!G10&amp;CHAR(10)&amp;'new info'!$I$1&amp;":"&amp;'new info'!I10&amp;CHAR(10)&amp;'new info'!$J$1&amp;":"&amp;'new info'!J10&amp;""&amp;$C$1&amp;'new info'!M10&amp;$E$1</f>
        <v>ART.
COMP:
WIDTH:
WEIGHT:</v>
      </c>
      <c r="C9" s="3"/>
      <c r="E9" s="2"/>
    </row>
    <row r="10" spans="1:6" ht="112" hidden="1" customHeight="1" x14ac:dyDescent="0.25">
      <c r="A10" t="str">
        <f>'new info'!B11</f>
        <v/>
      </c>
      <c r="B10" s="3" t="str">
        <f>'new info'!A11&amp;'new info'!$C$1&amp;""&amp;'new info'!C11&amp;CHAR(10)&amp;'new info'!$G$1&amp;":"&amp;'new info'!G11&amp;CHAR(10)&amp;'new info'!$I$1&amp;":"&amp;'new info'!I11&amp;CHAR(10)&amp;'new info'!$J$1&amp;":"&amp;'new info'!J11&amp;""&amp;$C$1&amp;'new info'!M11&amp;$E$1</f>
        <v>ART.
COMP:
WIDTH:
WEIGHT:</v>
      </c>
      <c r="C10" s="3"/>
      <c r="E10" s="2"/>
      <c r="F10" s="2"/>
    </row>
    <row r="11" spans="1:6" ht="112" hidden="1" customHeight="1" x14ac:dyDescent="0.25">
      <c r="A11" t="str">
        <f>'new info'!B12</f>
        <v/>
      </c>
      <c r="B11" s="3" t="str">
        <f>'new info'!A12&amp;'new info'!$C$1&amp;""&amp;'new info'!C12&amp;CHAR(10)&amp;'new info'!$G$1&amp;":"&amp;'new info'!G12&amp;CHAR(10)&amp;'new info'!$I$1&amp;":"&amp;'new info'!I12&amp;CHAR(10)&amp;'new info'!$J$1&amp;":"&amp;'new info'!J12&amp;""&amp;$C$1&amp;'new info'!M12&amp;$E$1</f>
        <v>ART.
COMP:
WIDTH:
WEIGHT:</v>
      </c>
      <c r="C11" s="3"/>
      <c r="E11" s="2"/>
    </row>
    <row r="12" spans="1:6" ht="112" hidden="1" customHeight="1" x14ac:dyDescent="0.25">
      <c r="A12" t="str">
        <f>'new info'!B13</f>
        <v/>
      </c>
      <c r="B12" s="3" t="str">
        <f>'new info'!A13&amp;'new info'!$C$1&amp;""&amp;'new info'!C13&amp;CHAR(10)&amp;'new info'!$G$1&amp;":"&amp;'new info'!G13&amp;CHAR(10)&amp;'new info'!$I$1&amp;":"&amp;'new info'!I13&amp;CHAR(10)&amp;'new info'!$J$1&amp;":"&amp;'new info'!J13&amp;""&amp;$C$1&amp;'new info'!M13&amp;$E$1</f>
        <v>ART.
COMP:
WIDTH:
WEIGHT:</v>
      </c>
      <c r="C12" s="3"/>
      <c r="E12" s="2"/>
    </row>
    <row r="13" spans="1:6" ht="112" hidden="1" customHeight="1" x14ac:dyDescent="0.25">
      <c r="A13" t="str">
        <f>'new info'!B14</f>
        <v/>
      </c>
      <c r="B13" s="3" t="str">
        <f>'new info'!A14&amp;'new info'!$C$1&amp;""&amp;'new info'!C14&amp;CHAR(10)&amp;'new info'!$G$1&amp;":"&amp;'new info'!G14&amp;CHAR(10)&amp;'new info'!$I$1&amp;":"&amp;'new info'!I14&amp;CHAR(10)&amp;'new info'!$J$1&amp;":"&amp;'new info'!J14&amp;""&amp;$C$1&amp;'new info'!M14&amp;$E$1</f>
        <v>ART.
COMP:
WIDTH:
WEIGHT:</v>
      </c>
      <c r="C13" s="3"/>
      <c r="E13" s="2"/>
      <c r="F13" s="2"/>
    </row>
    <row r="14" spans="1:6" ht="112" hidden="1" customHeight="1" x14ac:dyDescent="0.25">
      <c r="A14" t="str">
        <f>'new info'!B15</f>
        <v/>
      </c>
      <c r="B14" s="3" t="str">
        <f>'new info'!A15&amp;'new info'!$C$1&amp;""&amp;'new info'!C15&amp;CHAR(10)&amp;'new info'!$G$1&amp;":"&amp;'new info'!G15&amp;CHAR(10)&amp;'new info'!$I$1&amp;":"&amp;'new info'!I15&amp;CHAR(10)&amp;'new info'!$J$1&amp;":"&amp;'new info'!J15&amp;""&amp;$C$1&amp;'new info'!M15&amp;$E$1</f>
        <v>ART.
COMP:
WIDTH:
WEIGHT:</v>
      </c>
      <c r="C14" s="3"/>
      <c r="E14" s="2"/>
    </row>
    <row r="15" spans="1:6" ht="112" hidden="1" customHeight="1" x14ac:dyDescent="0.25">
      <c r="A15" t="str">
        <f>'new info'!B16</f>
        <v/>
      </c>
      <c r="B15" s="3" t="str">
        <f>'new info'!A16&amp;'new info'!$C$1&amp;""&amp;'new info'!C16&amp;CHAR(10)&amp;'new info'!$G$1&amp;":"&amp;'new info'!G16&amp;CHAR(10)&amp;'new info'!$I$1&amp;":"&amp;'new info'!I16&amp;CHAR(10)&amp;'new info'!$J$1&amp;":"&amp;'new info'!J16&amp;""&amp;$C$1&amp;'new info'!M16&amp;$E$1</f>
        <v>ART.
COMP:
WIDTH:
WEIGHT:</v>
      </c>
      <c r="C15" s="3"/>
      <c r="E15" s="2"/>
    </row>
    <row r="16" spans="1:6" ht="112" hidden="1" customHeight="1" x14ac:dyDescent="0.25">
      <c r="A16" t="str">
        <f>'new info'!B17</f>
        <v/>
      </c>
      <c r="B16" s="3" t="str">
        <f>'new info'!A17&amp;'new info'!$C$1&amp;""&amp;'new info'!C17&amp;CHAR(10)&amp;'new info'!$G$1&amp;":"&amp;'new info'!G17&amp;CHAR(10)&amp;'new info'!$I$1&amp;":"&amp;'new info'!I17&amp;CHAR(10)&amp;'new info'!$J$1&amp;":"&amp;'new info'!J17&amp;""&amp;$C$1&amp;'new info'!M17&amp;$E$1</f>
        <v>ART.
COMP:
WIDTH:
WEIGHT:</v>
      </c>
      <c r="C16" s="3"/>
      <c r="E16" s="2"/>
      <c r="F16" s="2"/>
    </row>
    <row r="17" spans="1:6" ht="112" hidden="1" customHeight="1" x14ac:dyDescent="0.25">
      <c r="A17" t="str">
        <f>'new info'!B18</f>
        <v/>
      </c>
      <c r="B17" s="3" t="str">
        <f>'new info'!A18&amp;'new info'!$C$1&amp;""&amp;'new info'!C18&amp;CHAR(10)&amp;'new info'!$G$1&amp;":"&amp;'new info'!G18&amp;CHAR(10)&amp;'new info'!$I$1&amp;":"&amp;'new info'!I18&amp;CHAR(10)&amp;'new info'!$J$1&amp;":"&amp;'new info'!J18&amp;""&amp;$C$1&amp;'new info'!M18&amp;$E$1</f>
        <v>ART.
COMP:
WIDTH:
WEIGHT:</v>
      </c>
      <c r="C17" s="3"/>
      <c r="E17" s="2"/>
    </row>
    <row r="18" spans="1:6" ht="112" hidden="1" customHeight="1" x14ac:dyDescent="0.25">
      <c r="A18" t="str">
        <f>'new info'!B19</f>
        <v/>
      </c>
      <c r="B18" s="3" t="str">
        <f>'new info'!A19&amp;'new info'!$C$1&amp;""&amp;'new info'!C19&amp;CHAR(10)&amp;'new info'!$G$1&amp;":"&amp;'new info'!G19&amp;CHAR(10)&amp;'new info'!$I$1&amp;":"&amp;'new info'!I19&amp;CHAR(10)&amp;'new info'!$J$1&amp;":"&amp;'new info'!J19&amp;""&amp;$C$1&amp;'new info'!M19&amp;$E$1</f>
        <v>ART.
COMP:
WIDTH:
WEIGHT:</v>
      </c>
      <c r="C18" s="3"/>
      <c r="E18" s="2"/>
    </row>
    <row r="19" spans="1:6" ht="112" hidden="1" customHeight="1" x14ac:dyDescent="0.25">
      <c r="A19" t="str">
        <f>'new info'!B20</f>
        <v/>
      </c>
      <c r="B19" s="3" t="str">
        <f>'new info'!A20&amp;'new info'!$C$1&amp;""&amp;'new info'!C20&amp;CHAR(10)&amp;'new info'!$G$1&amp;":"&amp;'new info'!G20&amp;CHAR(10)&amp;'new info'!$I$1&amp;":"&amp;'new info'!I20&amp;CHAR(10)&amp;'new info'!$J$1&amp;":"&amp;'new info'!J20&amp;""&amp;$C$1&amp;'new info'!M20&amp;$E$1</f>
        <v>ART.
COMP:
WIDTH:
WEIGHT:</v>
      </c>
      <c r="C19" s="3"/>
      <c r="E19" s="2"/>
      <c r="F19" s="2"/>
    </row>
    <row r="20" spans="1:6" ht="112" hidden="1" customHeight="1" x14ac:dyDescent="0.25">
      <c r="A20" t="str">
        <f>'new info'!B21</f>
        <v/>
      </c>
      <c r="B20" s="3" t="str">
        <f>'new info'!A21&amp;'new info'!$C$1&amp;""&amp;'new info'!C21&amp;CHAR(10)&amp;'new info'!$G$1&amp;":"&amp;'new info'!G21&amp;CHAR(10)&amp;'new info'!$I$1&amp;":"&amp;'new info'!I21&amp;CHAR(10)&amp;'new info'!$J$1&amp;":"&amp;'new info'!J21&amp;""&amp;$C$1&amp;'new info'!M21&amp;$E$1</f>
        <v>ART.
COMP:
WIDTH:
WEIGHT:</v>
      </c>
      <c r="C20" s="3"/>
      <c r="E20" s="2"/>
    </row>
    <row r="21" spans="1:6" ht="112" hidden="1" customHeight="1" x14ac:dyDescent="0.25">
      <c r="A21" t="str">
        <f>'new info'!B22</f>
        <v/>
      </c>
      <c r="B21" s="3" t="str">
        <f>'new info'!A22&amp;'new info'!$C$1&amp;""&amp;'new info'!C22&amp;CHAR(10)&amp;'new info'!$G$1&amp;":"&amp;'new info'!G22&amp;CHAR(10)&amp;'new info'!$I$1&amp;":"&amp;'new info'!I22&amp;CHAR(10)&amp;'new info'!$J$1&amp;":"&amp;'new info'!J22&amp;""&amp;$C$1&amp;'new info'!M22&amp;$E$1</f>
        <v>ART.
COMP:
WIDTH:
WEIGHT:</v>
      </c>
      <c r="C21" s="3"/>
      <c r="E21" s="2"/>
    </row>
    <row r="22" spans="1:6" ht="112" hidden="1" customHeight="1" x14ac:dyDescent="0.25">
      <c r="A22" t="str">
        <f>'new info'!B23</f>
        <v/>
      </c>
      <c r="B22" s="3" t="str">
        <f>'new info'!A23&amp;'new info'!$C$1&amp;""&amp;'new info'!C23&amp;CHAR(10)&amp;'new info'!$G$1&amp;":"&amp;'new info'!G23&amp;CHAR(10)&amp;'new info'!$I$1&amp;":"&amp;'new info'!I23&amp;CHAR(10)&amp;'new info'!$J$1&amp;":"&amp;'new info'!J23&amp;""&amp;$C$1&amp;'new info'!M23&amp;$E$1</f>
        <v>ART.
COMP:
WIDTH:
WEIGHT:</v>
      </c>
      <c r="C22" s="3"/>
      <c r="E22" s="2"/>
      <c r="F22" s="2"/>
    </row>
    <row r="23" spans="1:6" ht="112" hidden="1" customHeight="1" x14ac:dyDescent="0.25">
      <c r="A23" t="str">
        <f>'new info'!B24</f>
        <v/>
      </c>
      <c r="B23" s="3" t="str">
        <f>'new info'!A24&amp;'new info'!$C$1&amp;""&amp;'new info'!C24&amp;CHAR(10)&amp;'new info'!$G$1&amp;":"&amp;'new info'!G24&amp;CHAR(10)&amp;'new info'!$I$1&amp;":"&amp;'new info'!I24&amp;CHAR(10)&amp;'new info'!$J$1&amp;":"&amp;'new info'!J24&amp;""&amp;$C$1&amp;'new info'!M24&amp;$E$1</f>
        <v>ART.
COMP:
WIDTH:
WEIGHT:</v>
      </c>
      <c r="C23" s="3"/>
      <c r="E23" s="2"/>
    </row>
    <row r="24" spans="1:6" ht="112" hidden="1" customHeight="1" x14ac:dyDescent="0.25">
      <c r="A24" t="str">
        <f>'new info'!B25</f>
        <v/>
      </c>
      <c r="B24" s="3" t="str">
        <f>'new info'!A25&amp;'new info'!$C$1&amp;""&amp;'new info'!C25&amp;CHAR(10)&amp;'new info'!$G$1&amp;":"&amp;'new info'!G25&amp;CHAR(10)&amp;'new info'!$I$1&amp;":"&amp;'new info'!I25&amp;CHAR(10)&amp;'new info'!$J$1&amp;":"&amp;'new info'!J25&amp;""&amp;$C$1&amp;'new info'!M25&amp;$E$1</f>
        <v>ART.
COMP:
WIDTH:
WEIGHT:</v>
      </c>
      <c r="C24" s="3"/>
      <c r="E24" s="2"/>
    </row>
    <row r="25" spans="1:6" ht="112" hidden="1" customHeight="1" x14ac:dyDescent="0.25">
      <c r="A25" t="str">
        <f>'new info'!B26</f>
        <v/>
      </c>
      <c r="B25" s="3" t="str">
        <f>'new info'!A26&amp;'new info'!$C$1&amp;""&amp;'new info'!C26&amp;CHAR(10)&amp;'new info'!$G$1&amp;":"&amp;'new info'!G26&amp;CHAR(10)&amp;'new info'!$I$1&amp;":"&amp;'new info'!I26&amp;CHAR(10)&amp;'new info'!$J$1&amp;":"&amp;'new info'!J26&amp;""&amp;$C$1&amp;'new info'!M26&amp;$E$1</f>
        <v>ART.
COMP:
WIDTH:
WEIGHT:</v>
      </c>
      <c r="C25" s="3"/>
      <c r="E25" s="2"/>
      <c r="F25" s="2"/>
    </row>
    <row r="26" spans="1:6" ht="112" hidden="1" customHeight="1" x14ac:dyDescent="0.25">
      <c r="A26" t="str">
        <f>'new info'!B27</f>
        <v/>
      </c>
      <c r="B26" s="3" t="str">
        <f>'new info'!A27&amp;'new info'!$C$1&amp;""&amp;'new info'!C27&amp;CHAR(10)&amp;'new info'!$G$1&amp;":"&amp;'new info'!G27&amp;CHAR(10)&amp;'new info'!$I$1&amp;":"&amp;'new info'!I27&amp;CHAR(10)&amp;'new info'!$J$1&amp;":"&amp;'new info'!J27&amp;""&amp;$C$1&amp;'new info'!M27&amp;$E$1</f>
        <v>ART.
COMP:
WIDTH:
WEIGHT:</v>
      </c>
      <c r="C26" s="3"/>
      <c r="E26" s="2"/>
    </row>
    <row r="27" spans="1:6" ht="112" hidden="1" customHeight="1" x14ac:dyDescent="0.25">
      <c r="A27" t="str">
        <f>'new info'!B28</f>
        <v/>
      </c>
      <c r="B27" s="3" t="str">
        <f>'new info'!A28&amp;'new info'!$C$1&amp;""&amp;'new info'!C28&amp;CHAR(10)&amp;'new info'!$G$1&amp;":"&amp;'new info'!G28&amp;CHAR(10)&amp;'new info'!$I$1&amp;":"&amp;'new info'!I28&amp;CHAR(10)&amp;'new info'!$J$1&amp;":"&amp;'new info'!J28&amp;""&amp;$C$1&amp;'new info'!M28&amp;$E$1</f>
        <v>ART.
COMP:
WIDTH:
WEIGHT:</v>
      </c>
      <c r="C27" s="3"/>
      <c r="E27" s="2"/>
    </row>
    <row r="28" spans="1:6" ht="112" hidden="1" customHeight="1" x14ac:dyDescent="0.25">
      <c r="A28" t="str">
        <f>'new info'!B29</f>
        <v/>
      </c>
      <c r="B28" s="3" t="str">
        <f>'new info'!A29&amp;'new info'!$C$1&amp;""&amp;'new info'!C29&amp;CHAR(10)&amp;'new info'!$G$1&amp;":"&amp;'new info'!G29&amp;CHAR(10)&amp;'new info'!$I$1&amp;":"&amp;'new info'!I29&amp;CHAR(10)&amp;'new info'!$J$1&amp;":"&amp;'new info'!J29&amp;""&amp;$C$1&amp;'new info'!M29&amp;$E$1</f>
        <v>ART.
COMP:
WIDTH:
WEIGHT:</v>
      </c>
      <c r="C28" s="3"/>
      <c r="E28" s="2"/>
      <c r="F28" s="2"/>
    </row>
    <row r="29" spans="1:6" ht="112" hidden="1" customHeight="1" x14ac:dyDescent="0.25">
      <c r="A29" t="str">
        <f>'new info'!B30</f>
        <v/>
      </c>
      <c r="B29" s="3" t="str">
        <f>'new info'!A30&amp;'new info'!$C$1&amp;""&amp;'new info'!C30&amp;CHAR(10)&amp;'new info'!$G$1&amp;":"&amp;'new info'!G30&amp;CHAR(10)&amp;'new info'!$I$1&amp;":"&amp;'new info'!I30&amp;CHAR(10)&amp;'new info'!$J$1&amp;":"&amp;'new info'!J30&amp;""&amp;$C$1&amp;'new info'!M30&amp;$E$1</f>
        <v>ART.
COMP:
WIDTH:
WEIGHT:</v>
      </c>
      <c r="C29" s="3"/>
      <c r="E29" s="2"/>
    </row>
    <row r="30" spans="1:6" ht="112" hidden="1" customHeight="1" x14ac:dyDescent="0.25">
      <c r="A30" t="str">
        <f>'new info'!B31</f>
        <v/>
      </c>
      <c r="B30" s="3" t="str">
        <f>'new info'!A31&amp;'new info'!$C$1&amp;""&amp;'new info'!C31&amp;CHAR(10)&amp;'new info'!$G$1&amp;":"&amp;'new info'!G31&amp;CHAR(10)&amp;'new info'!$I$1&amp;":"&amp;'new info'!I31&amp;CHAR(10)&amp;'new info'!$J$1&amp;":"&amp;'new info'!J31&amp;""&amp;$C$1&amp;'new info'!M31&amp;$E$1</f>
        <v>ART.
COMP:
WIDTH:
WEIGHT:</v>
      </c>
      <c r="C30" s="3"/>
      <c r="E30" s="2"/>
    </row>
    <row r="31" spans="1:6" ht="112" hidden="1" customHeight="1" x14ac:dyDescent="0.25">
      <c r="A31" t="str">
        <f>'new info'!B32</f>
        <v/>
      </c>
      <c r="B31" s="3" t="str">
        <f>'new info'!A32&amp;'new info'!$C$1&amp;""&amp;'new info'!C32&amp;CHAR(10)&amp;'new info'!$G$1&amp;":"&amp;'new info'!G32&amp;CHAR(10)&amp;'new info'!$I$1&amp;":"&amp;'new info'!I32&amp;CHAR(10)&amp;'new info'!$J$1&amp;":"&amp;'new info'!J32&amp;""&amp;$C$1&amp;'new info'!M32&amp;$E$1</f>
        <v>ART.
COMP:
WIDTH:
WEIGHT:</v>
      </c>
      <c r="C31" s="3"/>
      <c r="E31" s="2"/>
      <c r="F31" s="2"/>
    </row>
    <row r="32" spans="1:6" ht="112" hidden="1" customHeight="1" x14ac:dyDescent="0.25">
      <c r="A32" t="str">
        <f>'new info'!B33</f>
        <v/>
      </c>
      <c r="B32" s="3" t="str">
        <f>'new info'!A33&amp;'new info'!$C$1&amp;""&amp;'new info'!C33&amp;CHAR(10)&amp;'new info'!$G$1&amp;":"&amp;'new info'!G33&amp;CHAR(10)&amp;'new info'!$I$1&amp;":"&amp;'new info'!I33&amp;CHAR(10)&amp;'new info'!$J$1&amp;":"&amp;'new info'!J33&amp;""&amp;$C$1&amp;'new info'!M33&amp;$E$1</f>
        <v>ART.
COMP:
WIDTH:
WEIGHT:</v>
      </c>
      <c r="C32" s="3"/>
      <c r="E32" s="2"/>
    </row>
    <row r="33" spans="1:6" ht="112" hidden="1" customHeight="1" x14ac:dyDescent="0.25">
      <c r="A33" t="str">
        <f>'new info'!B34</f>
        <v/>
      </c>
      <c r="B33" s="3" t="str">
        <f>'new info'!A34&amp;'new info'!$C$1&amp;""&amp;'new info'!C34&amp;CHAR(10)&amp;'new info'!$G$1&amp;":"&amp;'new info'!G34&amp;CHAR(10)&amp;'new info'!$I$1&amp;":"&amp;'new info'!I34&amp;CHAR(10)&amp;'new info'!$J$1&amp;":"&amp;'new info'!J34&amp;""&amp;$C$1&amp;'new info'!M34&amp;$E$1</f>
        <v>ART.
COMP:
WIDTH:
WEIGHT:</v>
      </c>
      <c r="C33" s="3"/>
      <c r="E33" s="2"/>
    </row>
    <row r="34" spans="1:6" ht="112" hidden="1" customHeight="1" x14ac:dyDescent="0.25">
      <c r="A34" t="str">
        <f>'new info'!B35</f>
        <v/>
      </c>
      <c r="B34" s="3" t="str">
        <f>'new info'!A35&amp;'new info'!$C$1&amp;""&amp;'new info'!C35&amp;CHAR(10)&amp;'new info'!$G$1&amp;":"&amp;'new info'!G35&amp;CHAR(10)&amp;'new info'!$I$1&amp;":"&amp;'new info'!I35&amp;CHAR(10)&amp;'new info'!$J$1&amp;":"&amp;'new info'!J35&amp;""&amp;$C$1&amp;'new info'!M35&amp;$E$1</f>
        <v>ART.
COMP:
WIDTH:
WEIGHT:</v>
      </c>
      <c r="C34" s="3"/>
      <c r="E34" s="2"/>
      <c r="F34" s="2"/>
    </row>
    <row r="35" spans="1:6" ht="112" hidden="1" customHeight="1" x14ac:dyDescent="0.25">
      <c r="A35" t="str">
        <f>'new info'!B36</f>
        <v/>
      </c>
      <c r="B35" s="3" t="str">
        <f>'new info'!A36&amp;'new info'!$C$1&amp;""&amp;'new info'!C36&amp;CHAR(10)&amp;'new info'!$G$1&amp;":"&amp;'new info'!G36&amp;CHAR(10)&amp;'new info'!$I$1&amp;":"&amp;'new info'!I36&amp;CHAR(10)&amp;'new info'!$J$1&amp;":"&amp;'new info'!J36&amp;""&amp;$C$1&amp;'new info'!M36&amp;$E$1</f>
        <v>ART.
COMP:
WIDTH:
WEIGHT:</v>
      </c>
      <c r="C35" s="3"/>
      <c r="E35" s="2"/>
    </row>
    <row r="36" spans="1:6" ht="112" hidden="1" customHeight="1" x14ac:dyDescent="0.25">
      <c r="A36" t="str">
        <f>'new info'!B37</f>
        <v/>
      </c>
      <c r="B36" s="3" t="str">
        <f>'new info'!A37&amp;'new info'!$C$1&amp;""&amp;'new info'!C37&amp;CHAR(10)&amp;'new info'!$G$1&amp;":"&amp;'new info'!G37&amp;CHAR(10)&amp;'new info'!$I$1&amp;":"&amp;'new info'!I37&amp;CHAR(10)&amp;'new info'!$J$1&amp;":"&amp;'new info'!J37&amp;""&amp;$C$1&amp;'new info'!M37&amp;$E$1</f>
        <v>ART.
COMP:
WIDTH:
WEIGHT:</v>
      </c>
      <c r="C36" s="3"/>
      <c r="E36" s="2"/>
    </row>
    <row r="37" spans="1:6" ht="112" hidden="1" customHeight="1" x14ac:dyDescent="0.25">
      <c r="A37" t="str">
        <f>'new info'!B38</f>
        <v/>
      </c>
      <c r="B37" s="3" t="str">
        <f>'new info'!A38&amp;'new info'!$C$1&amp;""&amp;'new info'!C38&amp;CHAR(10)&amp;'new info'!$G$1&amp;":"&amp;'new info'!G38&amp;CHAR(10)&amp;'new info'!$I$1&amp;":"&amp;'new info'!I38&amp;CHAR(10)&amp;'new info'!$J$1&amp;":"&amp;'new info'!J38&amp;""&amp;$C$1&amp;'new info'!M38&amp;$E$1</f>
        <v>ART.
COMP:
WIDTH:
WEIGHT:</v>
      </c>
      <c r="C37" s="3"/>
      <c r="E37" s="2"/>
      <c r="F37" s="2"/>
    </row>
    <row r="38" spans="1:6" ht="112" hidden="1" customHeight="1" x14ac:dyDescent="0.25">
      <c r="A38" t="str">
        <f>'new info'!B39</f>
        <v/>
      </c>
      <c r="B38" s="3" t="str">
        <f>'new info'!A39&amp;'new info'!$C$1&amp;""&amp;'new info'!C39&amp;CHAR(10)&amp;'new info'!$G$1&amp;":"&amp;'new info'!G39&amp;CHAR(10)&amp;'new info'!$I$1&amp;":"&amp;'new info'!I39&amp;CHAR(10)&amp;'new info'!$J$1&amp;":"&amp;'new info'!J39&amp;""&amp;$C$1&amp;'new info'!M39&amp;$E$1</f>
        <v>ART.
COMP:
WIDTH:
WEIGHT:</v>
      </c>
      <c r="C38" s="3"/>
      <c r="E38" s="2"/>
    </row>
    <row r="39" spans="1:6" ht="112" hidden="1" customHeight="1" x14ac:dyDescent="0.25">
      <c r="A39" t="str">
        <f>'new info'!B40</f>
        <v/>
      </c>
      <c r="B39" s="3" t="str">
        <f>'new info'!A40&amp;'new info'!$C$1&amp;""&amp;'new info'!C40&amp;CHAR(10)&amp;'new info'!$G$1&amp;":"&amp;'new info'!G40&amp;CHAR(10)&amp;'new info'!$I$1&amp;":"&amp;'new info'!I40&amp;CHAR(10)&amp;'new info'!$J$1&amp;":"&amp;'new info'!J40&amp;""&amp;$C$1&amp;'new info'!M40&amp;$E$1</f>
        <v>ART.
COMP:
WIDTH:
WEIGHT:</v>
      </c>
      <c r="C39" s="3"/>
      <c r="E39" s="2"/>
    </row>
    <row r="40" spans="1:6" ht="112" hidden="1" customHeight="1" x14ac:dyDescent="0.25">
      <c r="A40" t="str">
        <f>'new info'!B41</f>
        <v/>
      </c>
      <c r="B40" s="3" t="str">
        <f>'new info'!A41&amp;'new info'!$C$1&amp;""&amp;'new info'!C41&amp;CHAR(10)&amp;'new info'!$G$1&amp;":"&amp;'new info'!G41&amp;CHAR(10)&amp;'new info'!$I$1&amp;":"&amp;'new info'!I41&amp;CHAR(10)&amp;'new info'!$J$1&amp;":"&amp;'new info'!J41&amp;""&amp;$C$1&amp;'new info'!M41&amp;$E$1</f>
        <v>ART.
COMP:
WIDTH:
WEIGHT:</v>
      </c>
      <c r="C40" s="3"/>
      <c r="E40" s="2"/>
      <c r="F40" s="2"/>
    </row>
    <row r="41" spans="1:6" ht="112" hidden="1" customHeight="1" x14ac:dyDescent="0.25">
      <c r="A41" t="str">
        <f>'new info'!B42</f>
        <v/>
      </c>
      <c r="B41" s="3" t="str">
        <f>'new info'!A42&amp;'new info'!$C$1&amp;""&amp;'new info'!C42&amp;CHAR(10)&amp;'new info'!$G$1&amp;":"&amp;'new info'!G42&amp;CHAR(10)&amp;'new info'!$I$1&amp;":"&amp;'new info'!I42&amp;CHAR(10)&amp;'new info'!$J$1&amp;":"&amp;'new info'!J42&amp;""&amp;$C$1&amp;'new info'!M42&amp;$E$1</f>
        <v>ART.
COMP:
WIDTH:
WEIGHT:</v>
      </c>
      <c r="C41" s="3"/>
      <c r="E41" s="2"/>
    </row>
    <row r="42" spans="1:6" ht="112" hidden="1" customHeight="1" x14ac:dyDescent="0.25">
      <c r="A42" t="str">
        <f>'new info'!B43</f>
        <v/>
      </c>
      <c r="B42" s="3" t="str">
        <f>'new info'!A43&amp;'new info'!$C$1&amp;""&amp;'new info'!C43&amp;CHAR(10)&amp;'new info'!$G$1&amp;":"&amp;'new info'!G43&amp;CHAR(10)&amp;'new info'!$I$1&amp;":"&amp;'new info'!I43&amp;CHAR(10)&amp;'new info'!$J$1&amp;":"&amp;'new info'!J43&amp;""&amp;$C$1&amp;'new info'!M43&amp;$E$1</f>
        <v>ART.
COMP:
WIDTH:
WEIGHT:</v>
      </c>
      <c r="C42" s="3"/>
      <c r="E42" s="2"/>
    </row>
    <row r="43" spans="1:6" ht="112" hidden="1" customHeight="1" x14ac:dyDescent="0.25">
      <c r="A43" t="str">
        <f>'new info'!B44</f>
        <v/>
      </c>
      <c r="B43" s="3" t="str">
        <f>'new info'!A44&amp;'new info'!$C$1&amp;""&amp;'new info'!C44&amp;CHAR(10)&amp;'new info'!$G$1&amp;":"&amp;'new info'!G44&amp;CHAR(10)&amp;'new info'!$I$1&amp;":"&amp;'new info'!I44&amp;CHAR(10)&amp;'new info'!$J$1&amp;":"&amp;'new info'!J44&amp;""&amp;$C$1&amp;'new info'!M44&amp;$E$1</f>
        <v>ART.
COMP:
WIDTH:
WEIGHT:</v>
      </c>
      <c r="C43" s="3"/>
      <c r="E43" s="2"/>
      <c r="F43" s="2"/>
    </row>
    <row r="44" spans="1:6" ht="112" hidden="1" customHeight="1" x14ac:dyDescent="0.25">
      <c r="A44" t="str">
        <f>'new info'!B45</f>
        <v/>
      </c>
      <c r="B44" s="3" t="str">
        <f>'new info'!A45&amp;'new info'!$C$1&amp;""&amp;'new info'!C45&amp;CHAR(10)&amp;'new info'!$G$1&amp;":"&amp;'new info'!G45&amp;CHAR(10)&amp;'new info'!$I$1&amp;":"&amp;'new info'!I45&amp;CHAR(10)&amp;'new info'!$J$1&amp;":"&amp;'new info'!J45&amp;""&amp;$C$1&amp;'new info'!M45&amp;$E$1</f>
        <v>ART.
COMP:
WIDTH:
WEIGHT:</v>
      </c>
      <c r="C44" s="3"/>
      <c r="E44" s="2"/>
    </row>
    <row r="45" spans="1:6" ht="112" hidden="1" customHeight="1" x14ac:dyDescent="0.25">
      <c r="A45" t="str">
        <f>'new info'!B46</f>
        <v/>
      </c>
      <c r="B45" s="3" t="str">
        <f>'new info'!A46&amp;'new info'!$C$1&amp;""&amp;'new info'!C46&amp;CHAR(10)&amp;'new info'!$G$1&amp;":"&amp;'new info'!G46&amp;CHAR(10)&amp;'new info'!$I$1&amp;":"&amp;'new info'!I46&amp;CHAR(10)&amp;'new info'!$J$1&amp;":"&amp;'new info'!J46&amp;""&amp;$C$1&amp;'new info'!M46&amp;$E$1</f>
        <v>ART.
COMP:
WIDTH:
WEIGHT:</v>
      </c>
      <c r="C45" s="3"/>
      <c r="E45" s="2"/>
    </row>
    <row r="46" spans="1:6" ht="112" hidden="1" customHeight="1" x14ac:dyDescent="0.25">
      <c r="A46" t="str">
        <f>'new info'!B47</f>
        <v/>
      </c>
      <c r="B46" s="3" t="str">
        <f>'new info'!A47&amp;'new info'!$C$1&amp;""&amp;'new info'!C47&amp;CHAR(10)&amp;'new info'!$G$1&amp;":"&amp;'new info'!G47&amp;CHAR(10)&amp;'new info'!$I$1&amp;":"&amp;'new info'!I47&amp;CHAR(10)&amp;'new info'!$J$1&amp;":"&amp;'new info'!J47&amp;""&amp;$C$1&amp;'new info'!M47&amp;$E$1</f>
        <v>ART.
COMP:
WIDTH:
WEIGHT:</v>
      </c>
      <c r="C46" s="3"/>
      <c r="E46" s="2"/>
      <c r="F46" s="2"/>
    </row>
    <row r="47" spans="1:6" ht="112" hidden="1" customHeight="1" x14ac:dyDescent="0.25">
      <c r="A47" t="str">
        <f>'new info'!B48</f>
        <v/>
      </c>
      <c r="B47" s="3" t="str">
        <f>'new info'!A48&amp;'new info'!$C$1&amp;""&amp;'new info'!C48&amp;CHAR(10)&amp;'new info'!$G$1&amp;":"&amp;'new info'!G48&amp;CHAR(10)&amp;'new info'!$I$1&amp;":"&amp;'new info'!I48&amp;CHAR(10)&amp;'new info'!$J$1&amp;":"&amp;'new info'!J48&amp;""&amp;$C$1&amp;'new info'!M48&amp;$E$1</f>
        <v>ART.
COMP:
WIDTH:
WEIGHT:</v>
      </c>
      <c r="C47" s="3"/>
      <c r="E47" s="2"/>
    </row>
    <row r="48" spans="1:6" ht="112" hidden="1" customHeight="1" x14ac:dyDescent="0.25">
      <c r="A48" t="str">
        <f>'new info'!B49</f>
        <v/>
      </c>
      <c r="B48" s="3" t="str">
        <f>'new info'!A49&amp;'new info'!$C$1&amp;""&amp;'new info'!C49&amp;CHAR(10)&amp;'new info'!$G$1&amp;":"&amp;'new info'!G49&amp;CHAR(10)&amp;'new info'!$I$1&amp;":"&amp;'new info'!I49&amp;CHAR(10)&amp;'new info'!$J$1&amp;":"&amp;'new info'!J49&amp;""&amp;$C$1&amp;'new info'!M49&amp;$E$1</f>
        <v>ART.
COMP:
WIDTH:
WEIGHT:</v>
      </c>
      <c r="C48" s="3"/>
      <c r="E48" s="2"/>
    </row>
    <row r="49" spans="1:6" ht="112" hidden="1" customHeight="1" x14ac:dyDescent="0.25">
      <c r="A49" t="str">
        <f>'new info'!B50</f>
        <v/>
      </c>
      <c r="B49" s="3" t="str">
        <f>'new info'!A50&amp;'new info'!$C$1&amp;""&amp;'new info'!C50&amp;CHAR(10)&amp;'new info'!$G$1&amp;":"&amp;'new info'!G50&amp;CHAR(10)&amp;'new info'!$I$1&amp;":"&amp;'new info'!I50&amp;CHAR(10)&amp;'new info'!$J$1&amp;":"&amp;'new info'!J50&amp;""&amp;$C$1&amp;'new info'!M50&amp;$E$1</f>
        <v>ART.
COMP:
WIDTH:
WEIGHT:</v>
      </c>
      <c r="C49" s="3"/>
      <c r="E49" s="2"/>
      <c r="F49" s="2"/>
    </row>
    <row r="50" spans="1:6" ht="112" hidden="1" customHeight="1" x14ac:dyDescent="0.25">
      <c r="A50" t="str">
        <f>'new info'!B51</f>
        <v/>
      </c>
      <c r="B50" s="3" t="str">
        <f>'new info'!A51&amp;'new info'!$C$1&amp;""&amp;'new info'!C51&amp;CHAR(10)&amp;'new info'!$G$1&amp;":"&amp;'new info'!G51&amp;CHAR(10)&amp;'new info'!$I$1&amp;":"&amp;'new info'!I51&amp;CHAR(10)&amp;'new info'!$J$1&amp;":"&amp;'new info'!J51&amp;""&amp;$C$1&amp;'new info'!M51&amp;$E$1</f>
        <v>ART.
COMP:
WIDTH:
WEIGHT:</v>
      </c>
      <c r="C50" s="3"/>
      <c r="E50" s="2"/>
    </row>
    <row r="51" spans="1:6" ht="112" hidden="1" customHeight="1" x14ac:dyDescent="0.25">
      <c r="A51" t="str">
        <f>'new info'!B52</f>
        <v/>
      </c>
      <c r="B51" s="3" t="str">
        <f>'new info'!A52&amp;'new info'!$C$1&amp;""&amp;'new info'!C52&amp;CHAR(10)&amp;'new info'!$G$1&amp;":"&amp;'new info'!G52&amp;CHAR(10)&amp;'new info'!$I$1&amp;":"&amp;'new info'!I52&amp;CHAR(10)&amp;'new info'!$J$1&amp;":"&amp;'new info'!J52&amp;""&amp;$C$1&amp;'new info'!M52&amp;$E$1</f>
        <v>ART.
COMP:
WIDTH:
WEIGHT:</v>
      </c>
      <c r="C51" s="3"/>
      <c r="E51" s="2"/>
    </row>
    <row r="52" spans="1:6" ht="112" hidden="1" customHeight="1" x14ac:dyDescent="0.25">
      <c r="A52" t="str">
        <f>'new info'!B53</f>
        <v/>
      </c>
      <c r="B52" s="3" t="str">
        <f>'new info'!A53&amp;'new info'!$C$1&amp;""&amp;'new info'!C53&amp;CHAR(10)&amp;'new info'!$G$1&amp;":"&amp;'new info'!G53&amp;CHAR(10)&amp;'new info'!$I$1&amp;":"&amp;'new info'!I53&amp;CHAR(10)&amp;'new info'!$J$1&amp;":"&amp;'new info'!J53&amp;""&amp;$C$1&amp;'new info'!M53&amp;$E$1</f>
        <v>ART.
COMP:
WIDTH:
WEIGHT:</v>
      </c>
      <c r="C52" s="3"/>
      <c r="E52" s="2"/>
      <c r="F52" s="2"/>
    </row>
    <row r="53" spans="1:6" ht="112" hidden="1" customHeight="1" x14ac:dyDescent="0.25">
      <c r="A53" t="str">
        <f>'new info'!B54</f>
        <v/>
      </c>
      <c r="B53" s="3" t="str">
        <f>'new info'!A54&amp;'new info'!$C$1&amp;""&amp;'new info'!C54&amp;CHAR(10)&amp;'new info'!$G$1&amp;":"&amp;'new info'!G54&amp;CHAR(10)&amp;'new info'!$I$1&amp;":"&amp;'new info'!I54&amp;CHAR(10)&amp;'new info'!$J$1&amp;":"&amp;'new info'!J54&amp;""&amp;$C$1&amp;'new info'!M54&amp;$E$1</f>
        <v>ART.
COMP:
WIDTH:
WEIGHT:</v>
      </c>
      <c r="C53" s="3"/>
      <c r="E53" s="2"/>
    </row>
    <row r="54" spans="1:6" ht="112" hidden="1" customHeight="1" x14ac:dyDescent="0.25">
      <c r="A54" t="str">
        <f>'new info'!B55</f>
        <v/>
      </c>
      <c r="B54" s="3" t="str">
        <f>'new info'!A55&amp;'new info'!$C$1&amp;""&amp;'new info'!C55&amp;CHAR(10)&amp;'new info'!$G$1&amp;":"&amp;'new info'!G55&amp;CHAR(10)&amp;'new info'!$I$1&amp;":"&amp;'new info'!I55&amp;CHAR(10)&amp;'new info'!$J$1&amp;":"&amp;'new info'!J55&amp;""&amp;$C$1&amp;'new info'!M55&amp;$E$1</f>
        <v>ART.
COMP:
WIDTH:
WEIGHT:</v>
      </c>
      <c r="C54" s="3"/>
      <c r="E54" s="2"/>
    </row>
    <row r="55" spans="1:6" ht="112" hidden="1" customHeight="1" x14ac:dyDescent="0.25">
      <c r="A55" t="str">
        <f>'new info'!B56</f>
        <v/>
      </c>
      <c r="B55" s="3" t="str">
        <f>'new info'!A56&amp;'new info'!$C$1&amp;""&amp;'new info'!C56&amp;CHAR(10)&amp;'new info'!$G$1&amp;":"&amp;'new info'!G56&amp;CHAR(10)&amp;'new info'!$I$1&amp;":"&amp;'new info'!I56&amp;CHAR(10)&amp;'new info'!$J$1&amp;":"&amp;'new info'!J56&amp;""&amp;$C$1&amp;'new info'!M56&amp;$E$1</f>
        <v>ART.
COMP:
WIDTH:
WEIGHT:</v>
      </c>
      <c r="C55" s="3"/>
      <c r="E55" s="2"/>
      <c r="F55" s="2"/>
    </row>
    <row r="56" spans="1:6" ht="112" hidden="1" customHeight="1" x14ac:dyDescent="0.25">
      <c r="A56" t="str">
        <f>'new info'!B57</f>
        <v/>
      </c>
      <c r="B56" s="3" t="str">
        <f>'new info'!A57&amp;'new info'!$C$1&amp;""&amp;'new info'!C57&amp;CHAR(10)&amp;'new info'!$G$1&amp;":"&amp;'new info'!G57&amp;CHAR(10)&amp;'new info'!$I$1&amp;":"&amp;'new info'!I57&amp;CHAR(10)&amp;'new info'!$J$1&amp;":"&amp;'new info'!J57&amp;""&amp;$C$1&amp;'new info'!M57&amp;$E$1</f>
        <v>ART.
COMP:
WIDTH:
WEIGHT:</v>
      </c>
      <c r="C56" s="3"/>
      <c r="E56" s="2"/>
    </row>
    <row r="57" spans="1:6" ht="112" hidden="1" customHeight="1" x14ac:dyDescent="0.25">
      <c r="A57" t="str">
        <f>'new info'!B58</f>
        <v/>
      </c>
      <c r="B57" s="3" t="str">
        <f>'new info'!A58&amp;'new info'!$C$1&amp;""&amp;'new info'!C58&amp;CHAR(10)&amp;'new info'!$G$1&amp;":"&amp;'new info'!G58&amp;CHAR(10)&amp;'new info'!$I$1&amp;":"&amp;'new info'!I58&amp;CHAR(10)&amp;'new info'!$J$1&amp;":"&amp;'new info'!J58&amp;""&amp;$C$1&amp;'new info'!M58&amp;$E$1</f>
        <v>ART.
COMP:
WIDTH:
WEIGHT:</v>
      </c>
      <c r="C57" s="3"/>
      <c r="E57" s="2"/>
    </row>
    <row r="58" spans="1:6" ht="112" hidden="1" customHeight="1" x14ac:dyDescent="0.25">
      <c r="A58" t="str">
        <f>'new info'!B59</f>
        <v/>
      </c>
      <c r="B58" s="3" t="str">
        <f>'new info'!A59&amp;'new info'!$C$1&amp;""&amp;'new info'!C59&amp;CHAR(10)&amp;'new info'!$G$1&amp;":"&amp;'new info'!G59&amp;CHAR(10)&amp;'new info'!$I$1&amp;":"&amp;'new info'!I59&amp;CHAR(10)&amp;'new info'!$J$1&amp;":"&amp;'new info'!J59&amp;""&amp;$C$1&amp;'new info'!M59&amp;$E$1</f>
        <v>ART.
COMP:
WIDTH:
WEIGHT:</v>
      </c>
      <c r="C58" s="3"/>
      <c r="E58" s="2"/>
      <c r="F58" s="2"/>
    </row>
    <row r="59" spans="1:6" ht="112" hidden="1" customHeight="1" x14ac:dyDescent="0.25">
      <c r="A59" t="str">
        <f>'new info'!B60</f>
        <v/>
      </c>
      <c r="B59" s="3" t="str">
        <f>'new info'!A60&amp;'new info'!$C$1&amp;""&amp;'new info'!C60&amp;CHAR(10)&amp;'new info'!$G$1&amp;":"&amp;'new info'!G60&amp;CHAR(10)&amp;'new info'!$I$1&amp;":"&amp;'new info'!I60&amp;CHAR(10)&amp;'new info'!$J$1&amp;":"&amp;'new info'!J60&amp;""&amp;$C$1&amp;'new info'!M60&amp;$E$1</f>
        <v>ART.
COMP:
WIDTH:
WEIGHT:</v>
      </c>
      <c r="C59" s="3"/>
      <c r="E59" s="2"/>
    </row>
    <row r="60" spans="1:6" ht="112" hidden="1" customHeight="1" x14ac:dyDescent="0.25">
      <c r="A60" t="str">
        <f>'new info'!B61</f>
        <v/>
      </c>
      <c r="B60" s="3" t="str">
        <f>'new info'!A61&amp;'new info'!$C$1&amp;""&amp;'new info'!C61&amp;CHAR(10)&amp;'new info'!$G$1&amp;":"&amp;'new info'!G61&amp;CHAR(10)&amp;'new info'!$I$1&amp;":"&amp;'new info'!I61&amp;CHAR(10)&amp;'new info'!$J$1&amp;":"&amp;'new info'!J61&amp;""&amp;$C$1&amp;'new info'!M61&amp;$E$1</f>
        <v>ART.
COMP:
WIDTH:
WEIGHT:</v>
      </c>
      <c r="C60" s="3"/>
      <c r="E60" s="2"/>
    </row>
    <row r="61" spans="1:6" ht="112" hidden="1" customHeight="1" x14ac:dyDescent="0.25">
      <c r="A61" t="str">
        <f>'new info'!B62</f>
        <v/>
      </c>
      <c r="B61" s="3" t="str">
        <f>'new info'!A62&amp;'new info'!$C$1&amp;""&amp;'new info'!C62&amp;CHAR(10)&amp;'new info'!$G$1&amp;":"&amp;'new info'!G62&amp;CHAR(10)&amp;'new info'!$I$1&amp;":"&amp;'new info'!I62&amp;CHAR(10)&amp;'new info'!$J$1&amp;":"&amp;'new info'!J62&amp;""&amp;$C$1&amp;'new info'!M62&amp;$E$1</f>
        <v>ART.
COMP:
WIDTH:
WEIGHT:</v>
      </c>
      <c r="C61" s="3"/>
      <c r="E61" s="2"/>
      <c r="F61" s="2"/>
    </row>
    <row r="62" spans="1:6" ht="112" hidden="1" customHeight="1" x14ac:dyDescent="0.25">
      <c r="A62" t="str">
        <f>'new info'!B63</f>
        <v/>
      </c>
      <c r="B62" s="3" t="str">
        <f>'new info'!A63&amp;'new info'!$C$1&amp;""&amp;'new info'!C63&amp;CHAR(10)&amp;'new info'!$G$1&amp;":"&amp;'new info'!G63&amp;CHAR(10)&amp;'new info'!$I$1&amp;":"&amp;'new info'!I63&amp;CHAR(10)&amp;'new info'!$J$1&amp;":"&amp;'new info'!J63&amp;""&amp;$C$1&amp;'new info'!M63&amp;$E$1</f>
        <v>ART.
COMP:
WIDTH:
WEIGHT:</v>
      </c>
      <c r="C62" s="3"/>
      <c r="E62" s="2"/>
    </row>
    <row r="63" spans="1:6" ht="112" hidden="1" customHeight="1" x14ac:dyDescent="0.25">
      <c r="A63" t="str">
        <f>'new info'!B64</f>
        <v/>
      </c>
      <c r="B63" s="3" t="str">
        <f>'new info'!A64&amp;'new info'!$C$1&amp;""&amp;'new info'!C64&amp;CHAR(10)&amp;'new info'!$G$1&amp;":"&amp;'new info'!G64&amp;CHAR(10)&amp;'new info'!$I$1&amp;":"&amp;'new info'!I64&amp;CHAR(10)&amp;'new info'!$J$1&amp;":"&amp;'new info'!J64&amp;""&amp;$C$1&amp;'new info'!M64&amp;$E$1</f>
        <v>ART.
COMP:
WIDTH:
WEIGHT:</v>
      </c>
      <c r="C63" s="3"/>
      <c r="E63" s="2"/>
    </row>
    <row r="64" spans="1:6" ht="112" hidden="1" customHeight="1" x14ac:dyDescent="0.25">
      <c r="A64" t="str">
        <f>'new info'!B65</f>
        <v/>
      </c>
      <c r="B64" s="3" t="str">
        <f>'new info'!A65&amp;'new info'!$C$1&amp;""&amp;'new info'!C65&amp;CHAR(10)&amp;'new info'!$G$1&amp;":"&amp;'new info'!G65&amp;CHAR(10)&amp;'new info'!$I$1&amp;":"&amp;'new info'!I65&amp;CHAR(10)&amp;'new info'!$J$1&amp;":"&amp;'new info'!J65&amp;""&amp;$C$1&amp;'new info'!M65&amp;$E$1</f>
        <v>ART.
COMP:
WIDTH:
WEIGHT:</v>
      </c>
      <c r="C64" s="3"/>
      <c r="E64" s="2"/>
      <c r="F64" s="2"/>
    </row>
    <row r="65" spans="1:6" ht="112" hidden="1" customHeight="1" x14ac:dyDescent="0.25">
      <c r="A65" t="str">
        <f>'new info'!B66</f>
        <v/>
      </c>
      <c r="B65" s="3" t="str">
        <f>'new info'!A66&amp;'new info'!$C$1&amp;""&amp;'new info'!C66&amp;CHAR(10)&amp;'new info'!$G$1&amp;":"&amp;'new info'!G66&amp;CHAR(10)&amp;'new info'!$I$1&amp;":"&amp;'new info'!I66&amp;CHAR(10)&amp;'new info'!$J$1&amp;":"&amp;'new info'!J66&amp;""&amp;$C$1&amp;'new info'!M66&amp;$E$1</f>
        <v>ART.
COMP:
WIDTH:
WEIGHT:</v>
      </c>
      <c r="C65" s="3"/>
      <c r="E65" s="2"/>
    </row>
    <row r="66" spans="1:6" ht="112" hidden="1" customHeight="1" x14ac:dyDescent="0.25">
      <c r="A66" t="str">
        <f>'new info'!B67</f>
        <v/>
      </c>
      <c r="B66" s="3" t="str">
        <f>'new info'!A67&amp;'new info'!$C$1&amp;""&amp;'new info'!C67&amp;CHAR(10)&amp;'new info'!$G$1&amp;":"&amp;'new info'!G67&amp;CHAR(10)&amp;'new info'!$I$1&amp;":"&amp;'new info'!I67&amp;CHAR(10)&amp;'new info'!$J$1&amp;":"&amp;'new info'!J67&amp;""&amp;$C$1&amp;'new info'!M67&amp;$E$1</f>
        <v>ART.
COMP:
WIDTH:
WEIGHT:</v>
      </c>
      <c r="C66" s="3"/>
      <c r="E66" s="2"/>
    </row>
    <row r="67" spans="1:6" ht="112" hidden="1" customHeight="1" x14ac:dyDescent="0.25">
      <c r="A67" t="str">
        <f>'new info'!B68</f>
        <v/>
      </c>
      <c r="B67" s="3" t="str">
        <f>'new info'!A68&amp;'new info'!$C$1&amp;""&amp;'new info'!C68&amp;CHAR(10)&amp;'new info'!$G$1&amp;":"&amp;'new info'!G68&amp;CHAR(10)&amp;'new info'!$I$1&amp;":"&amp;'new info'!I68&amp;CHAR(10)&amp;'new info'!$J$1&amp;":"&amp;'new info'!J68&amp;""&amp;$C$1&amp;'new info'!M68&amp;$E$1</f>
        <v>ART.
COMP:
WIDTH:
WEIGHT:</v>
      </c>
      <c r="C67" s="3"/>
      <c r="E67" s="2"/>
      <c r="F67" s="2"/>
    </row>
    <row r="68" spans="1:6" ht="112" hidden="1" customHeight="1" x14ac:dyDescent="0.25">
      <c r="A68" t="str">
        <f>'new info'!B69</f>
        <v/>
      </c>
      <c r="B68" s="3" t="str">
        <f>'new info'!A69&amp;'new info'!$C$1&amp;""&amp;'new info'!C69&amp;CHAR(10)&amp;'new info'!$G$1&amp;":"&amp;'new info'!G69&amp;CHAR(10)&amp;'new info'!$I$1&amp;":"&amp;'new info'!I69&amp;CHAR(10)&amp;'new info'!$J$1&amp;":"&amp;'new info'!J69&amp;""&amp;$C$1&amp;'new info'!M69&amp;$E$1</f>
        <v>ART.
COMP:
WIDTH:
WEIGHT:</v>
      </c>
      <c r="C68" s="3"/>
      <c r="E68" s="2"/>
    </row>
    <row r="69" spans="1:6" ht="112" hidden="1" customHeight="1" x14ac:dyDescent="0.25">
      <c r="A69" t="str">
        <f>'new info'!B70</f>
        <v/>
      </c>
      <c r="B69" s="3" t="str">
        <f>'new info'!A70&amp;'new info'!$C$1&amp;""&amp;'new info'!C70&amp;CHAR(10)&amp;'new info'!$G$1&amp;":"&amp;'new info'!G70&amp;CHAR(10)&amp;'new info'!$I$1&amp;":"&amp;'new info'!I70&amp;CHAR(10)&amp;'new info'!$J$1&amp;":"&amp;'new info'!J70&amp;""&amp;$C$1&amp;'new info'!M70&amp;$E$1</f>
        <v>ART.
COMP:
WIDTH:
WEIGHT:</v>
      </c>
      <c r="C69" s="3"/>
      <c r="E69" s="2"/>
    </row>
    <row r="70" spans="1:6" ht="112" hidden="1" customHeight="1" x14ac:dyDescent="0.25">
      <c r="A70" t="str">
        <f>'new info'!B71</f>
        <v/>
      </c>
      <c r="B70" s="3" t="str">
        <f>'new info'!A71&amp;'new info'!$C$1&amp;""&amp;'new info'!C71&amp;CHAR(10)&amp;'new info'!$G$1&amp;":"&amp;'new info'!G71&amp;CHAR(10)&amp;'new info'!$I$1&amp;":"&amp;'new info'!I71&amp;CHAR(10)&amp;'new info'!$J$1&amp;":"&amp;'new info'!J71&amp;""&amp;$C$1&amp;'new info'!M71&amp;$E$1</f>
        <v>ART.
COMP:
WIDTH:
WEIGHT:</v>
      </c>
      <c r="C70" s="3"/>
      <c r="E70" s="2"/>
      <c r="F70" s="2"/>
    </row>
    <row r="71" spans="1:6" ht="112" hidden="1" customHeight="1" x14ac:dyDescent="0.25">
      <c r="A71" t="str">
        <f>'new info'!B72</f>
        <v/>
      </c>
      <c r="B71" s="3" t="str">
        <f>'new info'!A72&amp;'new info'!$C$1&amp;""&amp;'new info'!C72&amp;CHAR(10)&amp;'new info'!$G$1&amp;":"&amp;'new info'!G72&amp;CHAR(10)&amp;'new info'!$I$1&amp;":"&amp;'new info'!I72&amp;CHAR(10)&amp;'new info'!$J$1&amp;":"&amp;'new info'!J72&amp;""&amp;$C$1&amp;'new info'!M72&amp;$E$1</f>
        <v>ART.
COMP:
WIDTH:
WEIGHT:</v>
      </c>
      <c r="C71" s="3"/>
      <c r="E71" s="2"/>
    </row>
    <row r="72" spans="1:6" ht="112" hidden="1" customHeight="1" x14ac:dyDescent="0.25">
      <c r="A72" t="str">
        <f>'new info'!B73</f>
        <v/>
      </c>
      <c r="B72" s="3" t="str">
        <f>'new info'!A73&amp;'new info'!$C$1&amp;""&amp;'new info'!C73&amp;CHAR(10)&amp;'new info'!$G$1&amp;":"&amp;'new info'!G73&amp;CHAR(10)&amp;'new info'!$I$1&amp;":"&amp;'new info'!I73&amp;CHAR(10)&amp;'new info'!$J$1&amp;":"&amp;'new info'!J73&amp;""&amp;$C$1&amp;'new info'!M73&amp;$E$1</f>
        <v>ART.
COMP:
WIDTH:
WEIGHT:</v>
      </c>
      <c r="C72" s="3"/>
      <c r="E72" s="2"/>
    </row>
    <row r="73" spans="1:6" ht="112" hidden="1" customHeight="1" x14ac:dyDescent="0.25">
      <c r="A73" t="str">
        <f>'new info'!B74</f>
        <v/>
      </c>
      <c r="B73" s="3" t="str">
        <f>'new info'!A74&amp;'new info'!$C$1&amp;""&amp;'new info'!C74&amp;CHAR(10)&amp;'new info'!$G$1&amp;":"&amp;'new info'!G74&amp;CHAR(10)&amp;'new info'!$I$1&amp;":"&amp;'new info'!I74&amp;CHAR(10)&amp;'new info'!$J$1&amp;":"&amp;'new info'!J74&amp;""&amp;$C$1&amp;'new info'!M74&amp;$E$1</f>
        <v>ART.
COMP:
WIDTH:
WEIGHT:</v>
      </c>
      <c r="C73" s="3"/>
      <c r="E73" s="2"/>
      <c r="F73" s="2"/>
    </row>
    <row r="74" spans="1:6" ht="112" hidden="1" customHeight="1" x14ac:dyDescent="0.25">
      <c r="A74" t="str">
        <f>'new info'!B75</f>
        <v/>
      </c>
      <c r="B74" s="3" t="str">
        <f>'new info'!A75&amp;'new info'!$C$1&amp;""&amp;'new info'!C75&amp;CHAR(10)&amp;'new info'!$G$1&amp;":"&amp;'new info'!G75&amp;CHAR(10)&amp;'new info'!$I$1&amp;":"&amp;'new info'!I75&amp;CHAR(10)&amp;'new info'!$J$1&amp;":"&amp;'new info'!J75&amp;""&amp;$C$1&amp;'new info'!M75&amp;$E$1</f>
        <v>ART.
COMP:
WIDTH:
WEIGHT:</v>
      </c>
      <c r="C74" s="3"/>
      <c r="E74" s="2"/>
    </row>
    <row r="75" spans="1:6" ht="112" hidden="1" customHeight="1" x14ac:dyDescent="0.25">
      <c r="A75" t="str">
        <f>'new info'!B76</f>
        <v/>
      </c>
      <c r="B75" s="3" t="str">
        <f>'new info'!A76&amp;'new info'!$C$1&amp;""&amp;'new info'!C76&amp;CHAR(10)&amp;'new info'!$G$1&amp;":"&amp;'new info'!G76&amp;CHAR(10)&amp;'new info'!$I$1&amp;":"&amp;'new info'!I76&amp;CHAR(10)&amp;'new info'!$J$1&amp;":"&amp;'new info'!J76&amp;""&amp;$C$1&amp;'new info'!M76&amp;$E$1</f>
        <v>ART.
COMP:
WIDTH:
WEIGHT:</v>
      </c>
      <c r="C75" s="3"/>
      <c r="E75" s="2"/>
    </row>
    <row r="76" spans="1:6" ht="112" hidden="1" customHeight="1" x14ac:dyDescent="0.25">
      <c r="A76" t="str">
        <f>'new info'!B77</f>
        <v/>
      </c>
      <c r="B76" s="3" t="str">
        <f>'new info'!A77&amp;'new info'!$C$1&amp;""&amp;'new info'!C77&amp;CHAR(10)&amp;'new info'!$G$1&amp;":"&amp;'new info'!G77&amp;CHAR(10)&amp;'new info'!$I$1&amp;":"&amp;'new info'!I77&amp;CHAR(10)&amp;'new info'!$J$1&amp;":"&amp;'new info'!J77&amp;""&amp;$C$1&amp;'new info'!M77&amp;$E$1</f>
        <v>ART.
COMP:
WIDTH:
WEIGHT:</v>
      </c>
      <c r="C76" s="3"/>
      <c r="E76" s="2"/>
      <c r="F76" s="2"/>
    </row>
    <row r="77" spans="1:6" ht="112" hidden="1" customHeight="1" x14ac:dyDescent="0.25">
      <c r="A77" t="str">
        <f>'new info'!B78</f>
        <v/>
      </c>
      <c r="B77" s="3" t="str">
        <f>'new info'!A78&amp;'new info'!$C$1&amp;""&amp;'new info'!C78&amp;CHAR(10)&amp;'new info'!$G$1&amp;":"&amp;'new info'!G78&amp;CHAR(10)&amp;'new info'!$I$1&amp;":"&amp;'new info'!I78&amp;CHAR(10)&amp;'new info'!$J$1&amp;":"&amp;'new info'!J78&amp;""&amp;$C$1&amp;'new info'!M78&amp;$E$1</f>
        <v>ART.
COMP:
WIDTH:
WEIGHT:</v>
      </c>
      <c r="C77" s="3"/>
      <c r="E77" s="2"/>
    </row>
    <row r="78" spans="1:6" ht="112" hidden="1" customHeight="1" x14ac:dyDescent="0.25">
      <c r="A78" t="str">
        <f>'new info'!B79</f>
        <v/>
      </c>
      <c r="B78" s="3" t="str">
        <f>'new info'!A79&amp;'new info'!$C$1&amp;""&amp;'new info'!C79&amp;CHAR(10)&amp;'new info'!$G$1&amp;":"&amp;'new info'!G79&amp;CHAR(10)&amp;'new info'!$I$1&amp;":"&amp;'new info'!I79&amp;CHAR(10)&amp;'new info'!$J$1&amp;":"&amp;'new info'!J79&amp;""&amp;$C$1&amp;'new info'!M79&amp;$E$1</f>
        <v>ART.
COMP:
WIDTH:
WEIGHT:</v>
      </c>
      <c r="C78" s="3"/>
    </row>
    <row r="79" spans="1:6" ht="112" hidden="1" customHeight="1" x14ac:dyDescent="0.25">
      <c r="A79" t="str">
        <f>'new info'!B80</f>
        <v/>
      </c>
      <c r="B79" s="3" t="str">
        <f>'new info'!A80&amp;'new info'!$C$1&amp;""&amp;'new info'!C80&amp;CHAR(10)&amp;'new info'!$G$1&amp;":"&amp;'new info'!G80&amp;CHAR(10)&amp;'new info'!$I$1&amp;":"&amp;'new info'!I80&amp;CHAR(10)&amp;'new info'!$J$1&amp;":"&amp;'new info'!J80&amp;""&amp;$C$1&amp;'new info'!M80&amp;$E$1</f>
        <v>ART.
COMP:
WIDTH:
WEIGHT:</v>
      </c>
      <c r="C79" s="3"/>
    </row>
    <row r="80" spans="1:6" ht="112" hidden="1" customHeight="1" x14ac:dyDescent="0.25">
      <c r="A80" t="str">
        <f>'new info'!B81</f>
        <v/>
      </c>
      <c r="B80" s="3" t="str">
        <f>'new info'!A81&amp;'new info'!$C$1&amp;""&amp;'new info'!C81&amp;CHAR(10)&amp;'new info'!$G$1&amp;":"&amp;'new info'!G81&amp;CHAR(10)&amp;'new info'!$I$1&amp;":"&amp;'new info'!I81&amp;CHAR(10)&amp;'new info'!$J$1&amp;":"&amp;'new info'!J81&amp;""&amp;$C$1&amp;'new info'!M81&amp;$E$1</f>
        <v>ART.
COMP:
WIDTH:
WEIGHT:</v>
      </c>
      <c r="C80" s="3"/>
    </row>
    <row r="81" spans="1:3" ht="112" hidden="1" customHeight="1" x14ac:dyDescent="0.25">
      <c r="A81" t="str">
        <f>'new info'!B82</f>
        <v/>
      </c>
      <c r="B81" s="3" t="str">
        <f>'new info'!A82&amp;'new info'!$C$1&amp;""&amp;'new info'!C82&amp;CHAR(10)&amp;'new info'!$G$1&amp;":"&amp;'new info'!G82&amp;CHAR(10)&amp;'new info'!$I$1&amp;":"&amp;'new info'!I82&amp;CHAR(10)&amp;'new info'!$J$1&amp;":"&amp;'new info'!J82&amp;""&amp;$C$1&amp;'new info'!M82&amp;$E$1</f>
        <v>ART.
COMP:
WIDTH:
WEIGHT:</v>
      </c>
      <c r="C81" s="3"/>
    </row>
    <row r="82" spans="1:3" ht="112" hidden="1" customHeight="1" x14ac:dyDescent="0.25">
      <c r="A82" t="str">
        <f>'new info'!B83</f>
        <v/>
      </c>
      <c r="B82" s="3" t="str">
        <f>'new info'!A83&amp;'new info'!$C$1&amp;""&amp;'new info'!C83&amp;CHAR(10)&amp;'new info'!$G$1&amp;":"&amp;'new info'!G83&amp;CHAR(10)&amp;'new info'!$I$1&amp;":"&amp;'new info'!I83&amp;CHAR(10)&amp;'new info'!$J$1&amp;":"&amp;'new info'!J83&amp;""&amp;$C$1&amp;'new info'!M83&amp;$E$1</f>
        <v>ART.
COMP:
WIDTH:
WEIGHT:</v>
      </c>
      <c r="C82" s="3"/>
    </row>
    <row r="83" spans="1:3" ht="112" hidden="1" customHeight="1" x14ac:dyDescent="0.25">
      <c r="A83" t="str">
        <f>'new info'!B84</f>
        <v/>
      </c>
      <c r="B83" s="3" t="str">
        <f>'new info'!A84&amp;'new info'!$C$1&amp;""&amp;'new info'!C84&amp;CHAR(10)&amp;'new info'!$G$1&amp;":"&amp;'new info'!G84&amp;CHAR(10)&amp;'new info'!$I$1&amp;":"&amp;'new info'!I84&amp;CHAR(10)&amp;'new info'!$J$1&amp;":"&amp;'new info'!J84&amp;""&amp;$C$1&amp;'new info'!M84&amp;$E$1</f>
        <v>ART.
COMP:
WIDTH:
WEIGHT:</v>
      </c>
      <c r="C83" s="3"/>
    </row>
    <row r="84" spans="1:3" ht="112" hidden="1" customHeight="1" x14ac:dyDescent="0.25">
      <c r="A84" t="str">
        <f>'new info'!B85</f>
        <v/>
      </c>
      <c r="B84" s="3" t="str">
        <f>'new info'!A85&amp;'new info'!$C$1&amp;""&amp;'new info'!C85&amp;CHAR(10)&amp;'new info'!$G$1&amp;":"&amp;'new info'!G85&amp;CHAR(10)&amp;'new info'!$I$1&amp;":"&amp;'new info'!I85&amp;CHAR(10)&amp;'new info'!$J$1&amp;":"&amp;'new info'!J85&amp;""&amp;$C$1&amp;'new info'!M85&amp;$E$1</f>
        <v>ART.
COMP:
WIDTH:
WEIGHT:</v>
      </c>
      <c r="C84" s="3"/>
    </row>
    <row r="85" spans="1:3" ht="112" hidden="1" customHeight="1" x14ac:dyDescent="0.25">
      <c r="A85" t="str">
        <f>'new info'!B86</f>
        <v/>
      </c>
      <c r="B85" s="3" t="str">
        <f>'new info'!A86&amp;'new info'!$C$1&amp;""&amp;'new info'!C86&amp;CHAR(10)&amp;'new info'!$G$1&amp;":"&amp;'new info'!G86&amp;CHAR(10)&amp;'new info'!$I$1&amp;":"&amp;'new info'!I86&amp;CHAR(10)&amp;'new info'!$J$1&amp;":"&amp;'new info'!J86&amp;""&amp;$C$1&amp;'new info'!M86&amp;$E$1</f>
        <v>ART.
COMP:
WIDTH:
WEIGHT:</v>
      </c>
      <c r="C85" s="3"/>
    </row>
    <row r="86" spans="1:3" ht="112" hidden="1" customHeight="1" x14ac:dyDescent="0.25">
      <c r="A86" t="str">
        <f>'new info'!B87</f>
        <v/>
      </c>
      <c r="B86" s="3" t="str">
        <f>'new info'!A87&amp;'new info'!$C$1&amp;""&amp;'new info'!C87&amp;CHAR(10)&amp;'new info'!$G$1&amp;":"&amp;'new info'!G87&amp;CHAR(10)&amp;'new info'!$I$1&amp;":"&amp;'new info'!I87&amp;CHAR(10)&amp;'new info'!$J$1&amp;":"&amp;'new info'!J87&amp;""&amp;$C$1&amp;'new info'!M87&amp;$E$1</f>
        <v>ART.
COMP:
WIDTH:
WEIGHT:</v>
      </c>
      <c r="C86" s="3"/>
    </row>
    <row r="87" spans="1:3" ht="112" hidden="1" customHeight="1" x14ac:dyDescent="0.25">
      <c r="A87" t="str">
        <f>'new info'!B88</f>
        <v/>
      </c>
      <c r="B87" s="3" t="str">
        <f>'new info'!A88&amp;'new info'!$C$1&amp;""&amp;'new info'!C88&amp;CHAR(10)&amp;'new info'!$G$1&amp;":"&amp;'new info'!G88&amp;CHAR(10)&amp;'new info'!$I$1&amp;":"&amp;'new info'!I88&amp;CHAR(10)&amp;'new info'!$J$1&amp;":"&amp;'new info'!J88&amp;""&amp;$C$1&amp;'new info'!M88&amp;$E$1</f>
        <v>ART.
COMP:
WIDTH:
WEIGHT:</v>
      </c>
      <c r="C87" s="3"/>
    </row>
    <row r="88" spans="1:3" ht="112" hidden="1" customHeight="1" x14ac:dyDescent="0.25">
      <c r="A88" t="str">
        <f>'new info'!B89</f>
        <v/>
      </c>
      <c r="B88" s="3" t="str">
        <f>'new info'!A89&amp;'new info'!$C$1&amp;""&amp;'new info'!C89&amp;CHAR(10)&amp;'new info'!$G$1&amp;":"&amp;'new info'!G89&amp;CHAR(10)&amp;'new info'!$I$1&amp;":"&amp;'new info'!I89&amp;CHAR(10)&amp;'new info'!$J$1&amp;":"&amp;'new info'!J89&amp;""&amp;$C$1&amp;'new info'!M89&amp;$E$1</f>
        <v>ART.
COMP:
WIDTH:
WEIGHT:</v>
      </c>
      <c r="C88" s="3"/>
    </row>
    <row r="89" spans="1:3" ht="112" hidden="1" customHeight="1" x14ac:dyDescent="0.25">
      <c r="A89" t="str">
        <f>'new info'!B90</f>
        <v/>
      </c>
      <c r="B89" s="3" t="str">
        <f>'new info'!A90&amp;'new info'!$C$1&amp;""&amp;'new info'!C90&amp;CHAR(10)&amp;'new info'!$G$1&amp;":"&amp;'new info'!G90&amp;CHAR(10)&amp;'new info'!$I$1&amp;":"&amp;'new info'!I90&amp;CHAR(10)&amp;'new info'!$J$1&amp;":"&amp;'new info'!J90&amp;""&amp;$C$1&amp;'new info'!M90&amp;$E$1</f>
        <v>ART.
COMP:
WIDTH:
WEIGHT:</v>
      </c>
      <c r="C89" s="3"/>
    </row>
    <row r="90" spans="1:3" ht="112" hidden="1" customHeight="1" x14ac:dyDescent="0.25">
      <c r="A90" t="str">
        <f>'new info'!B91</f>
        <v/>
      </c>
      <c r="B90" s="3" t="str">
        <f>'new info'!A91&amp;'new info'!$C$1&amp;""&amp;'new info'!C91&amp;CHAR(10)&amp;'new info'!$G$1&amp;":"&amp;'new info'!G91&amp;CHAR(10)&amp;'new info'!$I$1&amp;":"&amp;'new info'!I91&amp;CHAR(10)&amp;'new info'!$J$1&amp;":"&amp;'new info'!J91&amp;""&amp;$C$1&amp;'new info'!M91&amp;$E$1</f>
        <v>ART.
COMP:
WIDTH:
WEIGHT:</v>
      </c>
      <c r="C90" s="3"/>
    </row>
    <row r="91" spans="1:3" ht="112" hidden="1" customHeight="1" x14ac:dyDescent="0.25">
      <c r="A91" t="str">
        <f>'new info'!B92</f>
        <v/>
      </c>
      <c r="B91" s="3" t="str">
        <f>'new info'!A92&amp;'new info'!$C$1&amp;""&amp;'new info'!C92&amp;CHAR(10)&amp;'new info'!$G$1&amp;":"&amp;'new info'!G92&amp;CHAR(10)&amp;'new info'!$I$1&amp;":"&amp;'new info'!I92&amp;CHAR(10)&amp;'new info'!$J$1&amp;":"&amp;'new info'!J92&amp;""&amp;$C$1&amp;'new info'!M92&amp;$E$1</f>
        <v>ART.
COMP:
WIDTH:
WEIGHT:</v>
      </c>
      <c r="C91" s="3"/>
    </row>
    <row r="92" spans="1:3" ht="112" hidden="1" customHeight="1" x14ac:dyDescent="0.25">
      <c r="A92" t="str">
        <f>'new info'!B93</f>
        <v/>
      </c>
      <c r="B92" s="3" t="str">
        <f>'new info'!A93&amp;'new info'!$C$1&amp;""&amp;'new info'!C93&amp;CHAR(10)&amp;'new info'!$G$1&amp;":"&amp;'new info'!G93&amp;CHAR(10)&amp;'new info'!$I$1&amp;":"&amp;'new info'!I93&amp;CHAR(10)&amp;'new info'!$J$1&amp;":"&amp;'new info'!J93&amp;""&amp;$C$1&amp;'new info'!M93&amp;$E$1</f>
        <v>ART.
COMP:
WIDTH:
WEIGHT:</v>
      </c>
      <c r="C92" s="3"/>
    </row>
    <row r="93" spans="1:3" ht="112" hidden="1" customHeight="1" x14ac:dyDescent="0.25">
      <c r="A93" t="str">
        <f>'new info'!B94</f>
        <v/>
      </c>
      <c r="B93" s="3" t="str">
        <f>'new info'!A94&amp;'new info'!$C$1&amp;""&amp;'new info'!C94&amp;CHAR(10)&amp;'new info'!$G$1&amp;":"&amp;'new info'!G94&amp;CHAR(10)&amp;'new info'!$I$1&amp;":"&amp;'new info'!I94&amp;CHAR(10)&amp;'new info'!$J$1&amp;":"&amp;'new info'!J94&amp;""&amp;$C$1&amp;'new info'!M94&amp;$E$1</f>
        <v>ART.
COMP:
WIDTH:
WEIGHT:</v>
      </c>
      <c r="C93" s="3"/>
    </row>
    <row r="94" spans="1:3" ht="112" hidden="1" customHeight="1" x14ac:dyDescent="0.25">
      <c r="A94" t="str">
        <f>'new info'!B95</f>
        <v/>
      </c>
      <c r="B94" s="3" t="str">
        <f>'new info'!A95&amp;'new info'!$C$1&amp;""&amp;'new info'!C95&amp;CHAR(10)&amp;'new info'!$G$1&amp;":"&amp;'new info'!G95&amp;CHAR(10)&amp;'new info'!$I$1&amp;":"&amp;'new info'!I95&amp;CHAR(10)&amp;'new info'!$J$1&amp;":"&amp;'new info'!J95&amp;""&amp;$C$1&amp;'new info'!M95&amp;$E$1</f>
        <v>ART.
COMP:
WIDTH:
WEIGHT:</v>
      </c>
      <c r="C94" s="3"/>
    </row>
    <row r="95" spans="1:3" ht="112" hidden="1" customHeight="1" x14ac:dyDescent="0.25">
      <c r="A95" t="str">
        <f>'new info'!B96</f>
        <v/>
      </c>
      <c r="B95" s="3" t="str">
        <f>'new info'!A96&amp;'new info'!$C$1&amp;""&amp;'new info'!C96&amp;CHAR(10)&amp;'new info'!$G$1&amp;":"&amp;'new info'!G96&amp;CHAR(10)&amp;'new info'!$I$1&amp;":"&amp;'new info'!I96&amp;CHAR(10)&amp;'new info'!$J$1&amp;":"&amp;'new info'!J96&amp;""&amp;$C$1&amp;'new info'!M96&amp;$E$1</f>
        <v>ART.
COMP:
WIDTH:
WEIGHT:</v>
      </c>
      <c r="C95" s="3"/>
    </row>
    <row r="96" spans="1:3" ht="112" hidden="1" customHeight="1" x14ac:dyDescent="0.25">
      <c r="A96" t="str">
        <f>'new info'!B97</f>
        <v/>
      </c>
      <c r="B96" s="3" t="str">
        <f>'new info'!A97&amp;'new info'!$C$1&amp;""&amp;'new info'!C97&amp;CHAR(10)&amp;'new info'!$G$1&amp;":"&amp;'new info'!G97&amp;CHAR(10)&amp;'new info'!$I$1&amp;":"&amp;'new info'!I97&amp;CHAR(10)&amp;'new info'!$J$1&amp;":"&amp;'new info'!J97&amp;""&amp;$C$1&amp;'new info'!M97&amp;$E$1</f>
        <v>ART.
COMP:
WIDTH:
WEIGHT:</v>
      </c>
      <c r="C96" s="3"/>
    </row>
    <row r="97" spans="1:3" ht="112" hidden="1" customHeight="1" x14ac:dyDescent="0.25">
      <c r="A97" t="str">
        <f>'new info'!B98</f>
        <v/>
      </c>
      <c r="B97" s="3" t="str">
        <f>'new info'!A98&amp;'new info'!$C$1&amp;""&amp;'new info'!C98&amp;CHAR(10)&amp;'new info'!$G$1&amp;":"&amp;'new info'!G98&amp;CHAR(10)&amp;'new info'!$I$1&amp;":"&amp;'new info'!I98&amp;CHAR(10)&amp;'new info'!$J$1&amp;":"&amp;'new info'!J98&amp;""&amp;$C$1&amp;'new info'!M98&amp;$E$1</f>
        <v>ART.
COMP:
WIDTH:
WEIGHT:</v>
      </c>
      <c r="C97" s="3"/>
    </row>
    <row r="98" spans="1:3" ht="112" hidden="1" customHeight="1" x14ac:dyDescent="0.25">
      <c r="A98" t="str">
        <f>'new info'!B99</f>
        <v/>
      </c>
      <c r="B98" s="3" t="str">
        <f>'new info'!A99&amp;'new info'!$C$1&amp;""&amp;'new info'!C99&amp;CHAR(10)&amp;'new info'!$G$1&amp;":"&amp;'new info'!G99&amp;CHAR(10)&amp;'new info'!$I$1&amp;":"&amp;'new info'!I99&amp;CHAR(10)&amp;'new info'!$J$1&amp;":"&amp;'new info'!J99&amp;""&amp;$C$1&amp;'new info'!M99&amp;$E$1</f>
        <v>ART.
COMP:
WIDTH:
WEIGHT:</v>
      </c>
      <c r="C98" s="3"/>
    </row>
    <row r="99" spans="1:3" ht="112" hidden="1" customHeight="1" x14ac:dyDescent="0.25">
      <c r="A99" t="str">
        <f>'new info'!B100</f>
        <v/>
      </c>
      <c r="B99" s="3" t="str">
        <f>'new info'!A100&amp;'new info'!$C$1&amp;""&amp;'new info'!C100&amp;CHAR(10)&amp;'new info'!$G$1&amp;":"&amp;'new info'!G100&amp;CHAR(10)&amp;'new info'!$I$1&amp;":"&amp;'new info'!I100&amp;CHAR(10)&amp;'new info'!$J$1&amp;":"&amp;'new info'!J100&amp;""&amp;$C$1&amp;'new info'!M100&amp;$E$1</f>
        <v>ART.
COMP:
WIDTH:
WEIGHT:</v>
      </c>
      <c r="C99" s="3"/>
    </row>
    <row r="100" spans="1:3" ht="112" hidden="1" customHeight="1" x14ac:dyDescent="0.25">
      <c r="A100" t="str">
        <f>'new info'!B101</f>
        <v/>
      </c>
      <c r="B100" s="3" t="str">
        <f>'new info'!A101&amp;'new info'!$C$1&amp;""&amp;'new info'!C101&amp;CHAR(10)&amp;'new info'!$G$1&amp;":"&amp;'new info'!G101&amp;CHAR(10)&amp;'new info'!$I$1&amp;":"&amp;'new info'!I101&amp;CHAR(10)&amp;'new info'!$J$1&amp;":"&amp;'new info'!J101&amp;""&amp;$C$1&amp;'new info'!M101&amp;$E$1</f>
        <v>ART.
COMP:
WIDTH:
WEIGHT:</v>
      </c>
      <c r="C100" s="3"/>
    </row>
    <row r="101" spans="1:3" ht="112" hidden="1" customHeight="1" x14ac:dyDescent="0.25">
      <c r="A101" t="str">
        <f>'new info'!B102</f>
        <v/>
      </c>
      <c r="B101" s="3" t="str">
        <f>'new info'!A102&amp;'new info'!$C$1&amp;""&amp;'new info'!C102&amp;CHAR(10)&amp;'new info'!$G$1&amp;":"&amp;'new info'!G102&amp;CHAR(10)&amp;'new info'!$I$1&amp;":"&amp;'new info'!I102&amp;CHAR(10)&amp;'new info'!$J$1&amp;":"&amp;'new info'!J102&amp;""&amp;$C$1&amp;'new info'!M102&amp;$E$1</f>
        <v>ART.
COMP:
WIDTH:
WEIGHT:</v>
      </c>
      <c r="C101" s="3"/>
    </row>
    <row r="102" spans="1:3" ht="112" hidden="1" customHeight="1" x14ac:dyDescent="0.25">
      <c r="A102" t="str">
        <f>'new info'!B103</f>
        <v/>
      </c>
      <c r="B102" s="3" t="str">
        <f>'new info'!A103&amp;'new info'!$C$1&amp;""&amp;'new info'!C103&amp;CHAR(10)&amp;'new info'!$G$1&amp;":"&amp;'new info'!G103&amp;CHAR(10)&amp;'new info'!$I$1&amp;":"&amp;'new info'!I103&amp;CHAR(10)&amp;'new info'!$J$1&amp;":"&amp;'new info'!J103&amp;""&amp;$C$1&amp;'new info'!M103&amp;$E$1</f>
        <v>ART.
COMP:
WIDTH:
WEIGHT:</v>
      </c>
      <c r="C102" s="3"/>
    </row>
    <row r="103" spans="1:3" ht="112" hidden="1" customHeight="1" x14ac:dyDescent="0.25">
      <c r="A103" t="str">
        <f>'new info'!B104</f>
        <v/>
      </c>
      <c r="B103" s="3" t="str">
        <f>'new info'!A104&amp;'new info'!$C$1&amp;""&amp;'new info'!C104&amp;CHAR(10)&amp;'new info'!$G$1&amp;":"&amp;'new info'!G104&amp;CHAR(10)&amp;'new info'!$I$1&amp;":"&amp;'new info'!I104&amp;CHAR(10)&amp;'new info'!$J$1&amp;":"&amp;'new info'!J104&amp;""&amp;$C$1&amp;'new info'!M104&amp;$E$1</f>
        <v>ART.
COMP:
WIDTH:
WEIGHT:</v>
      </c>
      <c r="C103" s="3"/>
    </row>
    <row r="104" spans="1:3" ht="112" hidden="1" customHeight="1" x14ac:dyDescent="0.25">
      <c r="A104" t="str">
        <f>'new info'!B105</f>
        <v/>
      </c>
      <c r="B104" s="3" t="str">
        <f>'new info'!A105&amp;'new info'!$C$1&amp;""&amp;'new info'!C105&amp;CHAR(10)&amp;'new info'!$G$1&amp;":"&amp;'new info'!G105&amp;CHAR(10)&amp;'new info'!$I$1&amp;":"&amp;'new info'!I105&amp;CHAR(10)&amp;'new info'!$J$1&amp;":"&amp;'new info'!J105&amp;""&amp;$C$1&amp;'new info'!M105&amp;$E$1</f>
        <v>ART.
COMP:
WIDTH:
WEIGHT:</v>
      </c>
      <c r="C104" s="3"/>
    </row>
    <row r="105" spans="1:3" ht="112" hidden="1" customHeight="1" x14ac:dyDescent="0.25">
      <c r="A105" t="str">
        <f>'new info'!B106</f>
        <v/>
      </c>
      <c r="B105" s="3" t="str">
        <f>'new info'!A106&amp;'new info'!$C$1&amp;""&amp;'new info'!C106&amp;CHAR(10)&amp;'new info'!$G$1&amp;":"&amp;'new info'!G106&amp;CHAR(10)&amp;'new info'!$I$1&amp;":"&amp;'new info'!I106&amp;CHAR(10)&amp;'new info'!$J$1&amp;":"&amp;'new info'!J106&amp;""&amp;$C$1&amp;'new info'!M106&amp;$E$1</f>
        <v>ART.
COMP:
WIDTH:
WEIGHT:</v>
      </c>
      <c r="C105" s="3"/>
    </row>
    <row r="106" spans="1:3" ht="112" hidden="1" customHeight="1" x14ac:dyDescent="0.25">
      <c r="A106" t="str">
        <f>'new info'!B107</f>
        <v/>
      </c>
      <c r="B106" s="3" t="str">
        <f>'new info'!A107&amp;'new info'!$C$1&amp;""&amp;'new info'!C107&amp;CHAR(10)&amp;'new info'!$G$1&amp;":"&amp;'new info'!G107&amp;CHAR(10)&amp;'new info'!$I$1&amp;":"&amp;'new info'!I107&amp;CHAR(10)&amp;'new info'!$J$1&amp;":"&amp;'new info'!J107&amp;""&amp;$C$1&amp;'new info'!M107&amp;$E$1</f>
        <v>ART.
COMP:
WIDTH:
WEIGHT:</v>
      </c>
      <c r="C106" s="3"/>
    </row>
    <row r="107" spans="1:3" ht="112" hidden="1" customHeight="1" x14ac:dyDescent="0.25">
      <c r="A107" t="str">
        <f>'new info'!B108</f>
        <v/>
      </c>
      <c r="B107" s="3" t="str">
        <f>'new info'!A108&amp;'new info'!$C$1&amp;""&amp;'new info'!C108&amp;CHAR(10)&amp;'new info'!$G$1&amp;":"&amp;'new info'!G108&amp;CHAR(10)&amp;'new info'!$I$1&amp;":"&amp;'new info'!I108&amp;CHAR(10)&amp;'new info'!$J$1&amp;":"&amp;'new info'!J108&amp;""&amp;$C$1&amp;'new info'!M108&amp;$E$1</f>
        <v>ART.
COMP:
WIDTH:
WEIGHT:</v>
      </c>
      <c r="C107" s="3"/>
    </row>
    <row r="108" spans="1:3" ht="112" hidden="1" customHeight="1" x14ac:dyDescent="0.25">
      <c r="A108" t="str">
        <f>'new info'!B109</f>
        <v/>
      </c>
      <c r="B108" s="3" t="str">
        <f>'new info'!A109&amp;'new info'!$C$1&amp;""&amp;'new info'!C109&amp;CHAR(10)&amp;'new info'!$G$1&amp;":"&amp;'new info'!G109&amp;CHAR(10)&amp;'new info'!$I$1&amp;":"&amp;'new info'!I109&amp;CHAR(10)&amp;'new info'!$J$1&amp;":"&amp;'new info'!J109&amp;""&amp;$C$1&amp;'new info'!M109&amp;$E$1</f>
        <v>ART.
COMP:
WIDTH:
WEIGHT:</v>
      </c>
      <c r="C108" s="3"/>
    </row>
    <row r="109" spans="1:3" ht="112" hidden="1" customHeight="1" x14ac:dyDescent="0.25">
      <c r="A109" t="str">
        <f>'new info'!B110</f>
        <v/>
      </c>
      <c r="B109" s="3" t="str">
        <f>'new info'!A110&amp;'new info'!$C$1&amp;""&amp;'new info'!C110&amp;CHAR(10)&amp;'new info'!$G$1&amp;":"&amp;'new info'!G110&amp;CHAR(10)&amp;'new info'!$I$1&amp;":"&amp;'new info'!I110&amp;CHAR(10)&amp;'new info'!$J$1&amp;":"&amp;'new info'!J110&amp;""&amp;$C$1&amp;'new info'!M110&amp;$E$1</f>
        <v>ART.
COMP:
WIDTH:
WEIGHT:</v>
      </c>
      <c r="C109" s="3"/>
    </row>
    <row r="110" spans="1:3" ht="112" hidden="1" customHeight="1" x14ac:dyDescent="0.25">
      <c r="A110" t="str">
        <f>'new info'!B111</f>
        <v/>
      </c>
      <c r="B110" s="3" t="str">
        <f>'new info'!A111&amp;'new info'!$C$1&amp;""&amp;'new info'!C111&amp;CHAR(10)&amp;'new info'!$G$1&amp;":"&amp;'new info'!G111&amp;CHAR(10)&amp;'new info'!$I$1&amp;":"&amp;'new info'!I111&amp;CHAR(10)&amp;'new info'!$J$1&amp;":"&amp;'new info'!J111&amp;""&amp;$C$1&amp;'new info'!M111&amp;$E$1</f>
        <v>ART.
COMP:
WIDTH:
WEIGHT:</v>
      </c>
      <c r="C110" s="3"/>
    </row>
    <row r="111" spans="1:3" ht="112" hidden="1" customHeight="1" x14ac:dyDescent="0.25">
      <c r="A111" t="str">
        <f>'new info'!B112</f>
        <v/>
      </c>
      <c r="B111" s="3" t="str">
        <f>'new info'!A112&amp;'new info'!$C$1&amp;""&amp;'new info'!C112&amp;CHAR(10)&amp;'new info'!$G$1&amp;":"&amp;'new info'!G112&amp;CHAR(10)&amp;'new info'!$I$1&amp;":"&amp;'new info'!I112&amp;CHAR(10)&amp;'new info'!$J$1&amp;":"&amp;'new info'!J112&amp;""&amp;$C$1&amp;'new info'!M112&amp;$E$1</f>
        <v>ART.
COMP:
WIDTH:
WEIGHT:</v>
      </c>
      <c r="C111" s="3"/>
    </row>
    <row r="112" spans="1:3" ht="112" hidden="1" customHeight="1" x14ac:dyDescent="0.25">
      <c r="A112" t="str">
        <f>'new info'!B113</f>
        <v/>
      </c>
      <c r="B112" s="3" t="str">
        <f>'new info'!A113&amp;'new info'!$C$1&amp;""&amp;'new info'!C113&amp;CHAR(10)&amp;'new info'!$G$1&amp;":"&amp;'new info'!G113&amp;CHAR(10)&amp;'new info'!$I$1&amp;":"&amp;'new info'!I113&amp;CHAR(10)&amp;'new info'!$J$1&amp;":"&amp;'new info'!J113&amp;""&amp;$C$1&amp;'new info'!M113&amp;$E$1</f>
        <v>ART.
COMP:
WIDTH:
WEIGHT:</v>
      </c>
      <c r="C112" s="3"/>
    </row>
    <row r="113" spans="1:3" ht="112" hidden="1" customHeight="1" x14ac:dyDescent="0.25">
      <c r="A113" t="str">
        <f>'new info'!B114</f>
        <v/>
      </c>
      <c r="B113" s="3" t="str">
        <f>'new info'!A114&amp;'new info'!$C$1&amp;""&amp;'new info'!C114&amp;CHAR(10)&amp;'new info'!$G$1&amp;":"&amp;'new info'!G114&amp;CHAR(10)&amp;'new info'!$I$1&amp;":"&amp;'new info'!I114&amp;CHAR(10)&amp;'new info'!$J$1&amp;":"&amp;'new info'!J114&amp;""&amp;$C$1&amp;'new info'!M114&amp;$E$1</f>
        <v>ART.
COMP:
WIDTH:
WEIGHT:</v>
      </c>
      <c r="C113" s="3"/>
    </row>
    <row r="114" spans="1:3" ht="112" hidden="1" customHeight="1" x14ac:dyDescent="0.25">
      <c r="A114" t="str">
        <f>'new info'!B115</f>
        <v/>
      </c>
      <c r="B114" s="3" t="str">
        <f>'new info'!A115&amp;'new info'!$C$1&amp;""&amp;'new info'!C115&amp;CHAR(10)&amp;'new info'!$G$1&amp;":"&amp;'new info'!G115&amp;CHAR(10)&amp;'new info'!$I$1&amp;":"&amp;'new info'!I115&amp;CHAR(10)&amp;'new info'!$J$1&amp;":"&amp;'new info'!J115&amp;""&amp;$C$1&amp;'new info'!M115&amp;$E$1</f>
        <v>ART.
COMP:
WIDTH:
WEIGHT:</v>
      </c>
      <c r="C114" s="3"/>
    </row>
    <row r="115" spans="1:3" ht="112" hidden="1" customHeight="1" x14ac:dyDescent="0.25">
      <c r="A115" t="str">
        <f>'new info'!B116</f>
        <v/>
      </c>
      <c r="B115" s="3" t="str">
        <f>'new info'!A116&amp;'new info'!$C$1&amp;""&amp;'new info'!C116&amp;CHAR(10)&amp;'new info'!$G$1&amp;":"&amp;'new info'!G116&amp;CHAR(10)&amp;'new info'!$I$1&amp;":"&amp;'new info'!I116&amp;CHAR(10)&amp;'new info'!$J$1&amp;":"&amp;'new info'!J116&amp;""&amp;$C$1&amp;'new info'!M116&amp;$E$1</f>
        <v>ART.
COMP:
WIDTH:
WEIGHT:</v>
      </c>
      <c r="C115" s="3"/>
    </row>
    <row r="116" spans="1:3" ht="112" hidden="1" customHeight="1" x14ac:dyDescent="0.25">
      <c r="A116" t="str">
        <f>'new info'!B117</f>
        <v/>
      </c>
      <c r="B116" s="3" t="str">
        <f>'new info'!A117&amp;'new info'!$C$1&amp;""&amp;'new info'!C117&amp;CHAR(10)&amp;'new info'!$G$1&amp;":"&amp;'new info'!G117&amp;CHAR(10)&amp;'new info'!$I$1&amp;":"&amp;'new info'!I117&amp;CHAR(10)&amp;'new info'!$J$1&amp;":"&amp;'new info'!J117&amp;""&amp;$C$1&amp;'new info'!M117&amp;$E$1</f>
        <v>ART.
COMP:
WIDTH:
WEIGHT:</v>
      </c>
      <c r="C116" s="3"/>
    </row>
    <row r="117" spans="1:3" ht="112" hidden="1" customHeight="1" x14ac:dyDescent="0.25">
      <c r="A117" t="str">
        <f>'new info'!B118</f>
        <v/>
      </c>
      <c r="B117" s="3" t="str">
        <f>'new info'!A118&amp;'new info'!$C$1&amp;""&amp;'new info'!C118&amp;CHAR(10)&amp;'new info'!$G$1&amp;":"&amp;'new info'!G118&amp;CHAR(10)&amp;'new info'!$I$1&amp;":"&amp;'new info'!I118&amp;CHAR(10)&amp;'new info'!$J$1&amp;":"&amp;'new info'!J118&amp;""&amp;$C$1&amp;'new info'!M118&amp;$E$1</f>
        <v>ART.
COMP:
WIDTH:
WEIGHT:</v>
      </c>
      <c r="C117" s="3"/>
    </row>
    <row r="118" spans="1:3" ht="112" hidden="1" customHeight="1" x14ac:dyDescent="0.25">
      <c r="A118" t="str">
        <f>'new info'!B119</f>
        <v/>
      </c>
      <c r="B118" s="3" t="str">
        <f>'new info'!A119&amp;'new info'!$C$1&amp;""&amp;'new info'!C119&amp;CHAR(10)&amp;'new info'!$G$1&amp;":"&amp;'new info'!G119&amp;CHAR(10)&amp;'new info'!$I$1&amp;":"&amp;'new info'!I119&amp;CHAR(10)&amp;'new info'!$J$1&amp;":"&amp;'new info'!J119&amp;""&amp;$C$1&amp;'new info'!M119&amp;$E$1</f>
        <v>ART.
COMP:
WIDTH:
WEIGHT:</v>
      </c>
      <c r="C118" s="3"/>
    </row>
    <row r="119" spans="1:3" ht="112" hidden="1" customHeight="1" x14ac:dyDescent="0.25">
      <c r="A119" t="str">
        <f>'new info'!B120</f>
        <v/>
      </c>
      <c r="B119" s="3" t="str">
        <f>'new info'!A120&amp;'new info'!$C$1&amp;""&amp;'new info'!C120&amp;CHAR(10)&amp;'new info'!$G$1&amp;":"&amp;'new info'!G120&amp;CHAR(10)&amp;'new info'!$I$1&amp;":"&amp;'new info'!I120&amp;CHAR(10)&amp;'new info'!$J$1&amp;":"&amp;'new info'!J120&amp;""&amp;$C$1&amp;'new info'!M120&amp;$E$1</f>
        <v>ART.
COMP:
WIDTH:
WEIGHT:</v>
      </c>
      <c r="C119" s="3"/>
    </row>
    <row r="120" spans="1:3" ht="112" hidden="1" customHeight="1" x14ac:dyDescent="0.25">
      <c r="A120" t="str">
        <f>'new info'!B121</f>
        <v/>
      </c>
      <c r="B120" s="3" t="str">
        <f>'new info'!A121&amp;'new info'!$C$1&amp;""&amp;'new info'!C121&amp;CHAR(10)&amp;'new info'!$G$1&amp;":"&amp;'new info'!G121&amp;CHAR(10)&amp;'new info'!$I$1&amp;":"&amp;'new info'!I121&amp;CHAR(10)&amp;'new info'!$J$1&amp;":"&amp;'new info'!J121&amp;""&amp;$C$1&amp;'new info'!M121&amp;$E$1</f>
        <v>ART.
COMP:
WIDTH:
WEIGHT:</v>
      </c>
      <c r="C120" s="3"/>
    </row>
    <row r="121" spans="1:3" ht="112" hidden="1" customHeight="1" x14ac:dyDescent="0.25">
      <c r="A121" t="str">
        <f>'new info'!B122</f>
        <v/>
      </c>
      <c r="B121" s="3" t="str">
        <f>'new info'!A122&amp;'new info'!$C$1&amp;""&amp;'new info'!C122&amp;CHAR(10)&amp;'new info'!$G$1&amp;":"&amp;'new info'!G122&amp;CHAR(10)&amp;'new info'!$I$1&amp;":"&amp;'new info'!I122&amp;CHAR(10)&amp;'new info'!$J$1&amp;":"&amp;'new info'!J122&amp;""&amp;$C$1&amp;'new info'!M122&amp;$E$1</f>
        <v>ART.
COMP:
WIDTH:
WEIGHT:</v>
      </c>
      <c r="C121" s="3"/>
    </row>
    <row r="122" spans="1:3" ht="112" hidden="1" customHeight="1" x14ac:dyDescent="0.25">
      <c r="A122" t="str">
        <f>'new info'!B123</f>
        <v/>
      </c>
      <c r="B122" s="3" t="str">
        <f>'new info'!A123&amp;'new info'!$C$1&amp;""&amp;'new info'!C123&amp;CHAR(10)&amp;'new info'!$G$1&amp;":"&amp;'new info'!G123&amp;CHAR(10)&amp;'new info'!$I$1&amp;":"&amp;'new info'!I123&amp;CHAR(10)&amp;'new info'!$J$1&amp;":"&amp;'new info'!J123&amp;""&amp;$C$1&amp;'new info'!M123&amp;$E$1</f>
        <v>ART.
COMP:
WIDTH:
WEIGHT:</v>
      </c>
      <c r="C122" s="3"/>
    </row>
    <row r="123" spans="1:3" ht="112" hidden="1" customHeight="1" x14ac:dyDescent="0.25">
      <c r="A123" t="str">
        <f>'new info'!B124</f>
        <v/>
      </c>
      <c r="B123" s="3" t="str">
        <f>'new info'!A124&amp;'new info'!$C$1&amp;""&amp;'new info'!C124&amp;CHAR(10)&amp;'new info'!$G$1&amp;":"&amp;'new info'!G124&amp;CHAR(10)&amp;'new info'!$I$1&amp;":"&amp;'new info'!I124&amp;CHAR(10)&amp;'new info'!$J$1&amp;":"&amp;'new info'!J124&amp;""&amp;$C$1&amp;'new info'!M124&amp;$E$1</f>
        <v>ART.
COMP:
WIDTH:
WEIGHT:</v>
      </c>
      <c r="C123" s="3"/>
    </row>
    <row r="124" spans="1:3" ht="112" hidden="1" customHeight="1" x14ac:dyDescent="0.25">
      <c r="A124" t="str">
        <f>'new info'!B125</f>
        <v/>
      </c>
      <c r="B124" s="3" t="str">
        <f>'new info'!A125&amp;'new info'!$C$1&amp;""&amp;'new info'!C125&amp;CHAR(10)&amp;'new info'!$G$1&amp;":"&amp;'new info'!G125&amp;CHAR(10)&amp;'new info'!$I$1&amp;":"&amp;'new info'!I125&amp;CHAR(10)&amp;'new info'!$J$1&amp;":"&amp;'new info'!J125&amp;""&amp;$C$1&amp;'new info'!M125&amp;$E$1</f>
        <v>ART.
COMP:
WIDTH:
WEIGHT:</v>
      </c>
      <c r="C124" s="3"/>
    </row>
    <row r="125" spans="1:3" ht="112" hidden="1" customHeight="1" x14ac:dyDescent="0.25">
      <c r="A125" t="str">
        <f>'new info'!B126</f>
        <v/>
      </c>
      <c r="B125" s="3" t="str">
        <f>'new info'!A126&amp;'new info'!$C$1&amp;""&amp;'new info'!C126&amp;CHAR(10)&amp;'new info'!$G$1&amp;":"&amp;'new info'!G126&amp;CHAR(10)&amp;'new info'!$I$1&amp;":"&amp;'new info'!I126&amp;CHAR(10)&amp;'new info'!$J$1&amp;":"&amp;'new info'!J126&amp;""&amp;$C$1&amp;'new info'!M126&amp;$E$1</f>
        <v>ART.
COMP:
WIDTH:
WEIGHT:</v>
      </c>
      <c r="C125" s="3"/>
    </row>
    <row r="126" spans="1:3" ht="112" hidden="1" customHeight="1" x14ac:dyDescent="0.25">
      <c r="A126" t="str">
        <f>'new info'!B127</f>
        <v/>
      </c>
      <c r="B126" s="3" t="str">
        <f>'new info'!A127&amp;'new info'!$C$1&amp;""&amp;'new info'!C127&amp;CHAR(10)&amp;'new info'!$G$1&amp;":"&amp;'new info'!G127&amp;CHAR(10)&amp;'new info'!$I$1&amp;":"&amp;'new info'!I127&amp;CHAR(10)&amp;'new info'!$J$1&amp;":"&amp;'new info'!J127&amp;""&amp;$C$1&amp;'new info'!M127&amp;$E$1</f>
        <v>ART.
COMP:
WIDTH:
WEIGHT:</v>
      </c>
      <c r="C126" s="3"/>
    </row>
    <row r="127" spans="1:3" ht="112" hidden="1" customHeight="1" x14ac:dyDescent="0.25">
      <c r="A127" t="str">
        <f>'new info'!B128</f>
        <v/>
      </c>
      <c r="B127" s="3" t="str">
        <f>'new info'!A128&amp;'new info'!$C$1&amp;""&amp;'new info'!C128&amp;CHAR(10)&amp;'new info'!$G$1&amp;":"&amp;'new info'!G128&amp;CHAR(10)&amp;'new info'!$I$1&amp;":"&amp;'new info'!I128&amp;CHAR(10)&amp;'new info'!$J$1&amp;":"&amp;'new info'!J128&amp;""&amp;$C$1&amp;'new info'!M128&amp;$E$1</f>
        <v>ART.
COMP:
WIDTH:
WEIGHT:</v>
      </c>
      <c r="C127" s="3"/>
    </row>
    <row r="128" spans="1:3" ht="112" hidden="1" customHeight="1" x14ac:dyDescent="0.25">
      <c r="A128" t="str">
        <f>'new info'!B129</f>
        <v/>
      </c>
      <c r="B128" s="3" t="str">
        <f>'new info'!A129&amp;'new info'!$C$1&amp;""&amp;'new info'!C129&amp;CHAR(10)&amp;'new info'!$G$1&amp;":"&amp;'new info'!G129&amp;CHAR(10)&amp;'new info'!$I$1&amp;":"&amp;'new info'!I129&amp;CHAR(10)&amp;'new info'!$J$1&amp;":"&amp;'new info'!J129&amp;""&amp;$C$1&amp;'new info'!M129&amp;$E$1</f>
        <v>ART.
COMP:
WIDTH:
WEIGHT:</v>
      </c>
      <c r="C128" s="3"/>
    </row>
    <row r="129" spans="1:3" ht="112" hidden="1" customHeight="1" x14ac:dyDescent="0.25">
      <c r="A129" t="str">
        <f>'new info'!B130</f>
        <v/>
      </c>
      <c r="B129" s="3" t="str">
        <f>'new info'!A130&amp;'new info'!$C$1&amp;""&amp;'new info'!C130&amp;CHAR(10)&amp;'new info'!$G$1&amp;":"&amp;'new info'!G130&amp;CHAR(10)&amp;'new info'!$I$1&amp;":"&amp;'new info'!I130&amp;CHAR(10)&amp;'new info'!$J$1&amp;":"&amp;'new info'!J130&amp;""&amp;$C$1&amp;'new info'!M130&amp;$E$1</f>
        <v>ART.
COMP:
WIDTH:
WEIGHT:</v>
      </c>
      <c r="C129" s="3"/>
    </row>
    <row r="130" spans="1:3" ht="112" hidden="1" customHeight="1" x14ac:dyDescent="0.25">
      <c r="A130" t="str">
        <f>'new info'!B131</f>
        <v/>
      </c>
      <c r="B130" s="3" t="str">
        <f>'new info'!A131&amp;'new info'!$C$1&amp;""&amp;'new info'!C131&amp;CHAR(10)&amp;'new info'!$G$1&amp;":"&amp;'new info'!G131&amp;CHAR(10)&amp;'new info'!$I$1&amp;":"&amp;'new info'!I131&amp;CHAR(10)&amp;'new info'!$J$1&amp;":"&amp;'new info'!J131&amp;""&amp;$C$1&amp;'new info'!M131&amp;$E$1</f>
        <v>ART.
COMP:
WIDTH:
WEIGHT:</v>
      </c>
      <c r="C130" s="3"/>
    </row>
    <row r="131" spans="1:3" ht="112" hidden="1" customHeight="1" x14ac:dyDescent="0.25">
      <c r="A131" t="str">
        <f>'new info'!B132</f>
        <v/>
      </c>
      <c r="B131" s="3" t="str">
        <f>'new info'!A132&amp;'new info'!$C$1&amp;""&amp;'new info'!C132&amp;CHAR(10)&amp;'new info'!$G$1&amp;":"&amp;'new info'!G132&amp;CHAR(10)&amp;'new info'!$I$1&amp;":"&amp;'new info'!I132&amp;CHAR(10)&amp;'new info'!$J$1&amp;":"&amp;'new info'!J132&amp;""&amp;$C$1&amp;'new info'!M132&amp;$E$1</f>
        <v>ART.
COMP:
WIDTH:
WEIGHT:</v>
      </c>
      <c r="C131" s="3"/>
    </row>
    <row r="132" spans="1:3" ht="112" hidden="1" customHeight="1" x14ac:dyDescent="0.25">
      <c r="A132" t="str">
        <f>'new info'!B133</f>
        <v/>
      </c>
      <c r="B132" s="3" t="str">
        <f>'new info'!A133&amp;'new info'!$C$1&amp;""&amp;'new info'!C133&amp;CHAR(10)&amp;'new info'!$G$1&amp;":"&amp;'new info'!G133&amp;CHAR(10)&amp;'new info'!$I$1&amp;":"&amp;'new info'!I133&amp;CHAR(10)&amp;'new info'!$J$1&amp;":"&amp;'new info'!J133&amp;""&amp;$C$1&amp;'new info'!M133&amp;$E$1</f>
        <v>ART.
COMP:
WIDTH:
WEIGHT:</v>
      </c>
      <c r="C132" s="3"/>
    </row>
    <row r="133" spans="1:3" ht="112" hidden="1" customHeight="1" x14ac:dyDescent="0.25">
      <c r="A133" t="str">
        <f>'new info'!B134</f>
        <v/>
      </c>
      <c r="B133" s="3" t="str">
        <f>'new info'!A134&amp;'new info'!$C$1&amp;""&amp;'new info'!C134&amp;CHAR(10)&amp;'new info'!$G$1&amp;":"&amp;'new info'!G134&amp;CHAR(10)&amp;'new info'!$I$1&amp;":"&amp;'new info'!I134&amp;CHAR(10)&amp;'new info'!$J$1&amp;":"&amp;'new info'!J134&amp;""&amp;$C$1&amp;'new info'!M134&amp;$E$1</f>
        <v>ART.
COMP:
WIDTH:
WEIGHT:</v>
      </c>
      <c r="C133" s="3"/>
    </row>
    <row r="134" spans="1:3" ht="112" hidden="1" customHeight="1" x14ac:dyDescent="0.25">
      <c r="A134" t="str">
        <f>'new info'!B135</f>
        <v/>
      </c>
      <c r="B134" s="3" t="str">
        <f>'new info'!A135&amp;'new info'!$C$1&amp;""&amp;'new info'!C135&amp;CHAR(10)&amp;'new info'!$G$1&amp;":"&amp;'new info'!G135&amp;CHAR(10)&amp;'new info'!$I$1&amp;":"&amp;'new info'!I135&amp;CHAR(10)&amp;'new info'!$J$1&amp;":"&amp;'new info'!J135&amp;""&amp;$C$1&amp;'new info'!M135&amp;$E$1</f>
        <v>ART.
COMP:
WIDTH:
WEIGHT:</v>
      </c>
      <c r="C134" s="3"/>
    </row>
    <row r="135" spans="1:3" ht="112" hidden="1" customHeight="1" x14ac:dyDescent="0.25">
      <c r="A135" t="str">
        <f>'new info'!B136</f>
        <v/>
      </c>
      <c r="B135" s="3" t="str">
        <f>'new info'!A136&amp;'new info'!$C$1&amp;""&amp;'new info'!C136&amp;CHAR(10)&amp;'new info'!$G$1&amp;":"&amp;'new info'!G136&amp;CHAR(10)&amp;'new info'!$I$1&amp;":"&amp;'new info'!I136&amp;CHAR(10)&amp;'new info'!$J$1&amp;":"&amp;'new info'!J136&amp;""&amp;$C$1&amp;'new info'!M136&amp;$E$1</f>
        <v>ART.
COMP:
WIDTH:
WEIGHT:</v>
      </c>
      <c r="C135" s="3"/>
    </row>
    <row r="136" spans="1:3" ht="112" hidden="1" customHeight="1" x14ac:dyDescent="0.25">
      <c r="A136" t="str">
        <f>'new info'!B137</f>
        <v/>
      </c>
      <c r="B136" s="3" t="str">
        <f>'new info'!A137&amp;'new info'!$C$1&amp;""&amp;'new info'!C137&amp;CHAR(10)&amp;'new info'!$G$1&amp;":"&amp;'new info'!G137&amp;CHAR(10)&amp;'new info'!$I$1&amp;":"&amp;'new info'!I137&amp;CHAR(10)&amp;'new info'!$J$1&amp;":"&amp;'new info'!J137&amp;""&amp;$C$1&amp;'new info'!M137&amp;$E$1</f>
        <v>ART.
COMP:
WIDTH:
WEIGHT:</v>
      </c>
      <c r="C136" s="3"/>
    </row>
    <row r="137" spans="1:3" ht="112" hidden="1" customHeight="1" x14ac:dyDescent="0.25">
      <c r="A137" t="str">
        <f>'new info'!B138</f>
        <v/>
      </c>
      <c r="B137" s="3" t="str">
        <f>'new info'!A138&amp;'new info'!$C$1&amp;""&amp;'new info'!C138&amp;CHAR(10)&amp;'new info'!$G$1&amp;":"&amp;'new info'!G138&amp;CHAR(10)&amp;'new info'!$I$1&amp;":"&amp;'new info'!I138&amp;CHAR(10)&amp;'new info'!$J$1&amp;":"&amp;'new info'!J138&amp;""&amp;$C$1&amp;'new info'!M138&amp;$E$1</f>
        <v>ART.
COMP:
WIDTH:
WEIGHT:</v>
      </c>
      <c r="C137" s="3"/>
    </row>
    <row r="138" spans="1:3" ht="112" hidden="1" customHeight="1" x14ac:dyDescent="0.25">
      <c r="A138" t="str">
        <f>'new info'!B139</f>
        <v/>
      </c>
      <c r="B138" s="3" t="str">
        <f>'new info'!A139&amp;'new info'!$C$1&amp;""&amp;'new info'!C139&amp;CHAR(10)&amp;'new info'!$G$1&amp;":"&amp;'new info'!G139&amp;CHAR(10)&amp;'new info'!$I$1&amp;":"&amp;'new info'!I139&amp;CHAR(10)&amp;'new info'!$J$1&amp;":"&amp;'new info'!J139&amp;""&amp;$C$1&amp;'new info'!M139&amp;$E$1</f>
        <v>ART.
COMP:
WIDTH:
WEIGHT:</v>
      </c>
      <c r="C138" s="3"/>
    </row>
    <row r="139" spans="1:3" ht="112" hidden="1" customHeight="1" x14ac:dyDescent="0.25">
      <c r="A139" t="str">
        <f>'new info'!B140</f>
        <v/>
      </c>
      <c r="B139" s="3" t="str">
        <f>'new info'!A140&amp;'new info'!$C$1&amp;""&amp;'new info'!C140&amp;CHAR(10)&amp;'new info'!$G$1&amp;":"&amp;'new info'!G140&amp;CHAR(10)&amp;'new info'!$I$1&amp;":"&amp;'new info'!I140&amp;CHAR(10)&amp;'new info'!$J$1&amp;":"&amp;'new info'!J140&amp;""&amp;$C$1&amp;'new info'!M140&amp;$E$1</f>
        <v>ART.
COMP:
WIDTH:
WEIGHT:</v>
      </c>
      <c r="C139" s="3"/>
    </row>
    <row r="140" spans="1:3" ht="112" hidden="1" customHeight="1" x14ac:dyDescent="0.25">
      <c r="A140" t="str">
        <f>'new info'!B141</f>
        <v/>
      </c>
      <c r="B140" s="3" t="str">
        <f>'new info'!A141&amp;'new info'!$C$1&amp;""&amp;'new info'!C141&amp;CHAR(10)&amp;'new info'!$G$1&amp;":"&amp;'new info'!G141&amp;CHAR(10)&amp;'new info'!$I$1&amp;":"&amp;'new info'!I141&amp;CHAR(10)&amp;'new info'!$J$1&amp;":"&amp;'new info'!J141&amp;""&amp;$C$1&amp;'new info'!M141&amp;$E$1</f>
        <v>ART.
COMP:
WIDTH:
WEIGHT:</v>
      </c>
      <c r="C140" s="3"/>
    </row>
    <row r="141" spans="1:3" ht="112" hidden="1" customHeight="1" x14ac:dyDescent="0.25">
      <c r="A141" t="str">
        <f>'new info'!B142</f>
        <v/>
      </c>
      <c r="B141" s="3" t="str">
        <f>'new info'!A142&amp;'new info'!$C$1&amp;""&amp;'new info'!C142&amp;CHAR(10)&amp;'new info'!$G$1&amp;":"&amp;'new info'!G142&amp;CHAR(10)&amp;'new info'!$I$1&amp;":"&amp;'new info'!I142&amp;CHAR(10)&amp;'new info'!$J$1&amp;":"&amp;'new info'!J142&amp;""&amp;$C$1&amp;'new info'!M142&amp;$E$1</f>
        <v>ART.
COMP:
WIDTH:
WEIGHT:</v>
      </c>
      <c r="C141" s="3"/>
    </row>
    <row r="142" spans="1:3" ht="112" hidden="1" customHeight="1" x14ac:dyDescent="0.25">
      <c r="A142" t="str">
        <f>'new info'!B143</f>
        <v/>
      </c>
      <c r="B142" s="3" t="str">
        <f>'new info'!A143&amp;'new info'!$C$1&amp;""&amp;'new info'!C143&amp;CHAR(10)&amp;'new info'!$G$1&amp;":"&amp;'new info'!G143&amp;CHAR(10)&amp;'new info'!$I$1&amp;":"&amp;'new info'!I143&amp;CHAR(10)&amp;'new info'!$J$1&amp;":"&amp;'new info'!J143&amp;""&amp;$C$1&amp;'new info'!M143&amp;$E$1</f>
        <v>ART.
COMP:
WIDTH:
WEIGHT:</v>
      </c>
      <c r="C142" s="3"/>
    </row>
    <row r="143" spans="1:3" ht="112" hidden="1" customHeight="1" x14ac:dyDescent="0.25">
      <c r="A143" t="str">
        <f>'new info'!B144</f>
        <v/>
      </c>
      <c r="B143" s="3" t="str">
        <f>'new info'!A144&amp;'new info'!$C$1&amp;""&amp;'new info'!C144&amp;CHAR(10)&amp;'new info'!$G$1&amp;":"&amp;'new info'!G144&amp;CHAR(10)&amp;'new info'!$I$1&amp;":"&amp;'new info'!I144&amp;CHAR(10)&amp;'new info'!$J$1&amp;":"&amp;'new info'!J144&amp;""&amp;$C$1&amp;'new info'!M144&amp;$E$1</f>
        <v>ART.
COMP:
WIDTH:
WEIGHT:</v>
      </c>
      <c r="C143" s="3"/>
    </row>
    <row r="144" spans="1:3" ht="112" hidden="1" customHeight="1" x14ac:dyDescent="0.25">
      <c r="A144" t="str">
        <f>'new info'!B145</f>
        <v/>
      </c>
      <c r="B144" s="3" t="str">
        <f>'new info'!A145&amp;'new info'!$C$1&amp;""&amp;'new info'!C145&amp;CHAR(10)&amp;'new info'!$G$1&amp;":"&amp;'new info'!G145&amp;CHAR(10)&amp;'new info'!$I$1&amp;":"&amp;'new info'!I145&amp;CHAR(10)&amp;'new info'!$J$1&amp;":"&amp;'new info'!J145&amp;""&amp;$C$1&amp;'new info'!M145&amp;$E$1</f>
        <v>ART.
COMP:
WIDTH:
WEIGHT:</v>
      </c>
      <c r="C144" s="3"/>
    </row>
    <row r="145" spans="1:3" ht="112" hidden="1" customHeight="1" x14ac:dyDescent="0.25">
      <c r="A145" t="str">
        <f>'new info'!B146</f>
        <v/>
      </c>
      <c r="B145" s="3" t="str">
        <f>'new info'!A146&amp;'new info'!$C$1&amp;""&amp;'new info'!C146&amp;CHAR(10)&amp;'new info'!$G$1&amp;":"&amp;'new info'!G146&amp;CHAR(10)&amp;'new info'!$I$1&amp;":"&amp;'new info'!I146&amp;CHAR(10)&amp;'new info'!$J$1&amp;":"&amp;'new info'!J146&amp;""&amp;$C$1&amp;'new info'!M146&amp;$E$1</f>
        <v>ART.
COMP:
WIDTH:
WEIGHT:</v>
      </c>
      <c r="C145" s="3"/>
    </row>
    <row r="146" spans="1:3" ht="112" hidden="1" customHeight="1" x14ac:dyDescent="0.25">
      <c r="A146" t="str">
        <f>'new info'!B147</f>
        <v/>
      </c>
      <c r="B146" s="3" t="str">
        <f>'new info'!A147&amp;'new info'!$C$1&amp;""&amp;'new info'!C147&amp;CHAR(10)&amp;'new info'!$G$1&amp;":"&amp;'new info'!G147&amp;CHAR(10)&amp;'new info'!$I$1&amp;":"&amp;'new info'!I147&amp;CHAR(10)&amp;'new info'!$J$1&amp;":"&amp;'new info'!J147&amp;""&amp;$C$1&amp;'new info'!M147&amp;$E$1</f>
        <v>ART.
COMP:
WIDTH:
WEIGHT:</v>
      </c>
      <c r="C146" s="3"/>
    </row>
    <row r="147" spans="1:3" ht="112" hidden="1" customHeight="1" x14ac:dyDescent="0.25">
      <c r="A147" t="str">
        <f>'new info'!B148</f>
        <v/>
      </c>
      <c r="B147" s="3" t="str">
        <f>'new info'!A148&amp;'new info'!$C$1&amp;""&amp;'new info'!C148&amp;CHAR(10)&amp;'new info'!$G$1&amp;":"&amp;'new info'!G148&amp;CHAR(10)&amp;'new info'!$I$1&amp;":"&amp;'new info'!I148&amp;CHAR(10)&amp;'new info'!$J$1&amp;":"&amp;'new info'!J148&amp;""&amp;$C$1&amp;'new info'!M148&amp;$E$1</f>
        <v>ART.
COMP:
WIDTH:
WEIGHT:</v>
      </c>
      <c r="C147" s="3"/>
    </row>
    <row r="148" spans="1:3" ht="112" hidden="1" customHeight="1" x14ac:dyDescent="0.25">
      <c r="A148" t="str">
        <f>'new info'!B149</f>
        <v/>
      </c>
      <c r="B148" s="3" t="str">
        <f>'new info'!A149&amp;'new info'!$C$1&amp;""&amp;'new info'!C149&amp;CHAR(10)&amp;'new info'!$G$1&amp;":"&amp;'new info'!G149&amp;CHAR(10)&amp;'new info'!$I$1&amp;":"&amp;'new info'!I149&amp;CHAR(10)&amp;'new info'!$J$1&amp;":"&amp;'new info'!J149&amp;""&amp;$C$1&amp;'new info'!M149&amp;$E$1</f>
        <v>ART.
COMP:
WIDTH:
WEIGHT:</v>
      </c>
      <c r="C148" s="3"/>
    </row>
    <row r="149" spans="1:3" ht="112" hidden="1" customHeight="1" x14ac:dyDescent="0.25">
      <c r="A149" t="str">
        <f>'new info'!B150</f>
        <v/>
      </c>
      <c r="B149" s="3" t="str">
        <f>'new info'!A150&amp;'new info'!$C$1&amp;""&amp;'new info'!C150&amp;CHAR(10)&amp;'new info'!$G$1&amp;":"&amp;'new info'!G150&amp;CHAR(10)&amp;'new info'!$I$1&amp;":"&amp;'new info'!I150&amp;CHAR(10)&amp;'new info'!$J$1&amp;":"&amp;'new info'!J150&amp;""&amp;$C$1&amp;'new info'!M150&amp;$E$1</f>
        <v>ART.
COMP:
WIDTH:
WEIGHT:</v>
      </c>
      <c r="C149" s="3"/>
    </row>
    <row r="150" spans="1:3" ht="112" hidden="1" customHeight="1" x14ac:dyDescent="0.25">
      <c r="A150" t="str">
        <f>'new info'!B151</f>
        <v/>
      </c>
      <c r="B150" s="3" t="str">
        <f>'new info'!A151&amp;'new info'!$C$1&amp;""&amp;'new info'!C151&amp;CHAR(10)&amp;'new info'!$G$1&amp;":"&amp;'new info'!G151&amp;CHAR(10)&amp;'new info'!$I$1&amp;":"&amp;'new info'!I151&amp;CHAR(10)&amp;'new info'!$J$1&amp;":"&amp;'new info'!J151&amp;""&amp;$C$1&amp;'new info'!M151&amp;$E$1</f>
        <v>ART.
COMP:
WIDTH:
WEIGHT:</v>
      </c>
      <c r="C150" s="3"/>
    </row>
    <row r="151" spans="1:3" ht="112" hidden="1" customHeight="1" x14ac:dyDescent="0.25">
      <c r="A151" t="str">
        <f>'new info'!B152</f>
        <v/>
      </c>
      <c r="B151" s="3" t="str">
        <f>'new info'!A152&amp;'new info'!$C$1&amp;""&amp;'new info'!C152&amp;CHAR(10)&amp;'new info'!$G$1&amp;":"&amp;'new info'!G152&amp;CHAR(10)&amp;'new info'!$I$1&amp;":"&amp;'new info'!I152&amp;CHAR(10)&amp;'new info'!$J$1&amp;":"&amp;'new info'!J152&amp;""&amp;$C$1&amp;'new info'!M152&amp;$E$1</f>
        <v>ART.
COMP:
WIDTH:
WEIGHT:</v>
      </c>
      <c r="C151" s="3"/>
    </row>
    <row r="152" spans="1:3" ht="112" hidden="1" customHeight="1" x14ac:dyDescent="0.25">
      <c r="A152" t="str">
        <f>'new info'!B153</f>
        <v/>
      </c>
      <c r="B152" s="3" t="str">
        <f>'new info'!A153&amp;'new info'!$C$1&amp;""&amp;'new info'!C153&amp;CHAR(10)&amp;'new info'!$G$1&amp;":"&amp;'new info'!G153&amp;CHAR(10)&amp;'new info'!$I$1&amp;":"&amp;'new info'!I153&amp;CHAR(10)&amp;'new info'!$J$1&amp;":"&amp;'new info'!J153&amp;""&amp;$C$1&amp;'new info'!M153&amp;$E$1</f>
        <v>ART.
COMP:
WIDTH:
WEIGHT:</v>
      </c>
      <c r="C152" s="3"/>
    </row>
    <row r="153" spans="1:3" ht="112" hidden="1" customHeight="1" x14ac:dyDescent="0.25">
      <c r="A153" t="str">
        <f>'new info'!B154</f>
        <v/>
      </c>
      <c r="B153" s="3" t="str">
        <f>'new info'!A154&amp;'new info'!$C$1&amp;""&amp;'new info'!C154&amp;CHAR(10)&amp;'new info'!$G$1&amp;":"&amp;'new info'!G154&amp;CHAR(10)&amp;'new info'!$I$1&amp;":"&amp;'new info'!I154&amp;CHAR(10)&amp;'new info'!$J$1&amp;":"&amp;'new info'!J154&amp;""&amp;$C$1&amp;'new info'!M154&amp;$E$1</f>
        <v>ART.
COMP:
WIDTH:
WEIGHT:</v>
      </c>
      <c r="C153" s="3"/>
    </row>
    <row r="154" spans="1:3" ht="112" hidden="1" customHeight="1" x14ac:dyDescent="0.25">
      <c r="A154" t="str">
        <f>'new info'!B155</f>
        <v/>
      </c>
      <c r="B154" s="3" t="str">
        <f>'new info'!A155&amp;'new info'!$C$1&amp;""&amp;'new info'!C155&amp;CHAR(10)&amp;'new info'!$G$1&amp;":"&amp;'new info'!G155&amp;CHAR(10)&amp;'new info'!$I$1&amp;":"&amp;'new info'!I155&amp;CHAR(10)&amp;'new info'!$J$1&amp;":"&amp;'new info'!J155&amp;""&amp;$C$1&amp;'new info'!M155&amp;$E$1</f>
        <v>ART.
COMP:
WIDTH:
WEIGHT:</v>
      </c>
    </row>
    <row r="155" spans="1:3" ht="112" hidden="1" customHeight="1" x14ac:dyDescent="0.25">
      <c r="A155" t="str">
        <f>'new info'!B156</f>
        <v/>
      </c>
      <c r="B155" s="3" t="str">
        <f>'new info'!A156&amp;'new info'!$C$1&amp;""&amp;'new info'!C156&amp;CHAR(10)&amp;'new info'!$G$1&amp;":"&amp;'new info'!G156&amp;CHAR(10)&amp;'new info'!$I$1&amp;":"&amp;'new info'!I156&amp;CHAR(10)&amp;'new info'!$J$1&amp;":"&amp;'new info'!J156&amp;""&amp;$C$1&amp;'new info'!M156&amp;$E$1</f>
        <v>ART.
COMP:
WIDTH:
WEIGHT:</v>
      </c>
    </row>
    <row r="156" spans="1:3" ht="112" hidden="1" customHeight="1" x14ac:dyDescent="0.25">
      <c r="A156" t="str">
        <f>'new info'!B157</f>
        <v/>
      </c>
      <c r="B156" s="3" t="str">
        <f>'new info'!A157&amp;'new info'!$C$1&amp;""&amp;'new info'!C157&amp;CHAR(10)&amp;'new info'!$G$1&amp;":"&amp;'new info'!G157&amp;CHAR(10)&amp;'new info'!$I$1&amp;":"&amp;'new info'!I157&amp;CHAR(10)&amp;'new info'!$J$1&amp;":"&amp;'new info'!J157&amp;""&amp;$C$1&amp;'new info'!M157&amp;$E$1</f>
        <v>ART.
COMP:
WIDTH:
WEIGHT:</v>
      </c>
    </row>
    <row r="157" spans="1:3" ht="112" hidden="1" customHeight="1" x14ac:dyDescent="0.25">
      <c r="A157" t="str">
        <f>'new info'!B158</f>
        <v/>
      </c>
      <c r="B157" s="3" t="str">
        <f>'new info'!A158&amp;'new info'!$C$1&amp;""&amp;'new info'!C158&amp;CHAR(10)&amp;'new info'!$G$1&amp;":"&amp;'new info'!G158&amp;CHAR(10)&amp;'new info'!$I$1&amp;":"&amp;'new info'!I158&amp;CHAR(10)&amp;'new info'!$J$1&amp;":"&amp;'new info'!J158&amp;""&amp;$C$1&amp;'new info'!M158&amp;$E$1</f>
        <v>ART.
COMP:
WIDTH:
WEIGHT:</v>
      </c>
    </row>
    <row r="158" spans="1:3" ht="112" hidden="1" customHeight="1" x14ac:dyDescent="0.25">
      <c r="A158" t="str">
        <f>'new info'!B159</f>
        <v/>
      </c>
      <c r="B158" s="3" t="str">
        <f>'new info'!A159&amp;'new info'!$C$1&amp;""&amp;'new info'!C159&amp;CHAR(10)&amp;'new info'!$G$1&amp;":"&amp;'new info'!G159&amp;CHAR(10)&amp;'new info'!$I$1&amp;":"&amp;'new info'!I159&amp;CHAR(10)&amp;'new info'!$J$1&amp;":"&amp;'new info'!J159&amp;""&amp;$C$1&amp;'new info'!M159&amp;$E$1</f>
        <v>ART.
COMP:
WIDTH:
WEIGHT:</v>
      </c>
    </row>
    <row r="159" spans="1:3" ht="112" hidden="1" customHeight="1" x14ac:dyDescent="0.25">
      <c r="A159" t="str">
        <f>'new info'!B160</f>
        <v/>
      </c>
      <c r="B159" s="3" t="str">
        <f>'new info'!A160&amp;'new info'!$C$1&amp;""&amp;'new info'!C160&amp;CHAR(10)&amp;'new info'!$G$1&amp;":"&amp;'new info'!G160&amp;CHAR(10)&amp;'new info'!$I$1&amp;":"&amp;'new info'!I160&amp;CHAR(10)&amp;'new info'!$J$1&amp;":"&amp;'new info'!J160&amp;""&amp;$C$1&amp;'new info'!M160&amp;$E$1</f>
        <v>ART.
COMP:
WIDTH:
WEIGHT:</v>
      </c>
    </row>
    <row r="160" spans="1:3" ht="112" hidden="1" customHeight="1" x14ac:dyDescent="0.25">
      <c r="A160" t="str">
        <f>'new info'!B161</f>
        <v/>
      </c>
      <c r="B160" s="3" t="str">
        <f>'new info'!A161&amp;'new info'!$C$1&amp;""&amp;'new info'!C161&amp;CHAR(10)&amp;'new info'!$G$1&amp;":"&amp;'new info'!G161&amp;CHAR(10)&amp;'new info'!$I$1&amp;":"&amp;'new info'!I161&amp;CHAR(10)&amp;'new info'!$J$1&amp;":"&amp;'new info'!J161&amp;""&amp;$C$1&amp;'new info'!M161&amp;$E$1</f>
        <v>ART.
COMP:
WIDTH:
WEIGHT:</v>
      </c>
    </row>
    <row r="161" spans="1:2" ht="112" hidden="1" customHeight="1" x14ac:dyDescent="0.25">
      <c r="A161" t="str">
        <f>'new info'!B162</f>
        <v/>
      </c>
      <c r="B161" s="3" t="str">
        <f>'new info'!A162&amp;'new info'!$C$1&amp;""&amp;'new info'!C162&amp;CHAR(10)&amp;'new info'!$G$1&amp;":"&amp;'new info'!G162&amp;CHAR(10)&amp;'new info'!$I$1&amp;":"&amp;'new info'!I162&amp;CHAR(10)&amp;'new info'!$J$1&amp;":"&amp;'new info'!J162&amp;""&amp;$C$1&amp;'new info'!M162&amp;$E$1</f>
        <v>ART.
COMP:
WIDTH:
WEIGHT:</v>
      </c>
    </row>
    <row r="162" spans="1:2" ht="112" hidden="1" customHeight="1" x14ac:dyDescent="0.25">
      <c r="A162" t="str">
        <f>'new info'!B163</f>
        <v/>
      </c>
      <c r="B162" s="3" t="str">
        <f>'new info'!A163&amp;'new info'!$C$1&amp;""&amp;'new info'!C163&amp;CHAR(10)&amp;'new info'!$G$1&amp;":"&amp;'new info'!G163&amp;CHAR(10)&amp;'new info'!$I$1&amp;":"&amp;'new info'!I163&amp;CHAR(10)&amp;'new info'!$J$1&amp;":"&amp;'new info'!J163&amp;""&amp;$C$1&amp;'new info'!M163&amp;$E$1</f>
        <v>ART.
COMP:
WIDTH:
WEIGHT:</v>
      </c>
    </row>
    <row r="163" spans="1:2" ht="112" hidden="1" customHeight="1" x14ac:dyDescent="0.25">
      <c r="A163" t="str">
        <f>'new info'!B164</f>
        <v/>
      </c>
      <c r="B163" s="3" t="str">
        <f>'new info'!A164&amp;'new info'!$C$1&amp;""&amp;'new info'!C164&amp;CHAR(10)&amp;'new info'!$G$1&amp;":"&amp;'new info'!G164&amp;CHAR(10)&amp;'new info'!$I$1&amp;":"&amp;'new info'!I164&amp;CHAR(10)&amp;'new info'!$J$1&amp;":"&amp;'new info'!J164&amp;""&amp;$C$1&amp;'new info'!M164&amp;$E$1</f>
        <v>ART.
COMP:
WIDTH:
WEIGHT:</v>
      </c>
    </row>
    <row r="164" spans="1:2" ht="112" hidden="1" customHeight="1" x14ac:dyDescent="0.25">
      <c r="A164" t="str">
        <f>'new info'!B165</f>
        <v/>
      </c>
      <c r="B164" s="3" t="str">
        <f>'new info'!A165&amp;'new info'!$C$1&amp;""&amp;'new info'!C165&amp;CHAR(10)&amp;'new info'!$G$1&amp;":"&amp;'new info'!G165&amp;CHAR(10)&amp;'new info'!$I$1&amp;":"&amp;'new info'!I165&amp;CHAR(10)&amp;'new info'!$J$1&amp;":"&amp;'new info'!J165&amp;""&amp;$C$1&amp;'new info'!M165&amp;$E$1</f>
        <v>ART.
COMP:
WIDTH:
WEIGHT:</v>
      </c>
    </row>
    <row r="165" spans="1:2" ht="112" hidden="1" customHeight="1" x14ac:dyDescent="0.25">
      <c r="A165" t="str">
        <f>'new info'!B166</f>
        <v/>
      </c>
      <c r="B165" s="3" t="str">
        <f>'new info'!A166&amp;'new info'!$C$1&amp;""&amp;'new info'!C166&amp;CHAR(10)&amp;'new info'!$G$1&amp;":"&amp;'new info'!G166&amp;CHAR(10)&amp;'new info'!$I$1&amp;":"&amp;'new info'!I166&amp;CHAR(10)&amp;'new info'!$J$1&amp;":"&amp;'new info'!J166&amp;""&amp;$C$1&amp;'new info'!M166&amp;$E$1</f>
        <v>ART.
COMP:
WIDTH:
WEIGHT:</v>
      </c>
    </row>
    <row r="166" spans="1:2" ht="112" hidden="1" customHeight="1" x14ac:dyDescent="0.25">
      <c r="A166" t="str">
        <f>'new info'!B167</f>
        <v/>
      </c>
      <c r="B166" s="3" t="str">
        <f>'new info'!A167&amp;'new info'!$C$1&amp;""&amp;'new info'!C167&amp;CHAR(10)&amp;'new info'!$G$1&amp;":"&amp;'new info'!G167&amp;CHAR(10)&amp;'new info'!$I$1&amp;":"&amp;'new info'!I167&amp;CHAR(10)&amp;'new info'!$J$1&amp;":"&amp;'new info'!J167&amp;""&amp;$C$1&amp;'new info'!M167&amp;$E$1</f>
        <v>ART.
COMP:
WIDTH:
WEIGHT:</v>
      </c>
    </row>
    <row r="167" spans="1:2" ht="112" hidden="1" customHeight="1" x14ac:dyDescent="0.25">
      <c r="A167" t="str">
        <f>'new info'!B168</f>
        <v/>
      </c>
      <c r="B167" s="3" t="str">
        <f>'new info'!A168&amp;'new info'!$C$1&amp;""&amp;'new info'!C168&amp;CHAR(10)&amp;'new info'!$G$1&amp;":"&amp;'new info'!G168&amp;CHAR(10)&amp;'new info'!$I$1&amp;":"&amp;'new info'!I168&amp;CHAR(10)&amp;'new info'!$J$1&amp;":"&amp;'new info'!J168&amp;""&amp;$C$1&amp;'new info'!M168&amp;$E$1</f>
        <v>ART.
COMP:
WIDTH:
WEIGHT:</v>
      </c>
    </row>
    <row r="168" spans="1:2" ht="112" hidden="1" customHeight="1" x14ac:dyDescent="0.25">
      <c r="A168" t="str">
        <f>'new info'!B169</f>
        <v/>
      </c>
      <c r="B168" s="3" t="str">
        <f>'new info'!A169&amp;'new info'!$C$1&amp;""&amp;'new info'!C169&amp;CHAR(10)&amp;'new info'!$G$1&amp;":"&amp;'new info'!G169&amp;CHAR(10)&amp;'new info'!$I$1&amp;":"&amp;'new info'!I169&amp;CHAR(10)&amp;'new info'!$J$1&amp;":"&amp;'new info'!J169&amp;""&amp;$C$1&amp;'new info'!M169&amp;$E$1</f>
        <v>ART.
COMP:
WIDTH:
WEIGHT:</v>
      </c>
    </row>
    <row r="169" spans="1:2" ht="112" hidden="1" customHeight="1" x14ac:dyDescent="0.25">
      <c r="A169" t="str">
        <f>'new info'!B170</f>
        <v/>
      </c>
      <c r="B169" s="3" t="str">
        <f>'new info'!A170&amp;'new info'!$C$1&amp;""&amp;'new info'!C170&amp;CHAR(10)&amp;'new info'!$G$1&amp;":"&amp;'new info'!G170&amp;CHAR(10)&amp;'new info'!$I$1&amp;":"&amp;'new info'!I170&amp;CHAR(10)&amp;'new info'!$J$1&amp;":"&amp;'new info'!J170&amp;""&amp;$C$1&amp;'new info'!M170&amp;$E$1</f>
        <v>ART.
COMP:
WIDTH:
WEIGHT:</v>
      </c>
    </row>
    <row r="170" spans="1:2" ht="112" hidden="1" customHeight="1" x14ac:dyDescent="0.25">
      <c r="A170" t="str">
        <f>'new info'!B171</f>
        <v/>
      </c>
      <c r="B170" s="3" t="str">
        <f>'new info'!A171&amp;'new info'!$C$1&amp;""&amp;'new info'!C171&amp;CHAR(10)&amp;'new info'!$G$1&amp;":"&amp;'new info'!G171&amp;CHAR(10)&amp;'new info'!$I$1&amp;":"&amp;'new info'!I171&amp;CHAR(10)&amp;'new info'!$J$1&amp;":"&amp;'new info'!J171&amp;""&amp;$C$1&amp;'new info'!M171&amp;$E$1</f>
        <v>ART.
COMP:
WIDTH:
WEIGHT:</v>
      </c>
    </row>
    <row r="171" spans="1:2" ht="112" hidden="1" customHeight="1" x14ac:dyDescent="0.25">
      <c r="A171" t="str">
        <f>'new info'!B172</f>
        <v/>
      </c>
      <c r="B171" s="3" t="str">
        <f>'new info'!A172&amp;'new info'!$C$1&amp;""&amp;'new info'!C172&amp;CHAR(10)&amp;'new info'!$G$1&amp;":"&amp;'new info'!G172&amp;CHAR(10)&amp;'new info'!$I$1&amp;":"&amp;'new info'!I172&amp;CHAR(10)&amp;'new info'!$J$1&amp;":"&amp;'new info'!J172&amp;""&amp;$C$1&amp;'new info'!M172&amp;$E$1</f>
        <v>ART.
COMP:
WIDTH:
WEIGHT:</v>
      </c>
    </row>
    <row r="172" spans="1:2" ht="112" hidden="1" customHeight="1" x14ac:dyDescent="0.25">
      <c r="A172" t="str">
        <f>'new info'!B173</f>
        <v/>
      </c>
      <c r="B172" s="3" t="str">
        <f>'new info'!A173&amp;'new info'!$C$1&amp;""&amp;'new info'!C173&amp;CHAR(10)&amp;'new info'!$G$1&amp;":"&amp;'new info'!G173&amp;CHAR(10)&amp;'new info'!$I$1&amp;":"&amp;'new info'!I173&amp;CHAR(10)&amp;'new info'!$J$1&amp;":"&amp;'new info'!J173&amp;""&amp;$C$1&amp;'new info'!M173&amp;$E$1</f>
        <v>ART.
COMP:
WIDTH:
WEIGHT:</v>
      </c>
    </row>
    <row r="173" spans="1:2" ht="112" hidden="1" customHeight="1" x14ac:dyDescent="0.25">
      <c r="A173" t="str">
        <f>'new info'!B174</f>
        <v/>
      </c>
      <c r="B173" s="3" t="str">
        <f>'new info'!A174&amp;'new info'!$C$1&amp;""&amp;'new info'!C174&amp;CHAR(10)&amp;'new info'!$G$1&amp;":"&amp;'new info'!G174&amp;CHAR(10)&amp;'new info'!$I$1&amp;":"&amp;'new info'!I174&amp;CHAR(10)&amp;'new info'!$J$1&amp;":"&amp;'new info'!J174&amp;""&amp;$C$1&amp;'new info'!M174&amp;$E$1</f>
        <v>ART.
COMP:
WIDTH:
WEIGHT:</v>
      </c>
    </row>
    <row r="174" spans="1:2" ht="112" hidden="1" customHeight="1" x14ac:dyDescent="0.25">
      <c r="A174" t="str">
        <f>'new info'!B175</f>
        <v/>
      </c>
      <c r="B174" s="3" t="str">
        <f>'new info'!A175&amp;'new info'!$C$1&amp;""&amp;'new info'!C175&amp;CHAR(10)&amp;'new info'!$G$1&amp;":"&amp;'new info'!G175&amp;CHAR(10)&amp;'new info'!$I$1&amp;":"&amp;'new info'!I175&amp;CHAR(10)&amp;'new info'!$J$1&amp;":"&amp;'new info'!J175&amp;""&amp;$C$1&amp;'new info'!M175&amp;$E$1</f>
        <v>ART.
COMP:
WIDTH:
WEIGHT:</v>
      </c>
    </row>
    <row r="175" spans="1:2" ht="112" hidden="1" customHeight="1" x14ac:dyDescent="0.25">
      <c r="A175" t="str">
        <f>'new info'!B176</f>
        <v/>
      </c>
      <c r="B175" s="3" t="str">
        <f>'new info'!A176&amp;'new info'!$C$1&amp;""&amp;'new info'!C176&amp;CHAR(10)&amp;'new info'!$G$1&amp;":"&amp;'new info'!G176&amp;CHAR(10)&amp;'new info'!$I$1&amp;":"&amp;'new info'!I176&amp;CHAR(10)&amp;'new info'!$J$1&amp;":"&amp;'new info'!J176&amp;""&amp;$C$1&amp;'new info'!M176&amp;$E$1</f>
        <v>ART.
COMP:
WIDTH:
WEIGHT:</v>
      </c>
    </row>
    <row r="176" spans="1:2" ht="112" hidden="1" customHeight="1" x14ac:dyDescent="0.25">
      <c r="A176" t="str">
        <f>'new info'!B177</f>
        <v/>
      </c>
      <c r="B176" s="3" t="str">
        <f>'new info'!A177&amp;'new info'!$C$1&amp;""&amp;'new info'!C177&amp;CHAR(10)&amp;'new info'!$G$1&amp;":"&amp;'new info'!G177&amp;CHAR(10)&amp;'new info'!$I$1&amp;":"&amp;'new info'!I177&amp;CHAR(10)&amp;'new info'!$J$1&amp;":"&amp;'new info'!J177&amp;""&amp;$C$1&amp;'new info'!M177&amp;$E$1</f>
        <v>ART.
COMP:
WIDTH:
WEIGHT:</v>
      </c>
    </row>
    <row r="177" spans="1:2" ht="112" hidden="1" customHeight="1" x14ac:dyDescent="0.25">
      <c r="A177" t="str">
        <f>'new info'!B178</f>
        <v/>
      </c>
      <c r="B177" s="3" t="str">
        <f>'new info'!A178&amp;'new info'!$C$1&amp;""&amp;'new info'!C178&amp;CHAR(10)&amp;'new info'!$G$1&amp;":"&amp;'new info'!G178&amp;CHAR(10)&amp;'new info'!$I$1&amp;":"&amp;'new info'!I178&amp;CHAR(10)&amp;'new info'!$J$1&amp;":"&amp;'new info'!J178&amp;""&amp;$C$1&amp;'new info'!M178&amp;$E$1</f>
        <v>ART.
COMP:
WIDTH:
WEIGHT:</v>
      </c>
    </row>
    <row r="178" spans="1:2" ht="112" hidden="1" customHeight="1" x14ac:dyDescent="0.25">
      <c r="A178" t="str">
        <f>'new info'!B179</f>
        <v/>
      </c>
      <c r="B178" s="3" t="str">
        <f>'new info'!A179&amp;'new info'!$C$1&amp;""&amp;'new info'!C179&amp;CHAR(10)&amp;'new info'!$G$1&amp;":"&amp;'new info'!G179&amp;CHAR(10)&amp;'new info'!$I$1&amp;":"&amp;'new info'!I179&amp;CHAR(10)&amp;'new info'!$J$1&amp;":"&amp;'new info'!J179&amp;""&amp;$C$1&amp;'new info'!M179&amp;$E$1</f>
        <v>ART.
COMP:
WIDTH:
WEIGHT:</v>
      </c>
    </row>
    <row r="179" spans="1:2" ht="112" hidden="1" customHeight="1" x14ac:dyDescent="0.25">
      <c r="A179" t="str">
        <f>'new info'!B180</f>
        <v/>
      </c>
      <c r="B179" s="3" t="str">
        <f>'new info'!A180&amp;'new info'!$C$1&amp;""&amp;'new info'!C180&amp;CHAR(10)&amp;'new info'!$G$1&amp;":"&amp;'new info'!G180&amp;CHAR(10)&amp;'new info'!$I$1&amp;":"&amp;'new info'!I180&amp;CHAR(10)&amp;'new info'!$J$1&amp;":"&amp;'new info'!J180&amp;""&amp;$C$1&amp;'new info'!M180&amp;$E$1</f>
        <v>ART.
COMP:
WIDTH:
WEIGHT:</v>
      </c>
    </row>
    <row r="180" spans="1:2" ht="112" hidden="1" customHeight="1" x14ac:dyDescent="0.25">
      <c r="A180" t="str">
        <f>'new info'!B181</f>
        <v/>
      </c>
      <c r="B180" s="3" t="str">
        <f>'new info'!A181&amp;'new info'!$C$1&amp;""&amp;'new info'!C181&amp;CHAR(10)&amp;'new info'!$G$1&amp;":"&amp;'new info'!G181&amp;CHAR(10)&amp;'new info'!$I$1&amp;":"&amp;'new info'!I181&amp;CHAR(10)&amp;'new info'!$J$1&amp;":"&amp;'new info'!J181&amp;""&amp;$C$1&amp;'new info'!M181&amp;$E$1</f>
        <v>ART.
COMP:
WIDTH:
WEIGHT:</v>
      </c>
    </row>
    <row r="181" spans="1:2" ht="112" hidden="1" customHeight="1" x14ac:dyDescent="0.25">
      <c r="A181" t="str">
        <f>'new info'!B182</f>
        <v/>
      </c>
      <c r="B181" s="3" t="str">
        <f>'new info'!A182&amp;'new info'!$C$1&amp;""&amp;'new info'!C182&amp;CHAR(10)&amp;'new info'!$G$1&amp;":"&amp;'new info'!G182&amp;CHAR(10)&amp;'new info'!$I$1&amp;":"&amp;'new info'!I182&amp;CHAR(10)&amp;'new info'!$J$1&amp;":"&amp;'new info'!J182&amp;""&amp;$C$1&amp;'new info'!M182&amp;$E$1</f>
        <v>ART.
COMP:
WIDTH:
WEIGHT:</v>
      </c>
    </row>
    <row r="182" spans="1:2" ht="112" hidden="1" customHeight="1" x14ac:dyDescent="0.25">
      <c r="A182" t="str">
        <f>'new info'!B183</f>
        <v/>
      </c>
      <c r="B182" s="3" t="str">
        <f>'new info'!A183&amp;'new info'!$C$1&amp;""&amp;'new info'!C183&amp;CHAR(10)&amp;'new info'!$G$1&amp;":"&amp;'new info'!G183&amp;CHAR(10)&amp;'new info'!$I$1&amp;":"&amp;'new info'!I183&amp;CHAR(10)&amp;'new info'!$J$1&amp;":"&amp;'new info'!J183&amp;""&amp;$C$1&amp;'new info'!M183&amp;$E$1</f>
        <v>ART.
COMP:
WIDTH:
WEIGHT:</v>
      </c>
    </row>
    <row r="183" spans="1:2" ht="112" hidden="1" customHeight="1" x14ac:dyDescent="0.25">
      <c r="A183" t="str">
        <f>'new info'!B184</f>
        <v/>
      </c>
      <c r="B183" s="3" t="str">
        <f>'new info'!A184&amp;'new info'!$C$1&amp;""&amp;'new info'!C184&amp;CHAR(10)&amp;'new info'!$G$1&amp;":"&amp;'new info'!G184&amp;CHAR(10)&amp;'new info'!$I$1&amp;":"&amp;'new info'!I184&amp;CHAR(10)&amp;'new info'!$J$1&amp;":"&amp;'new info'!J184&amp;""&amp;$C$1&amp;'new info'!M184&amp;$E$1</f>
        <v>ART.
COMP:
WIDTH:
WEIGHT:</v>
      </c>
    </row>
    <row r="184" spans="1:2" ht="112" hidden="1" customHeight="1" x14ac:dyDescent="0.25">
      <c r="A184" t="str">
        <f>'new info'!B185</f>
        <v/>
      </c>
      <c r="B184" s="3" t="str">
        <f>'new info'!A185&amp;'new info'!$C$1&amp;""&amp;'new info'!C185&amp;CHAR(10)&amp;'new info'!$G$1&amp;":"&amp;'new info'!G185&amp;CHAR(10)&amp;'new info'!$I$1&amp;":"&amp;'new info'!I185&amp;CHAR(10)&amp;'new info'!$J$1&amp;":"&amp;'new info'!J185&amp;""&amp;$C$1&amp;'new info'!M185&amp;$E$1</f>
        <v>ART.
COMP:
WIDTH:
WEIGHT:</v>
      </c>
    </row>
    <row r="185" spans="1:2" ht="112" hidden="1" customHeight="1" x14ac:dyDescent="0.25">
      <c r="A185" t="str">
        <f>'new info'!B186</f>
        <v/>
      </c>
      <c r="B185" s="3" t="str">
        <f>'new info'!A186&amp;'new info'!$C$1&amp;""&amp;'new info'!C186&amp;CHAR(10)&amp;'new info'!$G$1&amp;":"&amp;'new info'!G186&amp;CHAR(10)&amp;'new info'!$I$1&amp;":"&amp;'new info'!I186&amp;CHAR(10)&amp;'new info'!$J$1&amp;":"&amp;'new info'!J186&amp;""&amp;$C$1&amp;'new info'!M186&amp;$E$1</f>
        <v>ART.
COMP:
WIDTH:
WEIGHT:</v>
      </c>
    </row>
    <row r="186" spans="1:2" ht="112" hidden="1" customHeight="1" x14ac:dyDescent="0.25">
      <c r="A186" t="str">
        <f>'new info'!B187</f>
        <v/>
      </c>
      <c r="B186" s="3" t="str">
        <f>'new info'!A187&amp;'new info'!$C$1&amp;""&amp;'new info'!C187&amp;CHAR(10)&amp;'new info'!$G$1&amp;":"&amp;'new info'!G187&amp;CHAR(10)&amp;'new info'!$I$1&amp;":"&amp;'new info'!I187&amp;CHAR(10)&amp;'new info'!$J$1&amp;":"&amp;'new info'!J187&amp;""&amp;$C$1&amp;'new info'!M187&amp;$E$1</f>
        <v>ART.
COMP:
WIDTH:
WEIGHT:</v>
      </c>
    </row>
    <row r="187" spans="1:2" ht="112" hidden="1" customHeight="1" x14ac:dyDescent="0.25">
      <c r="A187" t="str">
        <f>'new info'!B188</f>
        <v/>
      </c>
      <c r="B187" s="3" t="str">
        <f>'new info'!A188&amp;'new info'!$C$1&amp;""&amp;'new info'!C188&amp;CHAR(10)&amp;'new info'!$G$1&amp;":"&amp;'new info'!G188&amp;CHAR(10)&amp;'new info'!$I$1&amp;":"&amp;'new info'!I188&amp;CHAR(10)&amp;'new info'!$J$1&amp;":"&amp;'new info'!J188&amp;""&amp;$C$1&amp;'new info'!M188&amp;$E$1</f>
        <v>ART.
COMP:
WIDTH:
WEIGHT:</v>
      </c>
    </row>
    <row r="188" spans="1:2" ht="112" hidden="1" customHeight="1" x14ac:dyDescent="0.25">
      <c r="A188" t="str">
        <f>'new info'!B189</f>
        <v/>
      </c>
      <c r="B188" s="3" t="str">
        <f>'new info'!A189&amp;'new info'!$C$1&amp;""&amp;'new info'!C189&amp;CHAR(10)&amp;'new info'!$G$1&amp;":"&amp;'new info'!G189&amp;CHAR(10)&amp;'new info'!$I$1&amp;":"&amp;'new info'!I189&amp;CHAR(10)&amp;'new info'!$J$1&amp;":"&amp;'new info'!J189&amp;""&amp;$C$1&amp;'new info'!M189&amp;$E$1</f>
        <v>ART.
COMP:
WIDTH:
WEIGHT:</v>
      </c>
    </row>
    <row r="189" spans="1:2" ht="112" hidden="1" customHeight="1" x14ac:dyDescent="0.25">
      <c r="A189" t="str">
        <f>'new info'!B190</f>
        <v/>
      </c>
      <c r="B189" s="3" t="str">
        <f>'new info'!A190&amp;'new info'!$C$1&amp;""&amp;'new info'!C190&amp;CHAR(10)&amp;'new info'!$G$1&amp;":"&amp;'new info'!G190&amp;CHAR(10)&amp;'new info'!$I$1&amp;":"&amp;'new info'!I190&amp;CHAR(10)&amp;'new info'!$J$1&amp;":"&amp;'new info'!J190&amp;""&amp;$C$1&amp;'new info'!M190&amp;$E$1</f>
        <v>ART.
COMP:
WIDTH:
WEIGHT:</v>
      </c>
    </row>
    <row r="190" spans="1:2" ht="112" hidden="1" customHeight="1" x14ac:dyDescent="0.25">
      <c r="A190" t="str">
        <f>'new info'!B191</f>
        <v/>
      </c>
      <c r="B190" s="3" t="str">
        <f>'new info'!A191&amp;'new info'!$C$1&amp;""&amp;'new info'!C191&amp;CHAR(10)&amp;'new info'!$G$1&amp;":"&amp;'new info'!G191&amp;CHAR(10)&amp;'new info'!$I$1&amp;":"&amp;'new info'!I191&amp;CHAR(10)&amp;'new info'!$J$1&amp;":"&amp;'new info'!J191&amp;""&amp;$C$1&amp;'new info'!M191&amp;$E$1</f>
        <v>ART.
COMP:
WIDTH:
WEIGHT:</v>
      </c>
    </row>
    <row r="191" spans="1:2" ht="112" hidden="1" customHeight="1" x14ac:dyDescent="0.25">
      <c r="A191" t="str">
        <f>'new info'!B192</f>
        <v/>
      </c>
      <c r="B191" s="3" t="str">
        <f>'new info'!A192&amp;'new info'!$C$1&amp;""&amp;'new info'!C192&amp;CHAR(10)&amp;'new info'!$G$1&amp;":"&amp;'new info'!G192&amp;CHAR(10)&amp;'new info'!$I$1&amp;":"&amp;'new info'!I192&amp;CHAR(10)&amp;'new info'!$J$1&amp;":"&amp;'new info'!J192&amp;""&amp;$C$1&amp;'new info'!M192&amp;$E$1</f>
        <v>ART.
COMP:
WIDTH:
WEIGHT:</v>
      </c>
    </row>
    <row r="192" spans="1:2" ht="112" hidden="1" customHeight="1" x14ac:dyDescent="0.25">
      <c r="A192" t="str">
        <f>'new info'!B193</f>
        <v/>
      </c>
      <c r="B192" s="3" t="str">
        <f>'new info'!A193&amp;'new info'!$C$1&amp;""&amp;'new info'!C193&amp;CHAR(10)&amp;'new info'!$G$1&amp;":"&amp;'new info'!G193&amp;CHAR(10)&amp;'new info'!$I$1&amp;":"&amp;'new info'!I193&amp;CHAR(10)&amp;'new info'!$J$1&amp;":"&amp;'new info'!J193&amp;""&amp;$C$1&amp;'new info'!M193&amp;$E$1</f>
        <v>ART.
COMP:
WIDTH:
WEIGHT:</v>
      </c>
    </row>
    <row r="193" spans="1:2" ht="112" hidden="1" customHeight="1" x14ac:dyDescent="0.25">
      <c r="A193" t="str">
        <f>'new info'!B194</f>
        <v/>
      </c>
      <c r="B193" s="3" t="str">
        <f>'new info'!A194&amp;'new info'!$C$1&amp;""&amp;'new info'!C194&amp;CHAR(10)&amp;'new info'!$G$1&amp;":"&amp;'new info'!G194&amp;CHAR(10)&amp;'new info'!$I$1&amp;":"&amp;'new info'!I194&amp;CHAR(10)&amp;'new info'!$J$1&amp;":"&amp;'new info'!J194&amp;""&amp;$C$1&amp;'new info'!M194&amp;$E$1</f>
        <v>ART.
COMP:
WIDTH:
WEIGHT:</v>
      </c>
    </row>
    <row r="194" spans="1:2" ht="112" hidden="1" customHeight="1" x14ac:dyDescent="0.25">
      <c r="A194" t="str">
        <f>'new info'!B195</f>
        <v/>
      </c>
      <c r="B194" s="3" t="str">
        <f>'new info'!A195&amp;'new info'!$C$1&amp;""&amp;'new info'!C195&amp;CHAR(10)&amp;'new info'!$G$1&amp;":"&amp;'new info'!G195&amp;CHAR(10)&amp;'new info'!$I$1&amp;":"&amp;'new info'!I195&amp;CHAR(10)&amp;'new info'!$J$1&amp;":"&amp;'new info'!J195&amp;""&amp;$C$1&amp;'new info'!M195&amp;$E$1</f>
        <v>ART.
COMP:
WIDTH:
WEIGHT:</v>
      </c>
    </row>
    <row r="195" spans="1:2" ht="112" hidden="1" customHeight="1" x14ac:dyDescent="0.25">
      <c r="A195" t="str">
        <f>'new info'!B196</f>
        <v/>
      </c>
      <c r="B195" s="3" t="str">
        <f>'new info'!A196&amp;'new info'!$C$1&amp;""&amp;'new info'!C196&amp;CHAR(10)&amp;'new info'!$G$1&amp;":"&amp;'new info'!G196&amp;CHAR(10)&amp;'new info'!$I$1&amp;":"&amp;'new info'!I196&amp;CHAR(10)&amp;'new info'!$J$1&amp;":"&amp;'new info'!J196&amp;""&amp;$C$1&amp;'new info'!M196&amp;$E$1</f>
        <v>ART.
COMP:
WIDTH:
WEIGHT:</v>
      </c>
    </row>
    <row r="196" spans="1:2" ht="112" hidden="1" customHeight="1" x14ac:dyDescent="0.25">
      <c r="A196" t="str">
        <f>'new info'!B197</f>
        <v/>
      </c>
      <c r="B196" s="3" t="str">
        <f>'new info'!A197&amp;'new info'!$C$1&amp;""&amp;'new info'!C197&amp;CHAR(10)&amp;'new info'!$G$1&amp;":"&amp;'new info'!G197&amp;CHAR(10)&amp;'new info'!$I$1&amp;":"&amp;'new info'!I197&amp;CHAR(10)&amp;'new info'!$J$1&amp;":"&amp;'new info'!J197&amp;""&amp;$C$1&amp;'new info'!M197&amp;$E$1</f>
        <v>ART.
COMP:
WIDTH:
WEIGHT:</v>
      </c>
    </row>
    <row r="197" spans="1:2" ht="112" hidden="1" customHeight="1" x14ac:dyDescent="0.25">
      <c r="A197" t="str">
        <f>'new info'!B198</f>
        <v/>
      </c>
      <c r="B197" s="3" t="str">
        <f>'new info'!A198&amp;'new info'!$C$1&amp;""&amp;'new info'!C198&amp;CHAR(10)&amp;'new info'!$G$1&amp;":"&amp;'new info'!G198&amp;CHAR(10)&amp;'new info'!$I$1&amp;":"&amp;'new info'!I198&amp;CHAR(10)&amp;'new info'!$J$1&amp;":"&amp;'new info'!J198&amp;""&amp;$C$1&amp;'new info'!M198&amp;$E$1</f>
        <v>ART.
COMP:
WIDTH:
WEIGHT:</v>
      </c>
    </row>
    <row r="198" spans="1:2" ht="112" hidden="1" customHeight="1" x14ac:dyDescent="0.25">
      <c r="A198" t="str">
        <f>'new info'!B199</f>
        <v/>
      </c>
      <c r="B198" s="3" t="str">
        <f>'new info'!A199&amp;'new info'!$C$1&amp;""&amp;'new info'!C199&amp;CHAR(10)&amp;'new info'!$G$1&amp;":"&amp;'new info'!G199&amp;CHAR(10)&amp;'new info'!$I$1&amp;":"&amp;'new info'!I199&amp;CHAR(10)&amp;'new info'!$J$1&amp;":"&amp;'new info'!J199&amp;""&amp;$C$1&amp;'new info'!M199&amp;$E$1</f>
        <v>ART.
COMP:
WIDTH:
WEIGHT:</v>
      </c>
    </row>
    <row r="199" spans="1:2" ht="112" hidden="1" customHeight="1" x14ac:dyDescent="0.25">
      <c r="A199" t="str">
        <f>'new info'!B200</f>
        <v/>
      </c>
      <c r="B199" s="3" t="str">
        <f>'new info'!A200&amp;'new info'!$C$1&amp;""&amp;'new info'!C200&amp;CHAR(10)&amp;'new info'!$G$1&amp;":"&amp;'new info'!G200&amp;CHAR(10)&amp;'new info'!$I$1&amp;":"&amp;'new info'!I200&amp;CHAR(10)&amp;'new info'!$J$1&amp;":"&amp;'new info'!J200&amp;""&amp;$C$1&amp;'new info'!M200&amp;$E$1</f>
        <v>ART.
COMP:
WIDTH:
WEIGHT:</v>
      </c>
    </row>
    <row r="200" spans="1:2" ht="112" hidden="1" customHeight="1" x14ac:dyDescent="0.25">
      <c r="A200" t="str">
        <f>'new info'!B201</f>
        <v/>
      </c>
      <c r="B200" s="3" t="str">
        <f>'new info'!A201&amp;'new info'!$C$1&amp;""&amp;'new info'!C201&amp;CHAR(10)&amp;'new info'!$G$1&amp;":"&amp;'new info'!G201&amp;CHAR(10)&amp;'new info'!$I$1&amp;":"&amp;'new info'!I201&amp;CHAR(10)&amp;'new info'!$J$1&amp;":"&amp;'new info'!J201&amp;""&amp;$C$1&amp;'new info'!M201&amp;$E$1</f>
        <v>ART.
COMP:
WIDTH:
WEIGHT:</v>
      </c>
    </row>
    <row r="201" spans="1:2" ht="112" hidden="1" customHeight="1" x14ac:dyDescent="0.25">
      <c r="A201" t="str">
        <f>'new info'!B202</f>
        <v/>
      </c>
      <c r="B201" s="3" t="str">
        <f>'new info'!A202&amp;'new info'!$C$1&amp;""&amp;'new info'!C202&amp;CHAR(10)&amp;'new info'!$G$1&amp;":"&amp;'new info'!G202&amp;CHAR(10)&amp;'new info'!$I$1&amp;":"&amp;'new info'!I202&amp;CHAR(10)&amp;'new info'!$J$1&amp;":"&amp;'new info'!J202&amp;""&amp;$C$1&amp;'new info'!M202&amp;$E$1</f>
        <v>ART.
COMP:
WIDTH:
WEIGHT:</v>
      </c>
    </row>
    <row r="202" spans="1:2" ht="112" hidden="1" customHeight="1" x14ac:dyDescent="0.25">
      <c r="A202" t="str">
        <f>'new info'!B203</f>
        <v/>
      </c>
      <c r="B202" s="3" t="str">
        <f>'new info'!A203&amp;'new info'!$C$1&amp;""&amp;'new info'!C203&amp;CHAR(10)&amp;'new info'!$G$1&amp;":"&amp;'new info'!G203&amp;CHAR(10)&amp;'new info'!$I$1&amp;":"&amp;'new info'!I203&amp;CHAR(10)&amp;'new info'!$J$1&amp;":"&amp;'new info'!J203&amp;""&amp;$C$1&amp;'new info'!M203&amp;$E$1</f>
        <v>ART.
COMP:
WIDTH:
WEIGHT:</v>
      </c>
    </row>
    <row r="203" spans="1:2" ht="112" hidden="1" customHeight="1" x14ac:dyDescent="0.25">
      <c r="A203" t="str">
        <f>'new info'!B204</f>
        <v/>
      </c>
      <c r="B203" s="3" t="str">
        <f>'new info'!A204&amp;'new info'!$C$1&amp;""&amp;'new info'!C204&amp;CHAR(10)&amp;'new info'!$G$1&amp;":"&amp;'new info'!G204&amp;CHAR(10)&amp;'new info'!$I$1&amp;":"&amp;'new info'!I204&amp;CHAR(10)&amp;'new info'!$J$1&amp;":"&amp;'new info'!J204&amp;""&amp;$C$1&amp;'new info'!M204&amp;$E$1</f>
        <v>ART.
COMP:
WIDTH:
WEIGHT:</v>
      </c>
    </row>
    <row r="204" spans="1:2" ht="112" hidden="1" customHeight="1" x14ac:dyDescent="0.25">
      <c r="A204" t="str">
        <f>'new info'!B205</f>
        <v/>
      </c>
      <c r="B204" s="3" t="str">
        <f>'new info'!A205&amp;'new info'!$C$1&amp;""&amp;'new info'!C205&amp;CHAR(10)&amp;'new info'!$G$1&amp;":"&amp;'new info'!G205&amp;CHAR(10)&amp;'new info'!$I$1&amp;":"&amp;'new info'!I205&amp;CHAR(10)&amp;'new info'!$J$1&amp;":"&amp;'new info'!J205&amp;""&amp;$C$1&amp;'new info'!M205&amp;$E$1</f>
        <v>ART.
COMP:
WIDTH:
WEIGHT:</v>
      </c>
    </row>
    <row r="205" spans="1:2" ht="112" hidden="1" customHeight="1" x14ac:dyDescent="0.25">
      <c r="A205" t="str">
        <f>'new info'!B206</f>
        <v/>
      </c>
      <c r="B205" s="3" t="str">
        <f>'new info'!A206&amp;'new info'!$C$1&amp;""&amp;'new info'!C206&amp;CHAR(10)&amp;'new info'!$G$1&amp;":"&amp;'new info'!G206&amp;CHAR(10)&amp;'new info'!$I$1&amp;":"&amp;'new info'!I206&amp;CHAR(10)&amp;'new info'!$J$1&amp;":"&amp;'new info'!J206&amp;""&amp;$C$1&amp;'new info'!M206&amp;$E$1</f>
        <v>ART.
COMP:
WIDTH:
WEIGHT:</v>
      </c>
    </row>
    <row r="206" spans="1:2" ht="112" hidden="1" customHeight="1" x14ac:dyDescent="0.25">
      <c r="A206" t="str">
        <f>'new info'!B207</f>
        <v/>
      </c>
      <c r="B206" s="3" t="str">
        <f>'new info'!A207&amp;'new info'!$C$1&amp;""&amp;'new info'!C207&amp;CHAR(10)&amp;'new info'!$G$1&amp;":"&amp;'new info'!G207&amp;CHAR(10)&amp;'new info'!$I$1&amp;":"&amp;'new info'!I207&amp;CHAR(10)&amp;'new info'!$J$1&amp;":"&amp;'new info'!J207&amp;""&amp;$C$1&amp;'new info'!M207&amp;$E$1</f>
        <v>ART.
COMP:
WIDTH:
WEIGHT:</v>
      </c>
    </row>
    <row r="207" spans="1:2" ht="112" hidden="1" customHeight="1" x14ac:dyDescent="0.25">
      <c r="A207" t="str">
        <f>'new info'!B208</f>
        <v/>
      </c>
      <c r="B207" s="3" t="str">
        <f>'new info'!A208&amp;'new info'!$C$1&amp;""&amp;'new info'!C208&amp;CHAR(10)&amp;'new info'!$G$1&amp;":"&amp;'new info'!G208&amp;CHAR(10)&amp;'new info'!$I$1&amp;":"&amp;'new info'!I208&amp;CHAR(10)&amp;'new info'!$J$1&amp;":"&amp;'new info'!J208&amp;""&amp;$C$1&amp;'new info'!M208&amp;$E$1</f>
        <v>ART.
COMP:
WIDTH:
WEIGHT:</v>
      </c>
    </row>
    <row r="208" spans="1:2" ht="112" hidden="1" customHeight="1" x14ac:dyDescent="0.25">
      <c r="A208" t="str">
        <f>'new info'!B209</f>
        <v/>
      </c>
      <c r="B208" s="3" t="str">
        <f>'new info'!A209&amp;'new info'!$C$1&amp;""&amp;'new info'!C209&amp;CHAR(10)&amp;'new info'!$G$1&amp;":"&amp;'new info'!G209&amp;CHAR(10)&amp;'new info'!$I$1&amp;":"&amp;'new info'!I209&amp;CHAR(10)&amp;'new info'!$J$1&amp;":"&amp;'new info'!J209&amp;""&amp;$C$1&amp;'new info'!M209&amp;$E$1</f>
        <v>ART.
COMP:
WIDTH:
WEIGHT:</v>
      </c>
    </row>
    <row r="209" spans="1:2" ht="112" hidden="1" customHeight="1" x14ac:dyDescent="0.25">
      <c r="A209" t="str">
        <f>'new info'!B210</f>
        <v/>
      </c>
      <c r="B209" s="3" t="str">
        <f>'new info'!A210&amp;'new info'!$C$1&amp;""&amp;'new info'!C210&amp;CHAR(10)&amp;'new info'!$G$1&amp;":"&amp;'new info'!G210&amp;CHAR(10)&amp;'new info'!$I$1&amp;":"&amp;'new info'!I210&amp;CHAR(10)&amp;'new info'!$J$1&amp;":"&amp;'new info'!J210&amp;""&amp;$C$1&amp;'new info'!M210&amp;$E$1</f>
        <v>ART.
COMP:
WIDTH:
WEIGHT:</v>
      </c>
    </row>
    <row r="210" spans="1:2" ht="112" hidden="1" customHeight="1" x14ac:dyDescent="0.25">
      <c r="A210" t="str">
        <f>'new info'!B211</f>
        <v/>
      </c>
      <c r="B210" s="3" t="str">
        <f>'new info'!A211&amp;'new info'!$C$1&amp;""&amp;'new info'!C211&amp;CHAR(10)&amp;'new info'!$G$1&amp;":"&amp;'new info'!G211&amp;CHAR(10)&amp;'new info'!$I$1&amp;":"&amp;'new info'!I211&amp;CHAR(10)&amp;'new info'!$J$1&amp;":"&amp;'new info'!J211&amp;""&amp;$C$1&amp;'new info'!M211&amp;$E$1</f>
        <v>ART.
COMP:
WIDTH:
WEIGHT:</v>
      </c>
    </row>
    <row r="211" spans="1:2" ht="112" hidden="1" customHeight="1" x14ac:dyDescent="0.25">
      <c r="A211" t="str">
        <f>'new info'!B212</f>
        <v/>
      </c>
      <c r="B211" s="3" t="str">
        <f>'new info'!A212&amp;'new info'!$C$1&amp;""&amp;'new info'!C212&amp;CHAR(10)&amp;'new info'!$G$1&amp;":"&amp;'new info'!G212&amp;CHAR(10)&amp;'new info'!$I$1&amp;":"&amp;'new info'!I212&amp;CHAR(10)&amp;'new info'!$J$1&amp;":"&amp;'new info'!J212&amp;""&amp;$C$1&amp;'new info'!M212&amp;$E$1</f>
        <v>ART.
COMP:
WIDTH:
WEIGHT:</v>
      </c>
    </row>
    <row r="212" spans="1:2" ht="112" hidden="1" customHeight="1" x14ac:dyDescent="0.25">
      <c r="A212" t="str">
        <f>'new info'!B213</f>
        <v/>
      </c>
      <c r="B212" s="3" t="str">
        <f>'new info'!A213&amp;'new info'!$C$1&amp;""&amp;'new info'!C213&amp;CHAR(10)&amp;'new info'!$G$1&amp;":"&amp;'new info'!G213&amp;CHAR(10)&amp;'new info'!$I$1&amp;":"&amp;'new info'!I213&amp;CHAR(10)&amp;'new info'!$J$1&amp;":"&amp;'new info'!J213&amp;""&amp;$C$1&amp;'new info'!M213&amp;$E$1</f>
        <v>ART.
COMP:
WIDTH:
WEIGHT:</v>
      </c>
    </row>
    <row r="213" spans="1:2" ht="112" hidden="1" customHeight="1" x14ac:dyDescent="0.25">
      <c r="A213" t="str">
        <f>'new info'!B214</f>
        <v/>
      </c>
      <c r="B213" s="3" t="str">
        <f>'new info'!A214&amp;'new info'!$C$1&amp;""&amp;'new info'!C214&amp;CHAR(10)&amp;'new info'!$G$1&amp;":"&amp;'new info'!G214&amp;CHAR(10)&amp;'new info'!$I$1&amp;":"&amp;'new info'!I214&amp;CHAR(10)&amp;'new info'!$J$1&amp;":"&amp;'new info'!J214&amp;""&amp;$C$1&amp;'new info'!M214&amp;$E$1</f>
        <v>ART.
COMP:
WIDTH:
WEIGHT:</v>
      </c>
    </row>
    <row r="214" spans="1:2" ht="112" hidden="1" customHeight="1" x14ac:dyDescent="0.25">
      <c r="A214" t="str">
        <f>'new info'!B215</f>
        <v/>
      </c>
      <c r="B214" s="3" t="str">
        <f>'new info'!A215&amp;'new info'!$C$1&amp;""&amp;'new info'!C215&amp;CHAR(10)&amp;'new info'!$G$1&amp;":"&amp;'new info'!G215&amp;CHAR(10)&amp;'new info'!$I$1&amp;":"&amp;'new info'!I215&amp;CHAR(10)&amp;'new info'!$J$1&amp;":"&amp;'new info'!J215&amp;""&amp;$C$1&amp;'new info'!M215&amp;$E$1</f>
        <v>ART.
COMP:
WIDTH:
WEIGHT:</v>
      </c>
    </row>
    <row r="215" spans="1:2" ht="112" hidden="1" customHeight="1" x14ac:dyDescent="0.25">
      <c r="A215" t="str">
        <f>'new info'!B216</f>
        <v/>
      </c>
      <c r="B215" s="3" t="str">
        <f>'new info'!A216&amp;'new info'!$C$1&amp;""&amp;'new info'!C216&amp;CHAR(10)&amp;'new info'!$G$1&amp;":"&amp;'new info'!G216&amp;CHAR(10)&amp;'new info'!$I$1&amp;":"&amp;'new info'!I216&amp;CHAR(10)&amp;'new info'!$J$1&amp;":"&amp;'new info'!J216&amp;""&amp;$C$1&amp;'new info'!M216&amp;$E$1</f>
        <v>ART.
COMP:
WIDTH:
WEIGHT:</v>
      </c>
    </row>
    <row r="216" spans="1:2" ht="112" hidden="1" customHeight="1" x14ac:dyDescent="0.25">
      <c r="A216" t="str">
        <f>'new info'!B217</f>
        <v/>
      </c>
      <c r="B216" s="3" t="str">
        <f>'new info'!A217&amp;'new info'!$C$1&amp;""&amp;'new info'!C217&amp;CHAR(10)&amp;'new info'!$G$1&amp;":"&amp;'new info'!G217&amp;CHAR(10)&amp;'new info'!$I$1&amp;":"&amp;'new info'!I217&amp;CHAR(10)&amp;'new info'!$J$1&amp;":"&amp;'new info'!J217&amp;""&amp;$C$1&amp;'new info'!M217&amp;$E$1</f>
        <v>ART.
COMP:
WIDTH:
WEIGHT:</v>
      </c>
    </row>
    <row r="217" spans="1:2" ht="112" hidden="1" customHeight="1" x14ac:dyDescent="0.25">
      <c r="A217" t="str">
        <f>'new info'!B218</f>
        <v/>
      </c>
      <c r="B217" s="3" t="str">
        <f>'new info'!A218&amp;'new info'!$C$1&amp;""&amp;'new info'!C218&amp;CHAR(10)&amp;'new info'!$G$1&amp;":"&amp;'new info'!G218&amp;CHAR(10)&amp;'new info'!$I$1&amp;":"&amp;'new info'!I218&amp;CHAR(10)&amp;'new info'!$J$1&amp;":"&amp;'new info'!J218&amp;""&amp;$C$1&amp;'new info'!M218&amp;$E$1</f>
        <v>ART.
COMP:
WIDTH:
WEIGHT:</v>
      </c>
    </row>
    <row r="218" spans="1:2" ht="112" hidden="1" customHeight="1" x14ac:dyDescent="0.25">
      <c r="A218" t="str">
        <f>'new info'!B219</f>
        <v/>
      </c>
      <c r="B218" s="3" t="str">
        <f>'new info'!A219&amp;'new info'!$C$1&amp;""&amp;'new info'!C219&amp;CHAR(10)&amp;'new info'!$G$1&amp;":"&amp;'new info'!G219&amp;CHAR(10)&amp;'new info'!$I$1&amp;":"&amp;'new info'!I219&amp;CHAR(10)&amp;'new info'!$J$1&amp;":"&amp;'new info'!J219&amp;""&amp;$C$1&amp;'new info'!M219&amp;$E$1</f>
        <v>ART.
COMP:
WIDTH:
WEIGHT:</v>
      </c>
    </row>
    <row r="219" spans="1:2" ht="112" hidden="1" customHeight="1" x14ac:dyDescent="0.25">
      <c r="A219" t="str">
        <f>'new info'!B220</f>
        <v/>
      </c>
      <c r="B219" s="3" t="str">
        <f>'new info'!A220&amp;'new info'!$C$1&amp;""&amp;'new info'!C220&amp;CHAR(10)&amp;'new info'!$G$1&amp;":"&amp;'new info'!G220&amp;CHAR(10)&amp;'new info'!$I$1&amp;":"&amp;'new info'!I220&amp;CHAR(10)&amp;'new info'!$J$1&amp;":"&amp;'new info'!J220&amp;""&amp;$C$1&amp;'new info'!M220&amp;$E$1</f>
        <v>ART.
COMP:
WIDTH:
WEIGHT:</v>
      </c>
    </row>
    <row r="220" spans="1:2" ht="112" hidden="1" customHeight="1" x14ac:dyDescent="0.25">
      <c r="A220" t="str">
        <f>'new info'!B221</f>
        <v/>
      </c>
      <c r="B220" s="3" t="str">
        <f>'new info'!A221&amp;'new info'!$C$1&amp;""&amp;'new info'!C221&amp;CHAR(10)&amp;'new info'!$G$1&amp;":"&amp;'new info'!G221&amp;CHAR(10)&amp;'new info'!$I$1&amp;":"&amp;'new info'!I221&amp;CHAR(10)&amp;'new info'!$J$1&amp;":"&amp;'new info'!J221&amp;""&amp;$C$1&amp;'new info'!M221&amp;$E$1</f>
        <v>ART.
COMP:
WIDTH:
WEIGHT:</v>
      </c>
    </row>
    <row r="221" spans="1:2" ht="112" hidden="1" customHeight="1" x14ac:dyDescent="0.25">
      <c r="A221" t="str">
        <f>'new info'!B222</f>
        <v/>
      </c>
      <c r="B221" s="3" t="str">
        <f>'new info'!A222&amp;'new info'!$C$1&amp;""&amp;'new info'!C222&amp;CHAR(10)&amp;'new info'!$G$1&amp;":"&amp;'new info'!G222&amp;CHAR(10)&amp;'new info'!$I$1&amp;":"&amp;'new info'!I222&amp;CHAR(10)&amp;'new info'!$J$1&amp;":"&amp;'new info'!J222&amp;""&amp;$C$1&amp;'new info'!M222&amp;$E$1</f>
        <v>ART.
COMP:
WIDTH:
WEIGHT:</v>
      </c>
    </row>
    <row r="222" spans="1:2" ht="112" hidden="1" customHeight="1" x14ac:dyDescent="0.25">
      <c r="A222" t="str">
        <f>'new info'!B223</f>
        <v/>
      </c>
      <c r="B222" s="3" t="str">
        <f>'new info'!A223&amp;'new info'!$C$1&amp;""&amp;'new info'!C223&amp;CHAR(10)&amp;'new info'!$G$1&amp;":"&amp;'new info'!G223&amp;CHAR(10)&amp;'new info'!$I$1&amp;":"&amp;'new info'!I223&amp;CHAR(10)&amp;'new info'!$J$1&amp;":"&amp;'new info'!J223&amp;""&amp;$C$1&amp;'new info'!M223&amp;$E$1</f>
        <v>ART.
COMP:
WIDTH:
WEIGHT:</v>
      </c>
    </row>
    <row r="223" spans="1:2" ht="112" hidden="1" customHeight="1" x14ac:dyDescent="0.25">
      <c r="A223" t="str">
        <f>'new info'!B224</f>
        <v/>
      </c>
      <c r="B223" s="3" t="str">
        <f>'new info'!A224&amp;'new info'!$C$1&amp;""&amp;'new info'!C224&amp;CHAR(10)&amp;'new info'!$G$1&amp;":"&amp;'new info'!G224&amp;CHAR(10)&amp;'new info'!$I$1&amp;":"&amp;'new info'!I224&amp;CHAR(10)&amp;'new info'!$J$1&amp;":"&amp;'new info'!J224&amp;""&amp;$C$1&amp;'new info'!M224&amp;$E$1</f>
        <v>ART.
COMP:
WIDTH:
WEIGHT:</v>
      </c>
    </row>
    <row r="224" spans="1:2" ht="112" hidden="1" customHeight="1" x14ac:dyDescent="0.25">
      <c r="A224" t="str">
        <f>'new info'!B225</f>
        <v/>
      </c>
      <c r="B224" s="3" t="str">
        <f>'new info'!A225&amp;'new info'!$C$1&amp;""&amp;'new info'!C225&amp;CHAR(10)&amp;'new info'!$G$1&amp;":"&amp;'new info'!G225&amp;CHAR(10)&amp;'new info'!$I$1&amp;":"&amp;'new info'!I225&amp;CHAR(10)&amp;'new info'!$J$1&amp;":"&amp;'new info'!J225&amp;""&amp;$C$1&amp;'new info'!M225&amp;$E$1</f>
        <v>ART.
COMP:
WIDTH:
WEIGHT:</v>
      </c>
    </row>
    <row r="225" spans="1:2" ht="112" hidden="1" customHeight="1" x14ac:dyDescent="0.25">
      <c r="A225" t="str">
        <f>'new info'!B226</f>
        <v/>
      </c>
      <c r="B225" s="3" t="str">
        <f>'new info'!A226&amp;'new info'!$C$1&amp;""&amp;'new info'!C226&amp;CHAR(10)&amp;'new info'!$G$1&amp;":"&amp;'new info'!G226&amp;CHAR(10)&amp;'new info'!$I$1&amp;":"&amp;'new info'!I226&amp;CHAR(10)&amp;'new info'!$J$1&amp;":"&amp;'new info'!J226&amp;""&amp;$C$1&amp;'new info'!M226&amp;$E$1</f>
        <v>ART.
COMP:
WIDTH:
WEIGHT:</v>
      </c>
    </row>
    <row r="226" spans="1:2" ht="112" hidden="1" customHeight="1" x14ac:dyDescent="0.25">
      <c r="A226" t="str">
        <f>'new info'!B227</f>
        <v/>
      </c>
      <c r="B226" s="3" t="str">
        <f>'new info'!A227&amp;'new info'!$C$1&amp;""&amp;'new info'!C227&amp;CHAR(10)&amp;'new info'!$G$1&amp;":"&amp;'new info'!G227&amp;CHAR(10)&amp;'new info'!$I$1&amp;":"&amp;'new info'!I227&amp;CHAR(10)&amp;'new info'!$J$1&amp;":"&amp;'new info'!J227&amp;""&amp;$C$1&amp;'new info'!M227&amp;$E$1</f>
        <v>ART.
COMP:
WIDTH:
WEIGHT:</v>
      </c>
    </row>
    <row r="227" spans="1:2" ht="112" hidden="1" customHeight="1" x14ac:dyDescent="0.25">
      <c r="A227" t="str">
        <f>'new info'!B228</f>
        <v/>
      </c>
      <c r="B227" s="3" t="str">
        <f>'new info'!A228&amp;'new info'!$C$1&amp;""&amp;'new info'!C228&amp;CHAR(10)&amp;'new info'!$G$1&amp;":"&amp;'new info'!G228&amp;CHAR(10)&amp;'new info'!$I$1&amp;":"&amp;'new info'!I228&amp;CHAR(10)&amp;'new info'!$J$1&amp;":"&amp;'new info'!J228&amp;""&amp;$C$1&amp;'new info'!M228&amp;$E$1</f>
        <v>ART.
COMP:
WIDTH:
WEIGHT:</v>
      </c>
    </row>
    <row r="228" spans="1:2" ht="112" hidden="1" customHeight="1" x14ac:dyDescent="0.25">
      <c r="A228" t="str">
        <f>'new info'!B229</f>
        <v/>
      </c>
      <c r="B228" s="3" t="str">
        <f>'new info'!A229&amp;'new info'!$C$1&amp;""&amp;'new info'!C229&amp;CHAR(10)&amp;'new info'!$G$1&amp;":"&amp;'new info'!G229&amp;CHAR(10)&amp;'new info'!$I$1&amp;":"&amp;'new info'!I229&amp;CHAR(10)&amp;'new info'!$J$1&amp;":"&amp;'new info'!J229&amp;""&amp;$C$1&amp;'new info'!M229&amp;$E$1</f>
        <v>ART.
COMP:
WIDTH:
WEIGHT:</v>
      </c>
    </row>
    <row r="229" spans="1:2" ht="112" hidden="1" customHeight="1" x14ac:dyDescent="0.25">
      <c r="A229" t="str">
        <f>'new info'!B230</f>
        <v/>
      </c>
      <c r="B229" s="3" t="str">
        <f>'new info'!A230&amp;'new info'!$C$1&amp;""&amp;'new info'!C230&amp;CHAR(10)&amp;'new info'!$G$1&amp;":"&amp;'new info'!G230&amp;CHAR(10)&amp;'new info'!$I$1&amp;":"&amp;'new info'!I230&amp;CHAR(10)&amp;'new info'!$J$1&amp;":"&amp;'new info'!J230&amp;""&amp;$C$1&amp;'new info'!M230&amp;$E$1</f>
        <v>ART.
COMP:
WIDTH:
WEIGHT:</v>
      </c>
    </row>
    <row r="230" spans="1:2" ht="112" hidden="1" customHeight="1" x14ac:dyDescent="0.25">
      <c r="A230" t="str">
        <f>'new info'!B231</f>
        <v/>
      </c>
      <c r="B230" s="3" t="str">
        <f>'new info'!A231&amp;'new info'!$C$1&amp;""&amp;'new info'!C231&amp;CHAR(10)&amp;'new info'!$G$1&amp;":"&amp;'new info'!G231&amp;CHAR(10)&amp;'new info'!$I$1&amp;":"&amp;'new info'!I231&amp;CHAR(10)&amp;'new info'!$J$1&amp;":"&amp;'new info'!J231&amp;""&amp;$C$1&amp;'new info'!M231&amp;$E$1</f>
        <v>ART.
COMP:
WIDTH:
WEIGHT:</v>
      </c>
    </row>
    <row r="231" spans="1:2" ht="112" hidden="1" customHeight="1" x14ac:dyDescent="0.25">
      <c r="A231" t="str">
        <f>'new info'!B232</f>
        <v/>
      </c>
      <c r="B231" s="3" t="str">
        <f>'new info'!A232&amp;'new info'!$C$1&amp;""&amp;'new info'!C232&amp;CHAR(10)&amp;'new info'!$G$1&amp;":"&amp;'new info'!G232&amp;CHAR(10)&amp;'new info'!$I$1&amp;":"&amp;'new info'!I232&amp;CHAR(10)&amp;'new info'!$J$1&amp;":"&amp;'new info'!J232&amp;""&amp;$C$1&amp;'new info'!M232&amp;$E$1</f>
        <v>ART.
COMP:
WIDTH:
WEIGHT:</v>
      </c>
    </row>
    <row r="232" spans="1:2" ht="112" hidden="1" customHeight="1" x14ac:dyDescent="0.25">
      <c r="A232" t="str">
        <f>'new info'!B233</f>
        <v/>
      </c>
      <c r="B232" s="3" t="str">
        <f>'new info'!A233&amp;'new info'!$C$1&amp;""&amp;'new info'!C233&amp;CHAR(10)&amp;'new info'!$G$1&amp;":"&amp;'new info'!G233&amp;CHAR(10)&amp;'new info'!$I$1&amp;":"&amp;'new info'!I233&amp;CHAR(10)&amp;'new info'!$J$1&amp;":"&amp;'new info'!J233&amp;""&amp;$C$1&amp;'new info'!M233&amp;$E$1</f>
        <v>ART.
COMP:
WIDTH:
WEIGHT:</v>
      </c>
    </row>
    <row r="233" spans="1:2" ht="112" hidden="1" customHeight="1" x14ac:dyDescent="0.25">
      <c r="A233" t="str">
        <f>'new info'!B234</f>
        <v/>
      </c>
      <c r="B233" s="3" t="str">
        <f>'new info'!A234&amp;'new info'!$C$1&amp;""&amp;'new info'!C234&amp;CHAR(10)&amp;'new info'!$G$1&amp;":"&amp;'new info'!G234&amp;CHAR(10)&amp;'new info'!$I$1&amp;":"&amp;'new info'!I234&amp;CHAR(10)&amp;'new info'!$J$1&amp;":"&amp;'new info'!J234&amp;""&amp;$C$1&amp;'new info'!M234&amp;$E$1</f>
        <v>ART.
COMP:
WIDTH:
WEIGHT:</v>
      </c>
    </row>
    <row r="234" spans="1:2" ht="112" hidden="1" customHeight="1" x14ac:dyDescent="0.25">
      <c r="A234" t="str">
        <f>'new info'!B235</f>
        <v/>
      </c>
      <c r="B234" s="3" t="str">
        <f>'new info'!A235&amp;'new info'!$C$1&amp;""&amp;'new info'!C235&amp;CHAR(10)&amp;'new info'!$G$1&amp;":"&amp;'new info'!G235&amp;CHAR(10)&amp;'new info'!$I$1&amp;":"&amp;'new info'!I235&amp;CHAR(10)&amp;'new info'!$J$1&amp;":"&amp;'new info'!J235&amp;""&amp;$C$1&amp;'new info'!M235&amp;$E$1</f>
        <v>ART.
COMP:
WIDTH:
WEIGHT:</v>
      </c>
    </row>
    <row r="235" spans="1:2" ht="112" hidden="1" customHeight="1" x14ac:dyDescent="0.25">
      <c r="A235" t="str">
        <f>'new info'!B236</f>
        <v/>
      </c>
      <c r="B235" s="3" t="str">
        <f>'new info'!A236&amp;'new info'!$C$1&amp;""&amp;'new info'!C236&amp;CHAR(10)&amp;'new info'!$G$1&amp;":"&amp;'new info'!G236&amp;CHAR(10)&amp;'new info'!$I$1&amp;":"&amp;'new info'!I236&amp;CHAR(10)&amp;'new info'!$J$1&amp;":"&amp;'new info'!J236&amp;""&amp;$C$1&amp;'new info'!M236&amp;$E$1</f>
        <v>ART.
COMP:
WIDTH:
WEIGHT:</v>
      </c>
    </row>
    <row r="236" spans="1:2" ht="112" hidden="1" customHeight="1" x14ac:dyDescent="0.25">
      <c r="A236" t="str">
        <f>'new info'!B237</f>
        <v/>
      </c>
      <c r="B236" s="3" t="str">
        <f>'new info'!A237&amp;'new info'!$C$1&amp;""&amp;'new info'!C237&amp;CHAR(10)&amp;'new info'!$G$1&amp;":"&amp;'new info'!G237&amp;CHAR(10)&amp;'new info'!$I$1&amp;":"&amp;'new info'!I237&amp;CHAR(10)&amp;'new info'!$J$1&amp;":"&amp;'new info'!J237&amp;""&amp;$C$1&amp;'new info'!M237&amp;$E$1</f>
        <v>ART.
COMP:
WIDTH:
WEIGHT:</v>
      </c>
    </row>
    <row r="237" spans="1:2" ht="112" hidden="1" customHeight="1" x14ac:dyDescent="0.25">
      <c r="A237" t="str">
        <f>'new info'!B238</f>
        <v/>
      </c>
      <c r="B237" s="3" t="str">
        <f>'new info'!A238&amp;'new info'!$C$1&amp;""&amp;'new info'!C238&amp;CHAR(10)&amp;'new info'!$G$1&amp;":"&amp;'new info'!G238&amp;CHAR(10)&amp;'new info'!$I$1&amp;":"&amp;'new info'!I238&amp;CHAR(10)&amp;'new info'!$J$1&amp;":"&amp;'new info'!J238&amp;""&amp;$C$1&amp;'new info'!M238&amp;$E$1</f>
        <v>ART.
COMP:
WIDTH:
WEIGHT:</v>
      </c>
    </row>
    <row r="238" spans="1:2" ht="112" hidden="1" customHeight="1" x14ac:dyDescent="0.25">
      <c r="A238" t="str">
        <f>'new info'!B239</f>
        <v/>
      </c>
      <c r="B238" s="3" t="str">
        <f>'new info'!A239&amp;'new info'!$C$1&amp;""&amp;'new info'!C239&amp;CHAR(10)&amp;'new info'!$G$1&amp;":"&amp;'new info'!G239&amp;CHAR(10)&amp;'new info'!$I$1&amp;":"&amp;'new info'!I239&amp;CHAR(10)&amp;'new info'!$J$1&amp;":"&amp;'new info'!J239&amp;""&amp;$C$1&amp;'new info'!M239&amp;$E$1</f>
        <v>ART.
COMP:
WIDTH:
WEIGHT:</v>
      </c>
    </row>
    <row r="239" spans="1:2" ht="112" hidden="1" customHeight="1" x14ac:dyDescent="0.25">
      <c r="A239" t="str">
        <f>'new info'!B240</f>
        <v/>
      </c>
      <c r="B239" s="3" t="str">
        <f>'new info'!A240&amp;'new info'!$C$1&amp;""&amp;'new info'!C240&amp;CHAR(10)&amp;'new info'!$G$1&amp;":"&amp;'new info'!G240&amp;CHAR(10)&amp;'new info'!$I$1&amp;":"&amp;'new info'!I240&amp;CHAR(10)&amp;'new info'!$J$1&amp;":"&amp;'new info'!J240&amp;""&amp;$C$1&amp;'new info'!M240&amp;$E$1</f>
        <v>ART.
COMP:
WIDTH:
WEIGHT:</v>
      </c>
    </row>
    <row r="240" spans="1:2" ht="112" hidden="1" customHeight="1" x14ac:dyDescent="0.25">
      <c r="A240" t="str">
        <f>'new info'!B241</f>
        <v/>
      </c>
      <c r="B240" s="3" t="str">
        <f>'new info'!A241&amp;'new info'!$C$1&amp;""&amp;'new info'!C241&amp;CHAR(10)&amp;'new info'!$G$1&amp;":"&amp;'new info'!G241&amp;CHAR(10)&amp;'new info'!$I$1&amp;":"&amp;'new info'!I241&amp;CHAR(10)&amp;'new info'!$J$1&amp;":"&amp;'new info'!J241&amp;""&amp;$C$1&amp;'new info'!M241&amp;$E$1</f>
        <v>ART.
COMP:
WIDTH:
WEIGHT:</v>
      </c>
    </row>
    <row r="241" spans="1:2" ht="112" hidden="1" customHeight="1" x14ac:dyDescent="0.25">
      <c r="A241" t="str">
        <f>'new info'!B242</f>
        <v/>
      </c>
      <c r="B241" s="3" t="str">
        <f>'new info'!A242&amp;'new info'!$C$1&amp;""&amp;'new info'!C242&amp;CHAR(10)&amp;'new info'!$G$1&amp;":"&amp;'new info'!G242&amp;CHAR(10)&amp;'new info'!$I$1&amp;":"&amp;'new info'!I242&amp;CHAR(10)&amp;'new info'!$J$1&amp;":"&amp;'new info'!J242&amp;""&amp;$C$1&amp;'new info'!M242&amp;$E$1</f>
        <v>ART.
COMP:
WIDTH:
WEIGHT:</v>
      </c>
    </row>
    <row r="242" spans="1:2" ht="112" hidden="1" customHeight="1" x14ac:dyDescent="0.25">
      <c r="A242" t="str">
        <f>'new info'!B243</f>
        <v/>
      </c>
      <c r="B242" s="3" t="str">
        <f>'new info'!A243&amp;'new info'!$C$1&amp;""&amp;'new info'!C243&amp;CHAR(10)&amp;'new info'!$G$1&amp;":"&amp;'new info'!G243&amp;CHAR(10)&amp;'new info'!$I$1&amp;":"&amp;'new info'!I243&amp;CHAR(10)&amp;'new info'!$J$1&amp;":"&amp;'new info'!J243&amp;""&amp;$C$1&amp;'new info'!M243&amp;$E$1</f>
        <v>ART.
COMP:
WIDTH:
WEIGHT:</v>
      </c>
    </row>
    <row r="243" spans="1:2" ht="112" hidden="1" customHeight="1" x14ac:dyDescent="0.25">
      <c r="A243" t="str">
        <f>'new info'!B244</f>
        <v/>
      </c>
      <c r="B243" s="3" t="str">
        <f>'new info'!A244&amp;'new info'!$C$1&amp;""&amp;'new info'!C244&amp;CHAR(10)&amp;'new info'!$G$1&amp;":"&amp;'new info'!G244&amp;CHAR(10)&amp;'new info'!$I$1&amp;":"&amp;'new info'!I244&amp;CHAR(10)&amp;'new info'!$J$1&amp;":"&amp;'new info'!J244&amp;""&amp;$C$1&amp;'new info'!M244&amp;$E$1</f>
        <v>ART.
COMP:
WIDTH:
WEIGHT:</v>
      </c>
    </row>
    <row r="244" spans="1:2" ht="112" hidden="1" customHeight="1" x14ac:dyDescent="0.25">
      <c r="A244" t="str">
        <f>'new info'!B245</f>
        <v/>
      </c>
      <c r="B244" s="3" t="str">
        <f>'new info'!A245&amp;'new info'!$C$1&amp;""&amp;'new info'!C245&amp;CHAR(10)&amp;'new info'!$G$1&amp;":"&amp;'new info'!G245&amp;CHAR(10)&amp;'new info'!$I$1&amp;":"&amp;'new info'!I245&amp;CHAR(10)&amp;'new info'!$J$1&amp;":"&amp;'new info'!J245&amp;""&amp;$C$1&amp;'new info'!M245&amp;$E$1</f>
        <v>ART.
COMP:
WIDTH:
WEIGHT:</v>
      </c>
    </row>
    <row r="245" spans="1:2" ht="112" hidden="1" customHeight="1" x14ac:dyDescent="0.25">
      <c r="A245" t="str">
        <f>'new info'!B246</f>
        <v/>
      </c>
      <c r="B245" s="3" t="str">
        <f>'new info'!A246&amp;'new info'!$C$1&amp;""&amp;'new info'!C246&amp;CHAR(10)&amp;'new info'!$G$1&amp;":"&amp;'new info'!G246&amp;CHAR(10)&amp;'new info'!$I$1&amp;":"&amp;'new info'!I246&amp;CHAR(10)&amp;'new info'!$J$1&amp;":"&amp;'new info'!J246&amp;""&amp;$C$1&amp;'new info'!M246&amp;$E$1</f>
        <v>ART.
COMP:
WIDTH:
WEIGHT:</v>
      </c>
    </row>
    <row r="246" spans="1:2" ht="112" hidden="1" customHeight="1" x14ac:dyDescent="0.25">
      <c r="A246" t="str">
        <f>'new info'!B247</f>
        <v/>
      </c>
      <c r="B246" s="3" t="str">
        <f>'new info'!A247&amp;'new info'!$C$1&amp;""&amp;'new info'!C247&amp;CHAR(10)&amp;'new info'!$G$1&amp;":"&amp;'new info'!G247&amp;CHAR(10)&amp;'new info'!$I$1&amp;":"&amp;'new info'!I247&amp;CHAR(10)&amp;'new info'!$J$1&amp;":"&amp;'new info'!J247&amp;""&amp;$C$1&amp;'new info'!M247&amp;$E$1</f>
        <v>ART.
COMP:
WIDTH:
WEIGHT:</v>
      </c>
    </row>
    <row r="247" spans="1:2" ht="112" hidden="1" customHeight="1" x14ac:dyDescent="0.25">
      <c r="A247" t="str">
        <f>'new info'!B248</f>
        <v/>
      </c>
      <c r="B247" s="3" t="str">
        <f>'new info'!A248&amp;'new info'!$C$1&amp;""&amp;'new info'!C248&amp;CHAR(10)&amp;'new info'!$G$1&amp;":"&amp;'new info'!G248&amp;CHAR(10)&amp;'new info'!$I$1&amp;":"&amp;'new info'!I248&amp;CHAR(10)&amp;'new info'!$J$1&amp;":"&amp;'new info'!J248&amp;""&amp;$C$1&amp;'new info'!M248&amp;$E$1</f>
        <v>ART.
COMP:
WIDTH:
WEIGHT:</v>
      </c>
    </row>
    <row r="248" spans="1:2" ht="112" hidden="1" customHeight="1" x14ac:dyDescent="0.25">
      <c r="A248" t="str">
        <f>'new info'!B249</f>
        <v/>
      </c>
      <c r="B248" s="3" t="str">
        <f>'new info'!A249&amp;'new info'!$C$1&amp;""&amp;'new info'!C249&amp;CHAR(10)&amp;'new info'!$G$1&amp;":"&amp;'new info'!G249&amp;CHAR(10)&amp;'new info'!$I$1&amp;":"&amp;'new info'!I249&amp;CHAR(10)&amp;'new info'!$J$1&amp;":"&amp;'new info'!J249&amp;""&amp;$C$1&amp;'new info'!M249&amp;$E$1</f>
        <v>ART.
COMP:
WIDTH:
WEIGHT:</v>
      </c>
    </row>
    <row r="249" spans="1:2" ht="112" hidden="1" customHeight="1" x14ac:dyDescent="0.25">
      <c r="A249" t="str">
        <f>'new info'!B250</f>
        <v/>
      </c>
      <c r="B249" s="3" t="str">
        <f>'new info'!A250&amp;'new info'!$C$1&amp;""&amp;'new info'!C250&amp;CHAR(10)&amp;'new info'!$G$1&amp;":"&amp;'new info'!G250&amp;CHAR(10)&amp;'new info'!$I$1&amp;":"&amp;'new info'!I250&amp;CHAR(10)&amp;'new info'!$J$1&amp;":"&amp;'new info'!J250&amp;""&amp;$C$1&amp;'new info'!M250&amp;$E$1</f>
        <v>ART.
COMP:
WIDTH:
WEIGHT:</v>
      </c>
    </row>
    <row r="250" spans="1:2" ht="112" hidden="1" customHeight="1" x14ac:dyDescent="0.25">
      <c r="A250" t="str">
        <f>'new info'!B251</f>
        <v/>
      </c>
      <c r="B250" s="3" t="str">
        <f>'new info'!A251&amp;'new info'!$C$1&amp;""&amp;'new info'!C251&amp;CHAR(10)&amp;'new info'!$G$1&amp;":"&amp;'new info'!G251&amp;CHAR(10)&amp;'new info'!$I$1&amp;":"&amp;'new info'!I251&amp;CHAR(10)&amp;'new info'!$J$1&amp;":"&amp;'new info'!J251&amp;""&amp;$C$1&amp;'new info'!M251&amp;$E$1</f>
        <v>ART.
COMP:
WIDTH:
WEIGHT:</v>
      </c>
    </row>
    <row r="251" spans="1:2" ht="112" hidden="1" customHeight="1" x14ac:dyDescent="0.25">
      <c r="A251" t="str">
        <f>'new info'!B252</f>
        <v/>
      </c>
      <c r="B251" s="3" t="str">
        <f>'new info'!A252&amp;'new info'!$C$1&amp;""&amp;'new info'!C252&amp;CHAR(10)&amp;'new info'!$G$1&amp;":"&amp;'new info'!G252&amp;CHAR(10)&amp;'new info'!$I$1&amp;":"&amp;'new info'!I252&amp;CHAR(10)&amp;'new info'!$J$1&amp;":"&amp;'new info'!J252&amp;""&amp;$C$1&amp;'new info'!M252&amp;$E$1</f>
        <v>ART.
COMP:
WIDTH:
WEIGHT:</v>
      </c>
    </row>
    <row r="252" spans="1:2" ht="112" hidden="1" customHeight="1" x14ac:dyDescent="0.25">
      <c r="A252" t="str">
        <f>'new info'!B253</f>
        <v/>
      </c>
      <c r="B252" s="3" t="str">
        <f>'new info'!A253&amp;'new info'!$C$1&amp;""&amp;'new info'!C253&amp;CHAR(10)&amp;'new info'!$G$1&amp;":"&amp;'new info'!G253&amp;CHAR(10)&amp;'new info'!$I$1&amp;":"&amp;'new info'!I253&amp;CHAR(10)&amp;'new info'!$J$1&amp;":"&amp;'new info'!J253&amp;""&amp;$C$1&amp;'new info'!M253&amp;$E$1</f>
        <v>ART.
COMP:
WIDTH:
WEIGHT:</v>
      </c>
    </row>
    <row r="253" spans="1:2" ht="112" hidden="1" customHeight="1" x14ac:dyDescent="0.25">
      <c r="A253" t="str">
        <f>'new info'!B254</f>
        <v/>
      </c>
      <c r="B253" s="3" t="str">
        <f>'new info'!A254&amp;'new info'!$C$1&amp;""&amp;'new info'!C254&amp;CHAR(10)&amp;'new info'!$G$1&amp;":"&amp;'new info'!G254&amp;CHAR(10)&amp;'new info'!$I$1&amp;":"&amp;'new info'!I254&amp;CHAR(10)&amp;'new info'!$J$1&amp;":"&amp;'new info'!J254&amp;""&amp;$C$1&amp;'new info'!M254&amp;$E$1</f>
        <v>ART.
COMP:
WIDTH:
WEIGHT:</v>
      </c>
    </row>
    <row r="254" spans="1:2" ht="112" hidden="1" customHeight="1" x14ac:dyDescent="0.25">
      <c r="A254" t="str">
        <f>'new info'!B255</f>
        <v/>
      </c>
      <c r="B254" s="3" t="str">
        <f>'new info'!A255&amp;'new info'!$C$1&amp;""&amp;'new info'!C255&amp;CHAR(10)&amp;'new info'!$G$1&amp;":"&amp;'new info'!G255&amp;CHAR(10)&amp;'new info'!$I$1&amp;":"&amp;'new info'!I255&amp;CHAR(10)&amp;'new info'!$J$1&amp;":"&amp;'new info'!J255&amp;""&amp;$C$1&amp;'new info'!M255&amp;$E$1</f>
        <v>ART.
COMP:
WIDTH:
WEIGHT:</v>
      </c>
    </row>
    <row r="255" spans="1:2" ht="112" hidden="1" customHeight="1" x14ac:dyDescent="0.25">
      <c r="A255" t="str">
        <f>'new info'!B256</f>
        <v/>
      </c>
      <c r="B255" s="3" t="str">
        <f>'new info'!A256&amp;'new info'!$C$1&amp;""&amp;'new info'!C256&amp;CHAR(10)&amp;'new info'!$G$1&amp;":"&amp;'new info'!G256&amp;CHAR(10)&amp;'new info'!$I$1&amp;":"&amp;'new info'!I256&amp;CHAR(10)&amp;'new info'!$J$1&amp;":"&amp;'new info'!J256&amp;""&amp;$C$1&amp;'new info'!M256&amp;$E$1</f>
        <v>ART.
COMP:
WIDTH:
WEIGHT:</v>
      </c>
    </row>
    <row r="256" spans="1:2" ht="112" hidden="1" customHeight="1" x14ac:dyDescent="0.25">
      <c r="A256" t="str">
        <f>'new info'!B257</f>
        <v/>
      </c>
      <c r="B256" s="3" t="str">
        <f>'new info'!A257&amp;'new info'!$C$1&amp;""&amp;'new info'!C257&amp;CHAR(10)&amp;'new info'!$G$1&amp;":"&amp;'new info'!G257&amp;CHAR(10)&amp;'new info'!$I$1&amp;":"&amp;'new info'!I257&amp;CHAR(10)&amp;'new info'!$J$1&amp;":"&amp;'new info'!J257&amp;""&amp;$C$1&amp;'new info'!M257&amp;$E$1</f>
        <v>ART.
COMP:
WIDTH:
WEIGHT:</v>
      </c>
    </row>
    <row r="257" spans="1:2" ht="112" hidden="1" customHeight="1" x14ac:dyDescent="0.25">
      <c r="A257" t="str">
        <f>'new info'!B258</f>
        <v/>
      </c>
      <c r="B257" s="3" t="str">
        <f>'new info'!A258&amp;'new info'!$C$1&amp;""&amp;'new info'!C258&amp;CHAR(10)&amp;'new info'!$G$1&amp;":"&amp;'new info'!G258&amp;CHAR(10)&amp;'new info'!$I$1&amp;":"&amp;'new info'!I258&amp;CHAR(10)&amp;'new info'!$J$1&amp;":"&amp;'new info'!J258&amp;""&amp;$C$1&amp;'new info'!M258&amp;$E$1</f>
        <v>ART.
COMP:
WIDTH:
WEIGHT:</v>
      </c>
    </row>
    <row r="258" spans="1:2" ht="112" hidden="1" customHeight="1" x14ac:dyDescent="0.25">
      <c r="B258" s="3"/>
    </row>
    <row r="259" spans="1:2" ht="112" hidden="1" customHeight="1" x14ac:dyDescent="0.25">
      <c r="B259" s="3"/>
    </row>
    <row r="260" spans="1:2" ht="112" hidden="1" customHeight="1" x14ac:dyDescent="0.25">
      <c r="B260" s="3"/>
    </row>
    <row r="261" spans="1:2" ht="112" hidden="1" customHeight="1" x14ac:dyDescent="0.25">
      <c r="B261" s="3"/>
    </row>
    <row r="262" spans="1:2" ht="112" hidden="1" customHeight="1" x14ac:dyDescent="0.25">
      <c r="B262" s="3"/>
    </row>
    <row r="263" spans="1:2" ht="112" hidden="1" customHeight="1" x14ac:dyDescent="0.25">
      <c r="B263" s="3"/>
    </row>
    <row r="264" spans="1:2" ht="112" hidden="1" customHeight="1" x14ac:dyDescent="0.25">
      <c r="B264" s="3"/>
    </row>
    <row r="265" spans="1:2" ht="112" hidden="1" customHeight="1" x14ac:dyDescent="0.25">
      <c r="B265" s="3"/>
    </row>
    <row r="266" spans="1:2" ht="112" hidden="1" customHeight="1" x14ac:dyDescent="0.25">
      <c r="B266" s="3"/>
    </row>
    <row r="267" spans="1:2" ht="112" hidden="1" customHeight="1" x14ac:dyDescent="0.25">
      <c r="B267" s="3"/>
    </row>
    <row r="268" spans="1:2" ht="112" hidden="1" customHeight="1" x14ac:dyDescent="0.25">
      <c r="B268" s="3"/>
    </row>
    <row r="269" spans="1:2" ht="112" hidden="1" customHeight="1" x14ac:dyDescent="0.25">
      <c r="B269" s="3"/>
    </row>
    <row r="270" spans="1:2" ht="112" hidden="1" customHeight="1" x14ac:dyDescent="0.25">
      <c r="B270" s="3"/>
    </row>
    <row r="271" spans="1:2" ht="112" hidden="1" customHeight="1" x14ac:dyDescent="0.25">
      <c r="B271" s="3"/>
    </row>
    <row r="272" spans="1:2" ht="112" hidden="1" customHeight="1" x14ac:dyDescent="0.25">
      <c r="B272" s="3"/>
    </row>
    <row r="273" spans="2:2" ht="112" hidden="1" customHeight="1" x14ac:dyDescent="0.25">
      <c r="B273" s="3"/>
    </row>
    <row r="274" spans="2:2" ht="112" hidden="1" customHeight="1" x14ac:dyDescent="0.25">
      <c r="B274" s="3"/>
    </row>
    <row r="275" spans="2:2" ht="112" hidden="1" customHeight="1" x14ac:dyDescent="0.25">
      <c r="B275" s="3"/>
    </row>
    <row r="276" spans="2:2" ht="112" hidden="1" customHeight="1" x14ac:dyDescent="0.25">
      <c r="B276" s="3"/>
    </row>
    <row r="277" spans="2:2" ht="112" hidden="1" customHeight="1" x14ac:dyDescent="0.25">
      <c r="B277" s="3"/>
    </row>
    <row r="278" spans="2:2" ht="112" hidden="1" customHeight="1" x14ac:dyDescent="0.25">
      <c r="B278" s="3"/>
    </row>
    <row r="279" spans="2:2" ht="112" hidden="1" customHeight="1" x14ac:dyDescent="0.25">
      <c r="B279" s="3"/>
    </row>
    <row r="280" spans="2:2" ht="112" hidden="1" customHeight="1" x14ac:dyDescent="0.25">
      <c r="B280" s="3"/>
    </row>
    <row r="281" spans="2:2" ht="112" hidden="1" customHeight="1" x14ac:dyDescent="0.25">
      <c r="B281" s="3"/>
    </row>
    <row r="282" spans="2:2" ht="112" hidden="1" customHeight="1" x14ac:dyDescent="0.25">
      <c r="B282" s="3"/>
    </row>
    <row r="283" spans="2:2" ht="112" hidden="1" customHeight="1" x14ac:dyDescent="0.25">
      <c r="B283" s="3"/>
    </row>
    <row r="284" spans="2:2" ht="112" hidden="1" customHeight="1" x14ac:dyDescent="0.25">
      <c r="B284" s="3"/>
    </row>
    <row r="285" spans="2:2" ht="112" hidden="1" customHeight="1" x14ac:dyDescent="0.25">
      <c r="B285" s="3"/>
    </row>
    <row r="286" spans="2:2" ht="112" hidden="1" customHeight="1" x14ac:dyDescent="0.25">
      <c r="B286" s="3"/>
    </row>
    <row r="287" spans="2:2" ht="112" hidden="1" customHeight="1" x14ac:dyDescent="0.25">
      <c r="B287" s="3"/>
    </row>
    <row r="288" spans="2:2" ht="112" hidden="1" customHeight="1" x14ac:dyDescent="0.25">
      <c r="B288" s="3"/>
    </row>
    <row r="289" spans="2:2" ht="112" hidden="1" customHeight="1" x14ac:dyDescent="0.25">
      <c r="B289" s="3"/>
    </row>
    <row r="290" spans="2:2" ht="112" hidden="1" customHeight="1" x14ac:dyDescent="0.25">
      <c r="B290" s="3"/>
    </row>
    <row r="291" spans="2:2" ht="112" hidden="1" customHeight="1" x14ac:dyDescent="0.25">
      <c r="B291" s="3"/>
    </row>
    <row r="292" spans="2:2" ht="112" hidden="1" customHeight="1" x14ac:dyDescent="0.25">
      <c r="B292" s="3"/>
    </row>
    <row r="293" spans="2:2" ht="112" hidden="1" customHeight="1" x14ac:dyDescent="0.25">
      <c r="B293" s="3"/>
    </row>
    <row r="294" spans="2:2" ht="112" hidden="1" customHeight="1" x14ac:dyDescent="0.25">
      <c r="B294" s="3"/>
    </row>
    <row r="295" spans="2:2" ht="112" hidden="1" customHeight="1" x14ac:dyDescent="0.25">
      <c r="B295" s="3"/>
    </row>
    <row r="296" spans="2:2" ht="112" hidden="1" customHeight="1" x14ac:dyDescent="0.25">
      <c r="B296" s="3"/>
    </row>
    <row r="297" spans="2:2" ht="112" hidden="1" customHeight="1" x14ac:dyDescent="0.25">
      <c r="B297" s="3"/>
    </row>
    <row r="298" spans="2:2" ht="112" hidden="1" customHeight="1" x14ac:dyDescent="0.25">
      <c r="B298" s="3"/>
    </row>
    <row r="299" spans="2:2" ht="112" hidden="1" customHeight="1" x14ac:dyDescent="0.25">
      <c r="B299" s="3"/>
    </row>
    <row r="300" spans="2:2" ht="112" hidden="1" customHeight="1" x14ac:dyDescent="0.25">
      <c r="B300" s="3"/>
    </row>
    <row r="301" spans="2:2" ht="112" hidden="1" customHeight="1" x14ac:dyDescent="0.25">
      <c r="B301" s="3"/>
    </row>
    <row r="302" spans="2:2" ht="112" hidden="1" customHeight="1" x14ac:dyDescent="0.25">
      <c r="B302" s="3"/>
    </row>
    <row r="303" spans="2:2" ht="112" hidden="1" customHeight="1" x14ac:dyDescent="0.25">
      <c r="B303" s="3"/>
    </row>
    <row r="304" spans="2:2" ht="112" hidden="1" customHeight="1" x14ac:dyDescent="0.25">
      <c r="B304" s="3"/>
    </row>
    <row r="305" spans="2:2" ht="112" hidden="1" customHeight="1" x14ac:dyDescent="0.25">
      <c r="B305" s="3"/>
    </row>
    <row r="306" spans="2:2" ht="112" hidden="1" customHeight="1" x14ac:dyDescent="0.25">
      <c r="B306" s="3"/>
    </row>
    <row r="307" spans="2:2" ht="112" hidden="1" customHeight="1" x14ac:dyDescent="0.25">
      <c r="B307" s="3"/>
    </row>
    <row r="308" spans="2:2" ht="112" hidden="1" customHeight="1" x14ac:dyDescent="0.25">
      <c r="B308" s="3"/>
    </row>
    <row r="309" spans="2:2" ht="112" hidden="1" customHeight="1" x14ac:dyDescent="0.25">
      <c r="B309" s="3"/>
    </row>
    <row r="310" spans="2:2" ht="112" hidden="1" customHeight="1" x14ac:dyDescent="0.25">
      <c r="B310" s="3"/>
    </row>
    <row r="311" spans="2:2" ht="112" hidden="1" customHeight="1" x14ac:dyDescent="0.25">
      <c r="B311" s="3"/>
    </row>
    <row r="312" spans="2:2" ht="112" hidden="1" customHeight="1" x14ac:dyDescent="0.25">
      <c r="B312" s="3"/>
    </row>
    <row r="313" spans="2:2" ht="112" hidden="1" customHeight="1" x14ac:dyDescent="0.25">
      <c r="B313" s="3"/>
    </row>
    <row r="314" spans="2:2" ht="112" hidden="1" customHeight="1" x14ac:dyDescent="0.25">
      <c r="B314" s="3"/>
    </row>
    <row r="315" spans="2:2" ht="112" hidden="1" customHeight="1" x14ac:dyDescent="0.25">
      <c r="B315" s="3"/>
    </row>
    <row r="316" spans="2:2" ht="112" hidden="1" customHeight="1" x14ac:dyDescent="0.25">
      <c r="B316" s="3"/>
    </row>
    <row r="317" spans="2:2" ht="112" hidden="1" customHeight="1" x14ac:dyDescent="0.25">
      <c r="B317" s="3"/>
    </row>
    <row r="318" spans="2:2" ht="112" hidden="1" customHeight="1" x14ac:dyDescent="0.25">
      <c r="B318" s="3"/>
    </row>
    <row r="319" spans="2:2" ht="112" hidden="1" customHeight="1" x14ac:dyDescent="0.25">
      <c r="B319" s="3"/>
    </row>
    <row r="320" spans="2:2" ht="112" hidden="1" customHeight="1" x14ac:dyDescent="0.25">
      <c r="B320" s="3"/>
    </row>
    <row r="321" spans="2:2" ht="112" hidden="1" customHeight="1" x14ac:dyDescent="0.25">
      <c r="B321" s="3"/>
    </row>
    <row r="322" spans="2:2" ht="112" hidden="1" customHeight="1" x14ac:dyDescent="0.25">
      <c r="B322" s="3"/>
    </row>
    <row r="323" spans="2:2" ht="112" hidden="1" customHeight="1" x14ac:dyDescent="0.25">
      <c r="B323" s="3"/>
    </row>
    <row r="324" spans="2:2" ht="112" hidden="1" customHeight="1" x14ac:dyDescent="0.25">
      <c r="B324" s="3"/>
    </row>
    <row r="325" spans="2:2" ht="112" hidden="1" customHeight="1" x14ac:dyDescent="0.25">
      <c r="B325" s="3"/>
    </row>
    <row r="326" spans="2:2" ht="112" hidden="1" customHeight="1" x14ac:dyDescent="0.25">
      <c r="B326" s="3"/>
    </row>
    <row r="327" spans="2:2" ht="112" hidden="1" customHeight="1" x14ac:dyDescent="0.25">
      <c r="B327" s="3"/>
    </row>
    <row r="328" spans="2:2" ht="112" hidden="1" customHeight="1" x14ac:dyDescent="0.25">
      <c r="B328" s="3"/>
    </row>
    <row r="329" spans="2:2" ht="112" hidden="1" customHeight="1" x14ac:dyDescent="0.25">
      <c r="B329" s="3"/>
    </row>
    <row r="330" spans="2:2" ht="112" hidden="1" customHeight="1" x14ac:dyDescent="0.25">
      <c r="B330" s="3"/>
    </row>
    <row r="331" spans="2:2" ht="112" hidden="1" customHeight="1" x14ac:dyDescent="0.25">
      <c r="B331" s="3"/>
    </row>
    <row r="332" spans="2:2" ht="112" hidden="1" customHeight="1" x14ac:dyDescent="0.25">
      <c r="B332" s="3"/>
    </row>
    <row r="333" spans="2:2" ht="112" hidden="1" customHeight="1" x14ac:dyDescent="0.25">
      <c r="B333" s="3"/>
    </row>
    <row r="334" spans="2:2" ht="112" hidden="1" customHeight="1" x14ac:dyDescent="0.25">
      <c r="B334" s="3"/>
    </row>
    <row r="335" spans="2:2" ht="112" hidden="1" customHeight="1" x14ac:dyDescent="0.25">
      <c r="B335" s="3"/>
    </row>
    <row r="336" spans="2:2" ht="112" hidden="1" customHeight="1" x14ac:dyDescent="0.25">
      <c r="B336" s="3"/>
    </row>
    <row r="337" spans="2:2" ht="112" hidden="1" customHeight="1" x14ac:dyDescent="0.25">
      <c r="B337" s="3"/>
    </row>
    <row r="338" spans="2:2" ht="112" hidden="1" customHeight="1" x14ac:dyDescent="0.25">
      <c r="B338" s="3"/>
    </row>
    <row r="339" spans="2:2" ht="112" hidden="1" customHeight="1" x14ac:dyDescent="0.25">
      <c r="B339" s="3"/>
    </row>
    <row r="340" spans="2:2" ht="112" hidden="1" customHeight="1" x14ac:dyDescent="0.25">
      <c r="B340" s="3"/>
    </row>
    <row r="341" spans="2:2" ht="112" hidden="1" customHeight="1" x14ac:dyDescent="0.25">
      <c r="B341" s="3"/>
    </row>
    <row r="342" spans="2:2" ht="112" hidden="1" customHeight="1" x14ac:dyDescent="0.25">
      <c r="B342" s="3"/>
    </row>
    <row r="343" spans="2:2" ht="112" hidden="1" customHeight="1" x14ac:dyDescent="0.25">
      <c r="B343" s="3"/>
    </row>
    <row r="344" spans="2:2" ht="112" hidden="1" customHeight="1" x14ac:dyDescent="0.25">
      <c r="B344" s="3"/>
    </row>
    <row r="345" spans="2:2" ht="112" hidden="1" customHeight="1" x14ac:dyDescent="0.25">
      <c r="B345" s="3"/>
    </row>
    <row r="346" spans="2:2" ht="112" hidden="1" customHeight="1" x14ac:dyDescent="0.25">
      <c r="B346" s="3"/>
    </row>
    <row r="347" spans="2:2" ht="112" hidden="1" customHeight="1" x14ac:dyDescent="0.25">
      <c r="B347" s="3"/>
    </row>
    <row r="348" spans="2:2" ht="112" hidden="1" customHeight="1" x14ac:dyDescent="0.25">
      <c r="B348" s="3"/>
    </row>
    <row r="349" spans="2:2" ht="112" hidden="1" customHeight="1" x14ac:dyDescent="0.25">
      <c r="B349" s="3"/>
    </row>
    <row r="350" spans="2:2" ht="112" hidden="1" customHeight="1" x14ac:dyDescent="0.25">
      <c r="B350" s="3"/>
    </row>
    <row r="351" spans="2:2" ht="112" hidden="1" customHeight="1" x14ac:dyDescent="0.25">
      <c r="B351" s="3"/>
    </row>
    <row r="352" spans="2:2" ht="112" hidden="1" customHeight="1" x14ac:dyDescent="0.25">
      <c r="B352" s="3"/>
    </row>
    <row r="353" spans="2:2" ht="112" hidden="1" customHeight="1" x14ac:dyDescent="0.25">
      <c r="B353" s="3"/>
    </row>
    <row r="354" spans="2:2" ht="112" hidden="1" customHeight="1" x14ac:dyDescent="0.25">
      <c r="B354" s="3"/>
    </row>
    <row r="355" spans="2:2" ht="112" hidden="1" customHeight="1" x14ac:dyDescent="0.25">
      <c r="B355" s="3"/>
    </row>
    <row r="356" spans="2:2" ht="112" hidden="1" customHeight="1" x14ac:dyDescent="0.25">
      <c r="B356" s="3"/>
    </row>
    <row r="357" spans="2:2" ht="112" hidden="1" customHeight="1" x14ac:dyDescent="0.25">
      <c r="B357" s="3"/>
    </row>
    <row r="358" spans="2:2" ht="112" hidden="1" customHeight="1" x14ac:dyDescent="0.25">
      <c r="B358" s="3"/>
    </row>
    <row r="359" spans="2:2" ht="112" hidden="1" customHeight="1" x14ac:dyDescent="0.25">
      <c r="B359" s="3"/>
    </row>
    <row r="360" spans="2:2" ht="112" hidden="1" customHeight="1" x14ac:dyDescent="0.25">
      <c r="B360" s="3"/>
    </row>
    <row r="361" spans="2:2" ht="112" hidden="1" customHeight="1" x14ac:dyDescent="0.25">
      <c r="B361" s="3"/>
    </row>
    <row r="362" spans="2:2" ht="112" hidden="1" customHeight="1" x14ac:dyDescent="0.25">
      <c r="B362" s="3"/>
    </row>
    <row r="363" spans="2:2" ht="112" hidden="1" customHeight="1" x14ac:dyDescent="0.25">
      <c r="B363" s="3"/>
    </row>
    <row r="364" spans="2:2" ht="112" hidden="1" customHeight="1" x14ac:dyDescent="0.25">
      <c r="B364" s="3"/>
    </row>
    <row r="365" spans="2:2" ht="112" hidden="1" customHeight="1" x14ac:dyDescent="0.25">
      <c r="B365" s="3"/>
    </row>
    <row r="366" spans="2:2" ht="112" hidden="1" customHeight="1" x14ac:dyDescent="0.25">
      <c r="B366" s="3"/>
    </row>
    <row r="367" spans="2:2" ht="112" hidden="1" customHeight="1" x14ac:dyDescent="0.25">
      <c r="B367" s="3"/>
    </row>
    <row r="368" spans="2:2" ht="112" hidden="1" customHeight="1" x14ac:dyDescent="0.25">
      <c r="B368" s="3"/>
    </row>
    <row r="369" spans="2:2" ht="112" hidden="1" customHeight="1" x14ac:dyDescent="0.25">
      <c r="B369" s="3"/>
    </row>
    <row r="370" spans="2:2" ht="112" hidden="1" customHeight="1" x14ac:dyDescent="0.25">
      <c r="B370" s="3"/>
    </row>
    <row r="371" spans="2:2" ht="112" hidden="1" customHeight="1" x14ac:dyDescent="0.25">
      <c r="B371" s="3"/>
    </row>
    <row r="372" spans="2:2" ht="112" hidden="1" customHeight="1" x14ac:dyDescent="0.25">
      <c r="B372" s="3"/>
    </row>
    <row r="373" spans="2:2" ht="112" hidden="1" customHeight="1" x14ac:dyDescent="0.25">
      <c r="B373" s="3"/>
    </row>
    <row r="374" spans="2:2" ht="112" hidden="1" customHeight="1" x14ac:dyDescent="0.25">
      <c r="B374" s="3"/>
    </row>
    <row r="375" spans="2:2" ht="112" hidden="1" customHeight="1" x14ac:dyDescent="0.25">
      <c r="B375" s="3"/>
    </row>
    <row r="376" spans="2:2" ht="112" hidden="1" customHeight="1" x14ac:dyDescent="0.25">
      <c r="B376" s="3"/>
    </row>
    <row r="377" spans="2:2" ht="112" hidden="1" customHeight="1" x14ac:dyDescent="0.25">
      <c r="B377" s="3"/>
    </row>
    <row r="378" spans="2:2" ht="112" hidden="1" customHeight="1" x14ac:dyDescent="0.25">
      <c r="B378" s="3"/>
    </row>
    <row r="379" spans="2:2" ht="112" hidden="1" customHeight="1" x14ac:dyDescent="0.25">
      <c r="B379" s="3"/>
    </row>
    <row r="380" spans="2:2" ht="112" hidden="1" customHeight="1" x14ac:dyDescent="0.25">
      <c r="B380" s="3"/>
    </row>
    <row r="381" spans="2:2" ht="112" hidden="1" customHeight="1" x14ac:dyDescent="0.25">
      <c r="B381" s="3"/>
    </row>
    <row r="382" spans="2:2" ht="112" hidden="1" customHeight="1" x14ac:dyDescent="0.25">
      <c r="B382" s="3"/>
    </row>
    <row r="383" spans="2:2" ht="112" hidden="1" customHeight="1" x14ac:dyDescent="0.25">
      <c r="B383" s="3"/>
    </row>
    <row r="384" spans="2:2" ht="112" hidden="1" customHeight="1" x14ac:dyDescent="0.25">
      <c r="B384" s="3"/>
    </row>
    <row r="385" spans="2:2" ht="112" hidden="1" customHeight="1" x14ac:dyDescent="0.25">
      <c r="B385" s="3"/>
    </row>
    <row r="386" spans="2:2" ht="112" hidden="1" customHeight="1" x14ac:dyDescent="0.25">
      <c r="B386" s="3"/>
    </row>
    <row r="387" spans="2:2" ht="112" hidden="1" customHeight="1" x14ac:dyDescent="0.25">
      <c r="B387" s="3"/>
    </row>
    <row r="388" spans="2:2" ht="112" hidden="1" customHeight="1" x14ac:dyDescent="0.25">
      <c r="B388" s="3"/>
    </row>
    <row r="389" spans="2:2" ht="112" hidden="1" customHeight="1" x14ac:dyDescent="0.25">
      <c r="B389" s="3"/>
    </row>
    <row r="390" spans="2:2" ht="112" hidden="1" customHeight="1" x14ac:dyDescent="0.25">
      <c r="B390" s="3"/>
    </row>
    <row r="391" spans="2:2" ht="112" hidden="1" customHeight="1" x14ac:dyDescent="0.25">
      <c r="B391" s="3"/>
    </row>
    <row r="392" spans="2:2" ht="112" hidden="1" customHeight="1" x14ac:dyDescent="0.25">
      <c r="B392" s="3"/>
    </row>
    <row r="393" spans="2:2" ht="112" hidden="1" customHeight="1" x14ac:dyDescent="0.25">
      <c r="B393" s="3"/>
    </row>
    <row r="394" spans="2:2" ht="112" hidden="1" customHeight="1" x14ac:dyDescent="0.25">
      <c r="B394" s="3"/>
    </row>
    <row r="395" spans="2:2" ht="112" hidden="1" customHeight="1" x14ac:dyDescent="0.25">
      <c r="B395" s="3"/>
    </row>
    <row r="396" spans="2:2" ht="112" hidden="1" customHeight="1" x14ac:dyDescent="0.25">
      <c r="B396" s="3"/>
    </row>
    <row r="397" spans="2:2" ht="112" hidden="1" customHeight="1" x14ac:dyDescent="0.25">
      <c r="B397" s="3"/>
    </row>
    <row r="398" spans="2:2" ht="112" hidden="1" customHeight="1" x14ac:dyDescent="0.25">
      <c r="B398" s="3"/>
    </row>
    <row r="399" spans="2:2" ht="112" hidden="1" customHeight="1" x14ac:dyDescent="0.25">
      <c r="B399" s="3"/>
    </row>
    <row r="400" spans="2:2" ht="112" hidden="1" customHeight="1" x14ac:dyDescent="0.25">
      <c r="B400" s="3"/>
    </row>
    <row r="401" spans="2:2" ht="112" hidden="1" customHeight="1" x14ac:dyDescent="0.25">
      <c r="B401" s="3"/>
    </row>
    <row r="402" spans="2:2" ht="112" hidden="1" customHeight="1" x14ac:dyDescent="0.25">
      <c r="B402" s="3"/>
    </row>
    <row r="403" spans="2:2" ht="112" hidden="1" customHeight="1" x14ac:dyDescent="0.25">
      <c r="B403" s="3"/>
    </row>
    <row r="404" spans="2:2" ht="112" hidden="1" customHeight="1" x14ac:dyDescent="0.25">
      <c r="B404" s="3"/>
    </row>
    <row r="405" spans="2:2" ht="112" hidden="1" customHeight="1" x14ac:dyDescent="0.25">
      <c r="B405" s="3"/>
    </row>
    <row r="406" spans="2:2" ht="112" hidden="1" customHeight="1" x14ac:dyDescent="0.25">
      <c r="B406" s="3"/>
    </row>
    <row r="407" spans="2:2" ht="112" hidden="1" customHeight="1" x14ac:dyDescent="0.25">
      <c r="B407" s="3"/>
    </row>
    <row r="408" spans="2:2" ht="112" hidden="1" customHeight="1" x14ac:dyDescent="0.25">
      <c r="B408" s="3"/>
    </row>
    <row r="409" spans="2:2" ht="112" hidden="1" customHeight="1" x14ac:dyDescent="0.25">
      <c r="B409" s="3"/>
    </row>
    <row r="410" spans="2:2" ht="112" hidden="1" customHeight="1" x14ac:dyDescent="0.25">
      <c r="B410" s="3"/>
    </row>
    <row r="411" spans="2:2" ht="112" hidden="1" customHeight="1" x14ac:dyDescent="0.25">
      <c r="B411" s="3"/>
    </row>
    <row r="412" spans="2:2" ht="112" hidden="1" customHeight="1" x14ac:dyDescent="0.25">
      <c r="B412" s="3"/>
    </row>
    <row r="413" spans="2:2" ht="112" hidden="1" customHeight="1" x14ac:dyDescent="0.25">
      <c r="B413" s="3"/>
    </row>
    <row r="414" spans="2:2" ht="112" hidden="1" customHeight="1" x14ac:dyDescent="0.25">
      <c r="B414" s="3"/>
    </row>
    <row r="415" spans="2:2" ht="112" hidden="1" customHeight="1" x14ac:dyDescent="0.25">
      <c r="B415" s="3"/>
    </row>
    <row r="416" spans="2:2" ht="112" hidden="1" customHeight="1" x14ac:dyDescent="0.25">
      <c r="B416" s="3"/>
    </row>
    <row r="417" spans="2:2" ht="112" hidden="1" customHeight="1" x14ac:dyDescent="0.25">
      <c r="B417" s="3"/>
    </row>
    <row r="418" spans="2:2" ht="112" hidden="1" customHeight="1" x14ac:dyDescent="0.25">
      <c r="B418" s="3"/>
    </row>
    <row r="419" spans="2:2" ht="112" hidden="1" customHeight="1" x14ac:dyDescent="0.25">
      <c r="B419" s="3"/>
    </row>
    <row r="420" spans="2:2" ht="112" hidden="1" customHeight="1" x14ac:dyDescent="0.25">
      <c r="B420" s="3"/>
    </row>
    <row r="421" spans="2:2" ht="112" hidden="1" customHeight="1" x14ac:dyDescent="0.25">
      <c r="B421" s="3"/>
    </row>
    <row r="422" spans="2:2" ht="112" hidden="1" customHeight="1" x14ac:dyDescent="0.25">
      <c r="B422" s="3"/>
    </row>
    <row r="423" spans="2:2" ht="112" hidden="1" customHeight="1" x14ac:dyDescent="0.25">
      <c r="B423" s="3"/>
    </row>
    <row r="424" spans="2:2" ht="112" hidden="1" customHeight="1" x14ac:dyDescent="0.25">
      <c r="B424" s="3"/>
    </row>
    <row r="425" spans="2:2" ht="112" hidden="1" customHeight="1" x14ac:dyDescent="0.25">
      <c r="B425" s="3"/>
    </row>
    <row r="426" spans="2:2" ht="112" hidden="1" customHeight="1" x14ac:dyDescent="0.25">
      <c r="B426" s="3"/>
    </row>
    <row r="427" spans="2:2" ht="112" hidden="1" customHeight="1" x14ac:dyDescent="0.25">
      <c r="B427" s="3"/>
    </row>
    <row r="428" spans="2:2" ht="112" hidden="1" customHeight="1" x14ac:dyDescent="0.25">
      <c r="B428" s="3"/>
    </row>
    <row r="429" spans="2:2" ht="112" hidden="1" customHeight="1" x14ac:dyDescent="0.25">
      <c r="B429" s="3"/>
    </row>
    <row r="430" spans="2:2" ht="112" hidden="1" customHeight="1" x14ac:dyDescent="0.25">
      <c r="B430" s="3"/>
    </row>
    <row r="431" spans="2:2" ht="112" hidden="1" customHeight="1" x14ac:dyDescent="0.25">
      <c r="B431" s="3"/>
    </row>
    <row r="432" spans="2:2" ht="112" hidden="1" customHeight="1" x14ac:dyDescent="0.25">
      <c r="B432" s="3"/>
    </row>
    <row r="433" spans="2:2" ht="112" hidden="1" customHeight="1" x14ac:dyDescent="0.25">
      <c r="B433" s="3"/>
    </row>
    <row r="434" spans="2:2" ht="112" hidden="1" customHeight="1" x14ac:dyDescent="0.25">
      <c r="B434" s="3"/>
    </row>
    <row r="435" spans="2:2" ht="112" hidden="1" customHeight="1" x14ac:dyDescent="0.25">
      <c r="B435" s="3"/>
    </row>
    <row r="436" spans="2:2" ht="112" hidden="1" customHeight="1" x14ac:dyDescent="0.25">
      <c r="B436" s="3"/>
    </row>
    <row r="437" spans="2:2" ht="112" hidden="1" customHeight="1" x14ac:dyDescent="0.25">
      <c r="B437" s="3"/>
    </row>
    <row r="438" spans="2:2" ht="112" hidden="1" customHeight="1" x14ac:dyDescent="0.25">
      <c r="B438" s="3"/>
    </row>
    <row r="439" spans="2:2" ht="112" hidden="1" customHeight="1" x14ac:dyDescent="0.25">
      <c r="B439" s="3"/>
    </row>
    <row r="440" spans="2:2" ht="112" hidden="1" customHeight="1" x14ac:dyDescent="0.25">
      <c r="B440" s="3"/>
    </row>
    <row r="441" spans="2:2" ht="112" hidden="1" customHeight="1" x14ac:dyDescent="0.25">
      <c r="B441" s="3"/>
    </row>
    <row r="442" spans="2:2" ht="112" hidden="1" customHeight="1" x14ac:dyDescent="0.25">
      <c r="B442" s="3"/>
    </row>
    <row r="443" spans="2:2" ht="112" hidden="1" customHeight="1" x14ac:dyDescent="0.25">
      <c r="B443" s="3"/>
    </row>
    <row r="444" spans="2:2" ht="112" hidden="1" customHeight="1" x14ac:dyDescent="0.25">
      <c r="B444" s="3"/>
    </row>
    <row r="445" spans="2:2" ht="112" hidden="1" customHeight="1" x14ac:dyDescent="0.25">
      <c r="B445" s="3"/>
    </row>
    <row r="446" spans="2:2" ht="112" hidden="1" customHeight="1" x14ac:dyDescent="0.25">
      <c r="B446" s="3"/>
    </row>
    <row r="447" spans="2:2" ht="112" hidden="1" customHeight="1" x14ac:dyDescent="0.25">
      <c r="B447" s="3"/>
    </row>
    <row r="448" spans="2:2" ht="112" hidden="1" customHeight="1" x14ac:dyDescent="0.25">
      <c r="B448" s="3"/>
    </row>
    <row r="449" spans="2:2" ht="112" hidden="1" customHeight="1" x14ac:dyDescent="0.25">
      <c r="B449" s="3"/>
    </row>
    <row r="450" spans="2:2" ht="112" hidden="1" customHeight="1" x14ac:dyDescent="0.25">
      <c r="B450" s="3"/>
    </row>
    <row r="451" spans="2:2" ht="112" hidden="1" customHeight="1" x14ac:dyDescent="0.25">
      <c r="B451" s="3"/>
    </row>
    <row r="452" spans="2:2" ht="112" hidden="1" customHeight="1" x14ac:dyDescent="0.25">
      <c r="B452" s="3"/>
    </row>
    <row r="453" spans="2:2" ht="112" hidden="1" customHeight="1" x14ac:dyDescent="0.25">
      <c r="B453" s="3"/>
    </row>
    <row r="454" spans="2:2" ht="112" hidden="1" customHeight="1" x14ac:dyDescent="0.25">
      <c r="B454" s="3"/>
    </row>
    <row r="455" spans="2:2" ht="112" hidden="1" customHeight="1" x14ac:dyDescent="0.25">
      <c r="B455" s="3"/>
    </row>
    <row r="456" spans="2:2" ht="112" hidden="1" customHeight="1" x14ac:dyDescent="0.25">
      <c r="B456" s="3"/>
    </row>
    <row r="457" spans="2:2" ht="112" hidden="1" customHeight="1" x14ac:dyDescent="0.25">
      <c r="B457" s="3"/>
    </row>
    <row r="458" spans="2:2" ht="112" hidden="1" customHeight="1" x14ac:dyDescent="0.25">
      <c r="B458" s="3"/>
    </row>
    <row r="459" spans="2:2" ht="112" hidden="1" customHeight="1" x14ac:dyDescent="0.25">
      <c r="B459" s="3"/>
    </row>
    <row r="460" spans="2:2" ht="112" hidden="1" customHeight="1" x14ac:dyDescent="0.25">
      <c r="B460" s="3"/>
    </row>
    <row r="461" spans="2:2" ht="112" hidden="1" customHeight="1" x14ac:dyDescent="0.25">
      <c r="B461" s="3"/>
    </row>
    <row r="462" spans="2:2" ht="112" hidden="1" customHeight="1" x14ac:dyDescent="0.25">
      <c r="B462" s="3"/>
    </row>
    <row r="463" spans="2:2" ht="112" hidden="1" customHeight="1" x14ac:dyDescent="0.25">
      <c r="B463" s="3"/>
    </row>
    <row r="464" spans="2:2" ht="112" hidden="1" customHeight="1" x14ac:dyDescent="0.25">
      <c r="B464" s="3"/>
    </row>
    <row r="465" spans="2:2" ht="112" hidden="1" customHeight="1" x14ac:dyDescent="0.25">
      <c r="B465" s="3"/>
    </row>
    <row r="466" spans="2:2" ht="112" hidden="1" customHeight="1" x14ac:dyDescent="0.25">
      <c r="B466" s="3"/>
    </row>
    <row r="467" spans="2:2" ht="112" hidden="1" customHeight="1" x14ac:dyDescent="0.25">
      <c r="B467" s="3"/>
    </row>
    <row r="468" spans="2:2" ht="112" hidden="1" customHeight="1" x14ac:dyDescent="0.25">
      <c r="B468" s="3"/>
    </row>
    <row r="469" spans="2:2" ht="112" hidden="1" customHeight="1" x14ac:dyDescent="0.25">
      <c r="B469" s="3"/>
    </row>
    <row r="470" spans="2:2" ht="112" hidden="1" customHeight="1" x14ac:dyDescent="0.25">
      <c r="B470" s="3"/>
    </row>
    <row r="471" spans="2:2" ht="112" hidden="1" customHeight="1" x14ac:dyDescent="0.25">
      <c r="B471" s="3"/>
    </row>
    <row r="472" spans="2:2" ht="112" hidden="1" customHeight="1" x14ac:dyDescent="0.25">
      <c r="B472" s="3"/>
    </row>
    <row r="473" spans="2:2" ht="112" hidden="1" customHeight="1" x14ac:dyDescent="0.25">
      <c r="B473" s="3"/>
    </row>
    <row r="474" spans="2:2" ht="112" hidden="1" customHeight="1" x14ac:dyDescent="0.25">
      <c r="B474" s="3"/>
    </row>
    <row r="475" spans="2:2" ht="112" hidden="1" customHeight="1" x14ac:dyDescent="0.25">
      <c r="B475" s="3"/>
    </row>
    <row r="476" spans="2:2" ht="112" hidden="1" customHeight="1" x14ac:dyDescent="0.25">
      <c r="B476" s="3"/>
    </row>
    <row r="477" spans="2:2" ht="112" hidden="1" customHeight="1" x14ac:dyDescent="0.25">
      <c r="B477" s="3"/>
    </row>
    <row r="478" spans="2:2" ht="112" hidden="1" customHeight="1" x14ac:dyDescent="0.25">
      <c r="B478" s="3"/>
    </row>
    <row r="479" spans="2:2" ht="112" hidden="1" customHeight="1" x14ac:dyDescent="0.25">
      <c r="B479" s="3"/>
    </row>
    <row r="480" spans="2:2" ht="112" hidden="1" customHeight="1" x14ac:dyDescent="0.25">
      <c r="B480" s="3"/>
    </row>
    <row r="481" spans="2:2" ht="112" hidden="1" customHeight="1" x14ac:dyDescent="0.25">
      <c r="B481" s="3"/>
    </row>
    <row r="482" spans="2:2" ht="112" hidden="1" customHeight="1" x14ac:dyDescent="0.25">
      <c r="B482" s="3"/>
    </row>
    <row r="483" spans="2:2" ht="112" hidden="1" customHeight="1" x14ac:dyDescent="0.25">
      <c r="B483" s="3"/>
    </row>
    <row r="484" spans="2:2" ht="112" hidden="1" customHeight="1" x14ac:dyDescent="0.25">
      <c r="B484" s="3"/>
    </row>
    <row r="485" spans="2:2" ht="112" hidden="1" customHeight="1" x14ac:dyDescent="0.25">
      <c r="B485" s="3"/>
    </row>
    <row r="486" spans="2:2" ht="112" hidden="1" customHeight="1" x14ac:dyDescent="0.25">
      <c r="B486" s="3"/>
    </row>
    <row r="487" spans="2:2" ht="112" hidden="1" customHeight="1" x14ac:dyDescent="0.25">
      <c r="B487" s="3"/>
    </row>
    <row r="488" spans="2:2" ht="112" hidden="1" customHeight="1" x14ac:dyDescent="0.25">
      <c r="B488" s="3"/>
    </row>
    <row r="489" spans="2:2" ht="112" hidden="1" customHeight="1" x14ac:dyDescent="0.25">
      <c r="B489" s="3"/>
    </row>
    <row r="490" spans="2:2" ht="112" hidden="1" customHeight="1" x14ac:dyDescent="0.25">
      <c r="B490" s="3"/>
    </row>
    <row r="491" spans="2:2" ht="112" hidden="1" customHeight="1" x14ac:dyDescent="0.25">
      <c r="B491" s="3"/>
    </row>
    <row r="492" spans="2:2" ht="112" hidden="1" customHeight="1" x14ac:dyDescent="0.25">
      <c r="B492" s="3"/>
    </row>
    <row r="493" spans="2:2" ht="112" hidden="1" customHeight="1" x14ac:dyDescent="0.25">
      <c r="B493" s="3"/>
    </row>
    <row r="494" spans="2:2" ht="112" hidden="1" customHeight="1" x14ac:dyDescent="0.25">
      <c r="B494" s="3"/>
    </row>
    <row r="495" spans="2:2" ht="112" hidden="1" customHeight="1" x14ac:dyDescent="0.25">
      <c r="B495" s="3"/>
    </row>
    <row r="496" spans="2:2" ht="112" hidden="1" customHeight="1" x14ac:dyDescent="0.25">
      <c r="B496" s="3"/>
    </row>
    <row r="497" spans="2:2" ht="112" hidden="1" customHeight="1" x14ac:dyDescent="0.25">
      <c r="B497" s="3"/>
    </row>
    <row r="498" spans="2:2" ht="112" hidden="1" customHeight="1" x14ac:dyDescent="0.25">
      <c r="B498" s="3"/>
    </row>
    <row r="499" spans="2:2" ht="112" hidden="1" customHeight="1" x14ac:dyDescent="0.25">
      <c r="B499" s="3"/>
    </row>
    <row r="500" spans="2:2" ht="112" hidden="1" customHeight="1" x14ac:dyDescent="0.25">
      <c r="B500" s="3"/>
    </row>
    <row r="501" spans="2:2" ht="112" hidden="1" customHeight="1" x14ac:dyDescent="0.25">
      <c r="B501" s="3"/>
    </row>
    <row r="502" spans="2:2" ht="112" hidden="1" customHeight="1" x14ac:dyDescent="0.25">
      <c r="B502" s="3"/>
    </row>
    <row r="503" spans="2:2" ht="112" hidden="1" customHeight="1" x14ac:dyDescent="0.25">
      <c r="B503" s="3"/>
    </row>
    <row r="504" spans="2:2" ht="112" hidden="1" customHeight="1" x14ac:dyDescent="0.25">
      <c r="B504" s="3"/>
    </row>
    <row r="505" spans="2:2" ht="112" hidden="1" customHeight="1" x14ac:dyDescent="0.25">
      <c r="B505" s="3"/>
    </row>
    <row r="506" spans="2:2" ht="112" hidden="1" customHeight="1" x14ac:dyDescent="0.25">
      <c r="B506" s="3"/>
    </row>
    <row r="507" spans="2:2" ht="112" hidden="1" customHeight="1" x14ac:dyDescent="0.25">
      <c r="B507" s="3"/>
    </row>
    <row r="508" spans="2:2" ht="112" hidden="1" customHeight="1" x14ac:dyDescent="0.25">
      <c r="B508" s="3"/>
    </row>
    <row r="509" spans="2:2" ht="112" hidden="1" customHeight="1" x14ac:dyDescent="0.25">
      <c r="B509" s="3"/>
    </row>
    <row r="510" spans="2:2" ht="112" hidden="1" customHeight="1" x14ac:dyDescent="0.25">
      <c r="B510" s="3"/>
    </row>
    <row r="511" spans="2:2" ht="112" hidden="1" customHeight="1" x14ac:dyDescent="0.25">
      <c r="B511" s="3"/>
    </row>
    <row r="512" spans="2:2" ht="112" hidden="1" customHeight="1" x14ac:dyDescent="0.25">
      <c r="B512" s="3"/>
    </row>
    <row r="513" spans="2:2" ht="112" hidden="1" customHeight="1" x14ac:dyDescent="0.25">
      <c r="B513" s="3"/>
    </row>
    <row r="514" spans="2:2" ht="112" hidden="1" customHeight="1" x14ac:dyDescent="0.25">
      <c r="B514" s="3"/>
    </row>
    <row r="515" spans="2:2" ht="112" hidden="1" customHeight="1" x14ac:dyDescent="0.25">
      <c r="B515" s="3"/>
    </row>
    <row r="516" spans="2:2" ht="112" hidden="1" customHeight="1" x14ac:dyDescent="0.25">
      <c r="B516" s="3"/>
    </row>
    <row r="517" spans="2:2" ht="112" hidden="1" customHeight="1" x14ac:dyDescent="0.25">
      <c r="B517" s="3"/>
    </row>
    <row r="518" spans="2:2" ht="112" hidden="1" customHeight="1" x14ac:dyDescent="0.25">
      <c r="B518" s="3"/>
    </row>
    <row r="519" spans="2:2" ht="112" hidden="1" customHeight="1" x14ac:dyDescent="0.25">
      <c r="B519" s="3"/>
    </row>
    <row r="520" spans="2:2" ht="112" hidden="1" customHeight="1" x14ac:dyDescent="0.25">
      <c r="B520" s="3"/>
    </row>
    <row r="521" spans="2:2" ht="112" hidden="1" customHeight="1" x14ac:dyDescent="0.25">
      <c r="B521" s="3"/>
    </row>
    <row r="522" spans="2:2" ht="112" hidden="1" customHeight="1" x14ac:dyDescent="0.25">
      <c r="B522" s="3"/>
    </row>
    <row r="523" spans="2:2" ht="112" hidden="1" customHeight="1" x14ac:dyDescent="0.25">
      <c r="B523" s="3"/>
    </row>
    <row r="524" spans="2:2" ht="112" hidden="1" customHeight="1" x14ac:dyDescent="0.25">
      <c r="B524" s="3"/>
    </row>
    <row r="525" spans="2:2" ht="112" hidden="1" customHeight="1" x14ac:dyDescent="0.25">
      <c r="B525" s="3"/>
    </row>
    <row r="526" spans="2:2" ht="112" hidden="1" customHeight="1" x14ac:dyDescent="0.25">
      <c r="B526" s="3"/>
    </row>
    <row r="527" spans="2:2" ht="112" hidden="1" customHeight="1" x14ac:dyDescent="0.25">
      <c r="B527" s="3"/>
    </row>
    <row r="528" spans="2:2" ht="112" hidden="1" customHeight="1" x14ac:dyDescent="0.25">
      <c r="B528" s="3"/>
    </row>
    <row r="529" spans="2:2" ht="112" hidden="1" customHeight="1" x14ac:dyDescent="0.25">
      <c r="B529" s="3"/>
    </row>
    <row r="530" spans="2:2" ht="112" hidden="1" customHeight="1" x14ac:dyDescent="0.25">
      <c r="B530" s="3"/>
    </row>
    <row r="531" spans="2:2" ht="112" hidden="1" customHeight="1" x14ac:dyDescent="0.25">
      <c r="B531" s="3"/>
    </row>
    <row r="532" spans="2:2" ht="112" hidden="1" customHeight="1" x14ac:dyDescent="0.25">
      <c r="B532" s="3"/>
    </row>
    <row r="533" spans="2:2" ht="112" hidden="1" customHeight="1" x14ac:dyDescent="0.25">
      <c r="B533" s="3"/>
    </row>
    <row r="534" spans="2:2" ht="112" hidden="1" customHeight="1" x14ac:dyDescent="0.25">
      <c r="B534" s="3"/>
    </row>
    <row r="535" spans="2:2" ht="112" hidden="1" customHeight="1" x14ac:dyDescent="0.25">
      <c r="B535" s="3"/>
    </row>
    <row r="536" spans="2:2" ht="112" hidden="1" customHeight="1" x14ac:dyDescent="0.25">
      <c r="B536" s="3"/>
    </row>
    <row r="537" spans="2:2" ht="112" hidden="1" customHeight="1" x14ac:dyDescent="0.25">
      <c r="B537" s="3"/>
    </row>
    <row r="538" spans="2:2" ht="112" hidden="1" customHeight="1" x14ac:dyDescent="0.25">
      <c r="B538" s="3"/>
    </row>
    <row r="539" spans="2:2" ht="112" hidden="1" customHeight="1" x14ac:dyDescent="0.25">
      <c r="B539" s="3"/>
    </row>
    <row r="540" spans="2:2" ht="112" hidden="1" customHeight="1" x14ac:dyDescent="0.25">
      <c r="B540" s="3"/>
    </row>
    <row r="541" spans="2:2" ht="112" hidden="1" customHeight="1" x14ac:dyDescent="0.25">
      <c r="B541" s="3"/>
    </row>
    <row r="542" spans="2:2" ht="112" hidden="1" customHeight="1" x14ac:dyDescent="0.25">
      <c r="B542" s="3"/>
    </row>
    <row r="543" spans="2:2" ht="112" hidden="1" customHeight="1" x14ac:dyDescent="0.25">
      <c r="B543" s="3"/>
    </row>
    <row r="544" spans="2:2" ht="112" hidden="1" customHeight="1" x14ac:dyDescent="0.25">
      <c r="B544" s="3"/>
    </row>
    <row r="545" spans="2:2" ht="112" hidden="1" customHeight="1" x14ac:dyDescent="0.25">
      <c r="B545" s="3"/>
    </row>
    <row r="546" spans="2:2" ht="112" hidden="1" customHeight="1" x14ac:dyDescent="0.25">
      <c r="B546" s="3"/>
    </row>
    <row r="547" spans="2:2" ht="112" hidden="1" customHeight="1" x14ac:dyDescent="0.25">
      <c r="B547" s="3"/>
    </row>
    <row r="548" spans="2:2" ht="112" hidden="1" customHeight="1" x14ac:dyDescent="0.25">
      <c r="B548" s="3"/>
    </row>
    <row r="549" spans="2:2" ht="112" hidden="1" customHeight="1" x14ac:dyDescent="0.25">
      <c r="B549" s="3"/>
    </row>
    <row r="550" spans="2:2" ht="112" hidden="1" customHeight="1" x14ac:dyDescent="0.25">
      <c r="B550" s="3"/>
    </row>
    <row r="551" spans="2:2" ht="112" hidden="1" customHeight="1" x14ac:dyDescent="0.25">
      <c r="B551" s="3"/>
    </row>
    <row r="552" spans="2:2" ht="112" hidden="1" customHeight="1" x14ac:dyDescent="0.25">
      <c r="B552" s="3"/>
    </row>
    <row r="553" spans="2:2" ht="112" hidden="1" customHeight="1" x14ac:dyDescent="0.25">
      <c r="B553" s="3"/>
    </row>
    <row r="554" spans="2:2" ht="112" hidden="1" customHeight="1" x14ac:dyDescent="0.25">
      <c r="B554" s="3"/>
    </row>
    <row r="555" spans="2:2" ht="112" hidden="1" customHeight="1" x14ac:dyDescent="0.25">
      <c r="B555" s="3"/>
    </row>
    <row r="556" spans="2:2" ht="112" hidden="1" customHeight="1" x14ac:dyDescent="0.25">
      <c r="B556" s="3"/>
    </row>
    <row r="557" spans="2:2" ht="112" hidden="1" customHeight="1" x14ac:dyDescent="0.25">
      <c r="B557" s="3"/>
    </row>
    <row r="558" spans="2:2" ht="112" hidden="1" customHeight="1" x14ac:dyDescent="0.25">
      <c r="B558" s="3"/>
    </row>
    <row r="559" spans="2:2" ht="112" hidden="1" customHeight="1" x14ac:dyDescent="0.25">
      <c r="B559" s="3"/>
    </row>
    <row r="560" spans="2:2" ht="112" hidden="1" customHeight="1" x14ac:dyDescent="0.25">
      <c r="B560" s="3"/>
    </row>
    <row r="561" spans="2:2" ht="112" hidden="1" customHeight="1" x14ac:dyDescent="0.25">
      <c r="B561" s="3"/>
    </row>
    <row r="562" spans="2:2" ht="112" hidden="1" customHeight="1" x14ac:dyDescent="0.25">
      <c r="B562" s="3"/>
    </row>
    <row r="563" spans="2:2" ht="112" hidden="1" customHeight="1" x14ac:dyDescent="0.25">
      <c r="B563" s="3"/>
    </row>
    <row r="564" spans="2:2" ht="112" hidden="1" customHeight="1" x14ac:dyDescent="0.25">
      <c r="B564" s="3"/>
    </row>
    <row r="565" spans="2:2" ht="112" hidden="1" customHeight="1" x14ac:dyDescent="0.25">
      <c r="B565" s="3"/>
    </row>
    <row r="566" spans="2:2" ht="112" hidden="1" customHeight="1" x14ac:dyDescent="0.25">
      <c r="B566" s="3"/>
    </row>
    <row r="567" spans="2:2" ht="112" hidden="1" customHeight="1" x14ac:dyDescent="0.25">
      <c r="B567" s="3"/>
    </row>
    <row r="568" spans="2:2" ht="112" hidden="1" customHeight="1" x14ac:dyDescent="0.25">
      <c r="B568" s="3"/>
    </row>
    <row r="569" spans="2:2" ht="112" hidden="1" customHeight="1" x14ac:dyDescent="0.25">
      <c r="B569" s="3"/>
    </row>
    <row r="570" spans="2:2" ht="112" hidden="1" customHeight="1" x14ac:dyDescent="0.25">
      <c r="B570" s="3"/>
    </row>
    <row r="571" spans="2:2" ht="112" hidden="1" customHeight="1" x14ac:dyDescent="0.25">
      <c r="B571" s="3"/>
    </row>
    <row r="572" spans="2:2" ht="112" hidden="1" customHeight="1" x14ac:dyDescent="0.25">
      <c r="B572" s="3"/>
    </row>
    <row r="573" spans="2:2" ht="112" hidden="1" customHeight="1" x14ac:dyDescent="0.25">
      <c r="B573" s="3"/>
    </row>
    <row r="574" spans="2:2" ht="112" hidden="1" customHeight="1" x14ac:dyDescent="0.25">
      <c r="B574" s="3"/>
    </row>
    <row r="575" spans="2:2" ht="112" hidden="1" customHeight="1" x14ac:dyDescent="0.25">
      <c r="B575" s="3"/>
    </row>
    <row r="576" spans="2:2" ht="112" hidden="1" customHeight="1" x14ac:dyDescent="0.25">
      <c r="B576" s="3"/>
    </row>
    <row r="577" spans="2:2" ht="112" hidden="1" customHeight="1" x14ac:dyDescent="0.25">
      <c r="B577" s="3"/>
    </row>
    <row r="578" spans="2:2" ht="112" hidden="1" customHeight="1" x14ac:dyDescent="0.25">
      <c r="B578" s="3"/>
    </row>
    <row r="579" spans="2:2" ht="112" hidden="1" customHeight="1" x14ac:dyDescent="0.25">
      <c r="B579" s="3"/>
    </row>
    <row r="580" spans="2:2" ht="112" hidden="1" customHeight="1" x14ac:dyDescent="0.25">
      <c r="B580" s="3"/>
    </row>
    <row r="581" spans="2:2" ht="112" hidden="1" customHeight="1" x14ac:dyDescent="0.25">
      <c r="B581" s="3"/>
    </row>
    <row r="582" spans="2:2" ht="112" hidden="1" customHeight="1" x14ac:dyDescent="0.25">
      <c r="B582" s="3"/>
    </row>
    <row r="583" spans="2:2" ht="112" hidden="1" customHeight="1" x14ac:dyDescent="0.25">
      <c r="B583" s="3"/>
    </row>
    <row r="584" spans="2:2" ht="112" hidden="1" customHeight="1" x14ac:dyDescent="0.25">
      <c r="B584" s="3"/>
    </row>
    <row r="585" spans="2:2" ht="112" hidden="1" customHeight="1" x14ac:dyDescent="0.25">
      <c r="B585" s="3"/>
    </row>
    <row r="586" spans="2:2" ht="112" hidden="1" customHeight="1" x14ac:dyDescent="0.25">
      <c r="B586" s="3"/>
    </row>
    <row r="587" spans="2:2" ht="112" hidden="1" customHeight="1" x14ac:dyDescent="0.25">
      <c r="B587" s="3"/>
    </row>
    <row r="588" spans="2:2" ht="112" hidden="1" customHeight="1" x14ac:dyDescent="0.25">
      <c r="B588" s="3"/>
    </row>
    <row r="589" spans="2:2" ht="112" hidden="1" customHeight="1" x14ac:dyDescent="0.25">
      <c r="B589" s="3"/>
    </row>
    <row r="590" spans="2:2" ht="112" hidden="1" customHeight="1" x14ac:dyDescent="0.25">
      <c r="B590" s="3"/>
    </row>
    <row r="591" spans="2:2" ht="112" hidden="1" customHeight="1" x14ac:dyDescent="0.25">
      <c r="B591" s="3"/>
    </row>
    <row r="592" spans="2:2" ht="112" hidden="1" customHeight="1" x14ac:dyDescent="0.25">
      <c r="B592" s="3"/>
    </row>
    <row r="593" spans="2:2" ht="112" hidden="1" customHeight="1" x14ac:dyDescent="0.25">
      <c r="B593" s="3"/>
    </row>
    <row r="594" spans="2:2" ht="112" hidden="1" customHeight="1" x14ac:dyDescent="0.25">
      <c r="B594" s="3"/>
    </row>
    <row r="595" spans="2:2" ht="112" hidden="1" customHeight="1" x14ac:dyDescent="0.25">
      <c r="B595" s="3"/>
    </row>
    <row r="596" spans="2:2" ht="112" hidden="1" customHeight="1" x14ac:dyDescent="0.25">
      <c r="B596" s="3"/>
    </row>
    <row r="597" spans="2:2" ht="112" hidden="1" customHeight="1" x14ac:dyDescent="0.25">
      <c r="B597" s="3"/>
    </row>
    <row r="598" spans="2:2" ht="112" hidden="1" customHeight="1" x14ac:dyDescent="0.25">
      <c r="B598" s="3"/>
    </row>
    <row r="599" spans="2:2" ht="112" hidden="1" customHeight="1" x14ac:dyDescent="0.25">
      <c r="B599" s="3"/>
    </row>
    <row r="600" spans="2:2" ht="112" hidden="1" customHeight="1" x14ac:dyDescent="0.25">
      <c r="B600" s="3"/>
    </row>
    <row r="601" spans="2:2" ht="112" hidden="1" customHeight="1" x14ac:dyDescent="0.25">
      <c r="B601" s="3"/>
    </row>
    <row r="602" spans="2:2" ht="112" hidden="1" customHeight="1" x14ac:dyDescent="0.25">
      <c r="B602" s="3"/>
    </row>
    <row r="603" spans="2:2" ht="112" hidden="1" customHeight="1" x14ac:dyDescent="0.25">
      <c r="B603" s="3"/>
    </row>
    <row r="604" spans="2:2" ht="112" hidden="1" customHeight="1" x14ac:dyDescent="0.25">
      <c r="B604" s="3"/>
    </row>
    <row r="605" spans="2:2" ht="112" hidden="1" customHeight="1" x14ac:dyDescent="0.25">
      <c r="B605" s="3"/>
    </row>
    <row r="606" spans="2:2" ht="112" hidden="1" customHeight="1" x14ac:dyDescent="0.25">
      <c r="B606" s="3"/>
    </row>
    <row r="607" spans="2:2" ht="112" hidden="1" customHeight="1" x14ac:dyDescent="0.25">
      <c r="B607" s="3"/>
    </row>
    <row r="608" spans="2:2" ht="112" hidden="1" customHeight="1" x14ac:dyDescent="0.25">
      <c r="B608" s="3"/>
    </row>
    <row r="609" spans="2:2" ht="112" hidden="1" customHeight="1" x14ac:dyDescent="0.25">
      <c r="B609" s="3"/>
    </row>
    <row r="610" spans="2:2" ht="112" hidden="1" customHeight="1" x14ac:dyDescent="0.25">
      <c r="B610" s="3"/>
    </row>
    <row r="611" spans="2:2" ht="112" hidden="1" customHeight="1" x14ac:dyDescent="0.25">
      <c r="B611" s="3"/>
    </row>
    <row r="612" spans="2:2" ht="112" hidden="1" customHeight="1" x14ac:dyDescent="0.25">
      <c r="B612" s="3"/>
    </row>
    <row r="613" spans="2:2" ht="112" hidden="1" customHeight="1" x14ac:dyDescent="0.25">
      <c r="B613" s="3"/>
    </row>
    <row r="614" spans="2:2" ht="112" hidden="1" customHeight="1" x14ac:dyDescent="0.25">
      <c r="B614" s="3"/>
    </row>
    <row r="615" spans="2:2" ht="112" hidden="1" customHeight="1" x14ac:dyDescent="0.25">
      <c r="B615" s="3"/>
    </row>
    <row r="616" spans="2:2" ht="112" hidden="1" customHeight="1" x14ac:dyDescent="0.25">
      <c r="B616" s="3"/>
    </row>
    <row r="617" spans="2:2" ht="112" hidden="1" customHeight="1" x14ac:dyDescent="0.25">
      <c r="B617" s="3"/>
    </row>
    <row r="618" spans="2:2" ht="112" hidden="1" customHeight="1" x14ac:dyDescent="0.25">
      <c r="B618" s="3"/>
    </row>
    <row r="619" spans="2:2" ht="112" hidden="1" customHeight="1" x14ac:dyDescent="0.25">
      <c r="B619" s="3"/>
    </row>
    <row r="620" spans="2:2" ht="112" hidden="1" customHeight="1" x14ac:dyDescent="0.25">
      <c r="B620" s="3"/>
    </row>
    <row r="621" spans="2:2" ht="112" hidden="1" customHeight="1" x14ac:dyDescent="0.25">
      <c r="B621" s="3"/>
    </row>
    <row r="622" spans="2:2" ht="112" hidden="1" customHeight="1" x14ac:dyDescent="0.25">
      <c r="B622" s="3"/>
    </row>
    <row r="623" spans="2:2" ht="112" hidden="1" customHeight="1" x14ac:dyDescent="0.25">
      <c r="B623" s="3"/>
    </row>
    <row r="624" spans="2:2" ht="112" hidden="1" customHeight="1" x14ac:dyDescent="0.25">
      <c r="B624" s="3"/>
    </row>
    <row r="625" spans="2:2" ht="112" hidden="1" customHeight="1" x14ac:dyDescent="0.25">
      <c r="B625" s="3"/>
    </row>
    <row r="626" spans="2:2" ht="112" hidden="1" customHeight="1" x14ac:dyDescent="0.25">
      <c r="B626" s="3"/>
    </row>
    <row r="627" spans="2:2" ht="112" hidden="1" customHeight="1" x14ac:dyDescent="0.25">
      <c r="B627" s="3"/>
    </row>
    <row r="628" spans="2:2" ht="112" hidden="1" customHeight="1" x14ac:dyDescent="0.25">
      <c r="B628" s="3"/>
    </row>
    <row r="629" spans="2:2" ht="112" hidden="1" customHeight="1" x14ac:dyDescent="0.25">
      <c r="B629" s="3"/>
    </row>
    <row r="630" spans="2:2" ht="112" hidden="1" customHeight="1" x14ac:dyDescent="0.25">
      <c r="B630" s="3"/>
    </row>
    <row r="631" spans="2:2" ht="112" hidden="1" customHeight="1" x14ac:dyDescent="0.25">
      <c r="B631" s="3"/>
    </row>
    <row r="632" spans="2:2" ht="112" hidden="1" customHeight="1" x14ac:dyDescent="0.25">
      <c r="B632" s="3"/>
    </row>
    <row r="633" spans="2:2" ht="112" hidden="1" customHeight="1" x14ac:dyDescent="0.25">
      <c r="B633" s="3"/>
    </row>
    <row r="634" spans="2:2" ht="112" hidden="1" customHeight="1" x14ac:dyDescent="0.25">
      <c r="B634" s="3"/>
    </row>
    <row r="635" spans="2:2" ht="112" hidden="1" customHeight="1" x14ac:dyDescent="0.25">
      <c r="B635" s="3"/>
    </row>
    <row r="636" spans="2:2" ht="112" hidden="1" customHeight="1" x14ac:dyDescent="0.25">
      <c r="B636" s="3"/>
    </row>
    <row r="637" spans="2:2" ht="112" hidden="1" customHeight="1" x14ac:dyDescent="0.25">
      <c r="B637" s="3"/>
    </row>
    <row r="638" spans="2:2" ht="112" hidden="1" customHeight="1" x14ac:dyDescent="0.25">
      <c r="B638" s="3"/>
    </row>
    <row r="639" spans="2:2" ht="112" hidden="1" customHeight="1" x14ac:dyDescent="0.25">
      <c r="B639" s="3"/>
    </row>
    <row r="640" spans="2:2" ht="112" hidden="1" customHeight="1" x14ac:dyDescent="0.25">
      <c r="B640" s="3"/>
    </row>
    <row r="641" spans="2:2" ht="112" hidden="1" customHeight="1" x14ac:dyDescent="0.25">
      <c r="B641" s="3"/>
    </row>
    <row r="642" spans="2:2" ht="112" hidden="1" customHeight="1" x14ac:dyDescent="0.25">
      <c r="B642" s="3"/>
    </row>
    <row r="643" spans="2:2" ht="112" hidden="1" customHeight="1" x14ac:dyDescent="0.25">
      <c r="B643" s="3"/>
    </row>
    <row r="644" spans="2:2" ht="112" hidden="1" customHeight="1" x14ac:dyDescent="0.25">
      <c r="B644" s="3"/>
    </row>
    <row r="645" spans="2:2" ht="112" hidden="1" customHeight="1" x14ac:dyDescent="0.25">
      <c r="B645" s="3"/>
    </row>
    <row r="646" spans="2:2" ht="112" hidden="1" customHeight="1" x14ac:dyDescent="0.25">
      <c r="B646" s="3"/>
    </row>
    <row r="647" spans="2:2" ht="112" hidden="1" customHeight="1" x14ac:dyDescent="0.25">
      <c r="B647" s="3"/>
    </row>
    <row r="648" spans="2:2" ht="112" hidden="1" customHeight="1" x14ac:dyDescent="0.25">
      <c r="B648" s="3"/>
    </row>
    <row r="649" spans="2:2" ht="112" hidden="1" customHeight="1" x14ac:dyDescent="0.25">
      <c r="B649" s="3"/>
    </row>
    <row r="650" spans="2:2" ht="112" hidden="1" customHeight="1" x14ac:dyDescent="0.25">
      <c r="B650" s="3"/>
    </row>
    <row r="651" spans="2:2" ht="112" hidden="1" customHeight="1" x14ac:dyDescent="0.25">
      <c r="B651" s="3"/>
    </row>
    <row r="652" spans="2:2" ht="112" hidden="1" customHeight="1" x14ac:dyDescent="0.25">
      <c r="B652" s="3"/>
    </row>
    <row r="653" spans="2:2" ht="112" hidden="1" customHeight="1" x14ac:dyDescent="0.25">
      <c r="B653" s="3"/>
    </row>
    <row r="654" spans="2:2" ht="112" hidden="1" customHeight="1" x14ac:dyDescent="0.25">
      <c r="B654" s="3"/>
    </row>
    <row r="655" spans="2:2" ht="112" hidden="1" customHeight="1" x14ac:dyDescent="0.25">
      <c r="B655" s="3"/>
    </row>
    <row r="656" spans="2:2" ht="112" hidden="1" customHeight="1" x14ac:dyDescent="0.25">
      <c r="B656" s="3"/>
    </row>
    <row r="657" spans="2:2" ht="112" hidden="1" customHeight="1" x14ac:dyDescent="0.25">
      <c r="B657" s="3"/>
    </row>
    <row r="658" spans="2:2" ht="112" hidden="1" customHeight="1" x14ac:dyDescent="0.25">
      <c r="B658" s="3"/>
    </row>
    <row r="659" spans="2:2" ht="112" hidden="1" customHeight="1" x14ac:dyDescent="0.25">
      <c r="B659" s="3"/>
    </row>
    <row r="660" spans="2:2" ht="112" hidden="1" customHeight="1" x14ac:dyDescent="0.25">
      <c r="B660" s="3"/>
    </row>
    <row r="661" spans="2:2" ht="112" hidden="1" customHeight="1" x14ac:dyDescent="0.25">
      <c r="B661" s="3"/>
    </row>
    <row r="662" spans="2:2" ht="112" hidden="1" customHeight="1" x14ac:dyDescent="0.25">
      <c r="B662" s="3"/>
    </row>
    <row r="663" spans="2:2" ht="112" hidden="1" customHeight="1" x14ac:dyDescent="0.25">
      <c r="B663" s="3"/>
    </row>
    <row r="664" spans="2:2" ht="112" hidden="1" customHeight="1" x14ac:dyDescent="0.25">
      <c r="B664" s="3"/>
    </row>
    <row r="665" spans="2:2" ht="112" hidden="1" customHeight="1" x14ac:dyDescent="0.25">
      <c r="B665" s="3"/>
    </row>
    <row r="666" spans="2:2" ht="112" hidden="1" customHeight="1" x14ac:dyDescent="0.25">
      <c r="B666" s="3"/>
    </row>
    <row r="667" spans="2:2" ht="112" hidden="1" customHeight="1" x14ac:dyDescent="0.25">
      <c r="B667" s="3"/>
    </row>
    <row r="668" spans="2:2" ht="112" hidden="1" customHeight="1" x14ac:dyDescent="0.25">
      <c r="B668" s="3"/>
    </row>
    <row r="669" spans="2:2" ht="112" hidden="1" customHeight="1" x14ac:dyDescent="0.25">
      <c r="B669" s="3"/>
    </row>
    <row r="670" spans="2:2" ht="112" hidden="1" customHeight="1" x14ac:dyDescent="0.25">
      <c r="B670" s="3"/>
    </row>
    <row r="671" spans="2:2" ht="112" hidden="1" customHeight="1" x14ac:dyDescent="0.25">
      <c r="B671" s="3"/>
    </row>
    <row r="672" spans="2:2" ht="112" hidden="1" customHeight="1" x14ac:dyDescent="0.25">
      <c r="B672" s="3"/>
    </row>
    <row r="673" spans="2:2" ht="112" hidden="1" customHeight="1" x14ac:dyDescent="0.25">
      <c r="B673" s="3"/>
    </row>
    <row r="674" spans="2:2" ht="112" hidden="1" customHeight="1" x14ac:dyDescent="0.25">
      <c r="B674" s="3"/>
    </row>
    <row r="675" spans="2:2" ht="112" hidden="1" customHeight="1" x14ac:dyDescent="0.25">
      <c r="B675" s="3"/>
    </row>
    <row r="676" spans="2:2" ht="112" hidden="1" customHeight="1" x14ac:dyDescent="0.25">
      <c r="B676" s="3"/>
    </row>
    <row r="677" spans="2:2" ht="112" hidden="1" customHeight="1" x14ac:dyDescent="0.25">
      <c r="B677" s="3"/>
    </row>
    <row r="678" spans="2:2" ht="112" hidden="1" customHeight="1" x14ac:dyDescent="0.25">
      <c r="B678" s="3"/>
    </row>
    <row r="679" spans="2:2" ht="112" hidden="1" customHeight="1" x14ac:dyDescent="0.25">
      <c r="B679" s="3"/>
    </row>
    <row r="680" spans="2:2" ht="112" hidden="1" customHeight="1" x14ac:dyDescent="0.25">
      <c r="B680" s="3"/>
    </row>
    <row r="681" spans="2:2" ht="112" hidden="1" customHeight="1" x14ac:dyDescent="0.25">
      <c r="B681" s="3"/>
    </row>
    <row r="682" spans="2:2" ht="112" hidden="1" customHeight="1" x14ac:dyDescent="0.25">
      <c r="B682" s="3"/>
    </row>
    <row r="683" spans="2:2" ht="112" hidden="1" customHeight="1" x14ac:dyDescent="0.25">
      <c r="B683" s="3"/>
    </row>
    <row r="684" spans="2:2" ht="112" hidden="1" customHeight="1" x14ac:dyDescent="0.25">
      <c r="B684" s="3"/>
    </row>
    <row r="685" spans="2:2" ht="112" hidden="1" customHeight="1" x14ac:dyDescent="0.25">
      <c r="B685" s="3"/>
    </row>
    <row r="686" spans="2:2" ht="112" hidden="1" customHeight="1" x14ac:dyDescent="0.25">
      <c r="B686" s="3"/>
    </row>
    <row r="687" spans="2:2" ht="112" hidden="1" customHeight="1" x14ac:dyDescent="0.25">
      <c r="B687" s="3"/>
    </row>
    <row r="688" spans="2:2" ht="112" hidden="1" customHeight="1" x14ac:dyDescent="0.25">
      <c r="B688" s="3"/>
    </row>
    <row r="689" spans="2:2" ht="112" hidden="1" customHeight="1" x14ac:dyDescent="0.25">
      <c r="B689" s="3"/>
    </row>
    <row r="690" spans="2:2" ht="112" hidden="1" customHeight="1" x14ac:dyDescent="0.25">
      <c r="B690" s="3"/>
    </row>
    <row r="691" spans="2:2" ht="112" hidden="1" customHeight="1" x14ac:dyDescent="0.25">
      <c r="B691" s="3"/>
    </row>
    <row r="692" spans="2:2" ht="112" hidden="1" customHeight="1" x14ac:dyDescent="0.25">
      <c r="B692" s="3"/>
    </row>
    <row r="693" spans="2:2" ht="112" hidden="1" customHeight="1" x14ac:dyDescent="0.25">
      <c r="B693" s="3"/>
    </row>
    <row r="694" spans="2:2" ht="112" hidden="1" customHeight="1" x14ac:dyDescent="0.25">
      <c r="B694" s="3"/>
    </row>
    <row r="695" spans="2:2" ht="112" hidden="1" customHeight="1" x14ac:dyDescent="0.25">
      <c r="B695" s="3"/>
    </row>
    <row r="696" spans="2:2" ht="112" hidden="1" customHeight="1" x14ac:dyDescent="0.25">
      <c r="B696" s="3"/>
    </row>
    <row r="697" spans="2:2" ht="112" hidden="1" customHeight="1" x14ac:dyDescent="0.25">
      <c r="B697" s="3"/>
    </row>
    <row r="698" spans="2:2" ht="112" hidden="1" customHeight="1" x14ac:dyDescent="0.25">
      <c r="B698" s="3"/>
    </row>
    <row r="699" spans="2:2" ht="112" hidden="1" customHeight="1" x14ac:dyDescent="0.25">
      <c r="B699" s="3"/>
    </row>
    <row r="700" spans="2:2" ht="112" hidden="1" customHeight="1" x14ac:dyDescent="0.25">
      <c r="B700" s="3"/>
    </row>
    <row r="701" spans="2:2" ht="112" hidden="1" customHeight="1" x14ac:dyDescent="0.25">
      <c r="B701" s="3"/>
    </row>
    <row r="702" spans="2:2" ht="112" hidden="1" customHeight="1" x14ac:dyDescent="0.25">
      <c r="B702" s="3"/>
    </row>
    <row r="703" spans="2:2" ht="112" hidden="1" customHeight="1" x14ac:dyDescent="0.25">
      <c r="B703" s="3"/>
    </row>
    <row r="704" spans="2:2" ht="112" hidden="1" customHeight="1" x14ac:dyDescent="0.25">
      <c r="B704" s="3"/>
    </row>
    <row r="705" spans="2:2" ht="112" hidden="1" customHeight="1" x14ac:dyDescent="0.25">
      <c r="B705" s="3"/>
    </row>
    <row r="706" spans="2:2" ht="112" hidden="1" customHeight="1" x14ac:dyDescent="0.25">
      <c r="B706" s="3"/>
    </row>
    <row r="707" spans="2:2" ht="112" hidden="1" customHeight="1" x14ac:dyDescent="0.25">
      <c r="B707" s="3"/>
    </row>
    <row r="708" spans="2:2" ht="112" hidden="1" customHeight="1" x14ac:dyDescent="0.25">
      <c r="B708" s="3"/>
    </row>
    <row r="709" spans="2:2" ht="112" hidden="1" customHeight="1" x14ac:dyDescent="0.25">
      <c r="B709" s="3"/>
    </row>
    <row r="710" spans="2:2" ht="112" hidden="1" customHeight="1" x14ac:dyDescent="0.25">
      <c r="B710" s="3"/>
    </row>
    <row r="711" spans="2:2" ht="112" hidden="1" customHeight="1" x14ac:dyDescent="0.25">
      <c r="B711" s="3"/>
    </row>
    <row r="712" spans="2:2" ht="112" hidden="1" customHeight="1" x14ac:dyDescent="0.25">
      <c r="B712" s="3"/>
    </row>
    <row r="713" spans="2:2" ht="112" hidden="1" customHeight="1" x14ac:dyDescent="0.25">
      <c r="B713" s="3"/>
    </row>
    <row r="714" spans="2:2" ht="112" hidden="1" customHeight="1" x14ac:dyDescent="0.25">
      <c r="B714" s="3"/>
    </row>
    <row r="715" spans="2:2" ht="112" hidden="1" customHeight="1" x14ac:dyDescent="0.25">
      <c r="B715" s="3"/>
    </row>
    <row r="716" spans="2:2" ht="112" hidden="1" customHeight="1" x14ac:dyDescent="0.25">
      <c r="B716" s="3"/>
    </row>
    <row r="717" spans="2:2" ht="112" hidden="1" customHeight="1" x14ac:dyDescent="0.25">
      <c r="B717" s="3"/>
    </row>
    <row r="718" spans="2:2" ht="112" hidden="1" customHeight="1" x14ac:dyDescent="0.25">
      <c r="B718" s="3"/>
    </row>
    <row r="719" spans="2:2" ht="112" hidden="1" customHeight="1" x14ac:dyDescent="0.25">
      <c r="B719" s="3"/>
    </row>
    <row r="720" spans="2:2" ht="112" hidden="1" customHeight="1" x14ac:dyDescent="0.25">
      <c r="B720" s="3"/>
    </row>
    <row r="721" spans="2:2" ht="112" hidden="1" customHeight="1" x14ac:dyDescent="0.25">
      <c r="B721" s="3"/>
    </row>
    <row r="722" spans="2:2" ht="112" hidden="1" customHeight="1" x14ac:dyDescent="0.25">
      <c r="B722" s="3"/>
    </row>
    <row r="723" spans="2:2" ht="112" hidden="1" customHeight="1" x14ac:dyDescent="0.25">
      <c r="B723" s="3"/>
    </row>
    <row r="724" spans="2:2" ht="112" hidden="1" customHeight="1" x14ac:dyDescent="0.25">
      <c r="B724" s="3"/>
    </row>
    <row r="725" spans="2:2" ht="112" hidden="1" customHeight="1" x14ac:dyDescent="0.25">
      <c r="B725" s="3"/>
    </row>
    <row r="726" spans="2:2" ht="112" hidden="1" customHeight="1" x14ac:dyDescent="0.25">
      <c r="B726" s="3"/>
    </row>
    <row r="727" spans="2:2" ht="112" hidden="1" customHeight="1" x14ac:dyDescent="0.25">
      <c r="B727" s="3"/>
    </row>
    <row r="728" spans="2:2" ht="112" hidden="1" customHeight="1" x14ac:dyDescent="0.25">
      <c r="B728" s="3"/>
    </row>
    <row r="729" spans="2:2" ht="112" hidden="1" customHeight="1" x14ac:dyDescent="0.25">
      <c r="B729" s="3"/>
    </row>
    <row r="730" spans="2:2" ht="112" hidden="1" customHeight="1" x14ac:dyDescent="0.25">
      <c r="B730" s="3"/>
    </row>
    <row r="731" spans="2:2" ht="112" hidden="1" customHeight="1" x14ac:dyDescent="0.25">
      <c r="B731" s="3"/>
    </row>
    <row r="732" spans="2:2" ht="112" hidden="1" customHeight="1" x14ac:dyDescent="0.25">
      <c r="B732" s="3"/>
    </row>
    <row r="733" spans="2:2" ht="112" hidden="1" customHeight="1" x14ac:dyDescent="0.25">
      <c r="B733" s="3"/>
    </row>
    <row r="734" spans="2:2" ht="112" hidden="1" customHeight="1" x14ac:dyDescent="0.25">
      <c r="B734" s="3"/>
    </row>
    <row r="735" spans="2:2" ht="112" hidden="1" customHeight="1" x14ac:dyDescent="0.25">
      <c r="B735" s="3"/>
    </row>
    <row r="736" spans="2:2" ht="112" hidden="1" customHeight="1" x14ac:dyDescent="0.25">
      <c r="B736" s="3"/>
    </row>
    <row r="737" spans="2:2" ht="112" hidden="1" customHeight="1" x14ac:dyDescent="0.25">
      <c r="B737" s="3"/>
    </row>
    <row r="738" spans="2:2" ht="112" hidden="1" customHeight="1" x14ac:dyDescent="0.25">
      <c r="B738" s="3"/>
    </row>
    <row r="739" spans="2:2" ht="112" hidden="1" customHeight="1" x14ac:dyDescent="0.25">
      <c r="B739" s="3"/>
    </row>
    <row r="740" spans="2:2" ht="112" hidden="1" customHeight="1" x14ac:dyDescent="0.25">
      <c r="B740" s="3"/>
    </row>
    <row r="741" spans="2:2" ht="112" hidden="1" customHeight="1" x14ac:dyDescent="0.25">
      <c r="B741" s="3"/>
    </row>
    <row r="742" spans="2:2" ht="112" hidden="1" customHeight="1" x14ac:dyDescent="0.25">
      <c r="B742" s="3"/>
    </row>
    <row r="743" spans="2:2" ht="112" hidden="1" customHeight="1" x14ac:dyDescent="0.25">
      <c r="B743" s="3"/>
    </row>
    <row r="744" spans="2:2" ht="112" hidden="1" customHeight="1" x14ac:dyDescent="0.25">
      <c r="B744" s="3"/>
    </row>
    <row r="745" spans="2:2" ht="112" hidden="1" customHeight="1" x14ac:dyDescent="0.25">
      <c r="B745" s="3"/>
    </row>
    <row r="746" spans="2:2" ht="112" hidden="1" customHeight="1" x14ac:dyDescent="0.25">
      <c r="B746" s="3"/>
    </row>
    <row r="747" spans="2:2" ht="112" hidden="1" customHeight="1" x14ac:dyDescent="0.25">
      <c r="B747" s="3"/>
    </row>
    <row r="748" spans="2:2" ht="112" hidden="1" customHeight="1" x14ac:dyDescent="0.25">
      <c r="B748" s="3"/>
    </row>
    <row r="749" spans="2:2" ht="112" hidden="1" customHeight="1" x14ac:dyDescent="0.25">
      <c r="B749" s="3"/>
    </row>
    <row r="750" spans="2:2" ht="112" hidden="1" customHeight="1" x14ac:dyDescent="0.25">
      <c r="B750" s="3"/>
    </row>
    <row r="751" spans="2:2" ht="112" hidden="1" customHeight="1" x14ac:dyDescent="0.25">
      <c r="B751" s="3"/>
    </row>
    <row r="752" spans="2:2" ht="112" hidden="1" customHeight="1" x14ac:dyDescent="0.25">
      <c r="B752" s="3"/>
    </row>
    <row r="753" spans="2:2" ht="112" hidden="1" customHeight="1" x14ac:dyDescent="0.25">
      <c r="B753" s="3"/>
    </row>
    <row r="754" spans="2:2" ht="112" hidden="1" customHeight="1" x14ac:dyDescent="0.25">
      <c r="B754" s="3"/>
    </row>
    <row r="755" spans="2:2" ht="112" hidden="1" customHeight="1" x14ac:dyDescent="0.25">
      <c r="B755" s="3"/>
    </row>
    <row r="756" spans="2:2" ht="112" hidden="1" customHeight="1" x14ac:dyDescent="0.25">
      <c r="B756" s="3"/>
    </row>
    <row r="757" spans="2:2" ht="112" hidden="1" customHeight="1" x14ac:dyDescent="0.25">
      <c r="B757" s="3"/>
    </row>
    <row r="758" spans="2:2" ht="112" hidden="1" customHeight="1" x14ac:dyDescent="0.25">
      <c r="B758" s="3"/>
    </row>
    <row r="759" spans="2:2" ht="112" hidden="1" customHeight="1" x14ac:dyDescent="0.25">
      <c r="B759" s="3"/>
    </row>
    <row r="760" spans="2:2" ht="112" hidden="1" customHeight="1" x14ac:dyDescent="0.25">
      <c r="B760" s="3"/>
    </row>
    <row r="761" spans="2:2" ht="112" hidden="1" customHeight="1" x14ac:dyDescent="0.25">
      <c r="B761" s="3"/>
    </row>
    <row r="762" spans="2:2" ht="112" hidden="1" customHeight="1" x14ac:dyDescent="0.25">
      <c r="B762" s="3"/>
    </row>
    <row r="763" spans="2:2" ht="112" hidden="1" customHeight="1" x14ac:dyDescent="0.25">
      <c r="B763" s="3"/>
    </row>
    <row r="764" spans="2:2" ht="112" hidden="1" customHeight="1" x14ac:dyDescent="0.25">
      <c r="B764" s="3"/>
    </row>
    <row r="765" spans="2:2" ht="112" hidden="1" customHeight="1" x14ac:dyDescent="0.25">
      <c r="B765" s="3"/>
    </row>
    <row r="766" spans="2:2" ht="112" hidden="1" customHeight="1" x14ac:dyDescent="0.25">
      <c r="B766" s="3"/>
    </row>
    <row r="767" spans="2:2" ht="112" hidden="1" customHeight="1" x14ac:dyDescent="0.25">
      <c r="B767" s="3"/>
    </row>
    <row r="768" spans="2:2" ht="112" hidden="1" customHeight="1" x14ac:dyDescent="0.25">
      <c r="B768" s="3"/>
    </row>
    <row r="769" spans="2:2" ht="112" hidden="1" customHeight="1" x14ac:dyDescent="0.25">
      <c r="B769" s="3"/>
    </row>
    <row r="770" spans="2:2" ht="112" hidden="1" customHeight="1" x14ac:dyDescent="0.25">
      <c r="B770" s="3"/>
    </row>
    <row r="771" spans="2:2" ht="112" hidden="1" customHeight="1" x14ac:dyDescent="0.25">
      <c r="B771" s="3"/>
    </row>
    <row r="772" spans="2:2" ht="112" hidden="1" customHeight="1" x14ac:dyDescent="0.25">
      <c r="B772" s="3"/>
    </row>
    <row r="773" spans="2:2" ht="112" hidden="1" customHeight="1" x14ac:dyDescent="0.25">
      <c r="B773" s="3"/>
    </row>
    <row r="774" spans="2:2" ht="112" hidden="1" customHeight="1" x14ac:dyDescent="0.25">
      <c r="B774" s="3"/>
    </row>
    <row r="775" spans="2:2" ht="112" hidden="1" customHeight="1" x14ac:dyDescent="0.25">
      <c r="B775" s="3"/>
    </row>
    <row r="776" spans="2:2" ht="112" hidden="1" customHeight="1" x14ac:dyDescent="0.25">
      <c r="B776" s="3"/>
    </row>
    <row r="777" spans="2:2" ht="112" hidden="1" customHeight="1" x14ac:dyDescent="0.25">
      <c r="B777" s="3"/>
    </row>
    <row r="778" spans="2:2" ht="112" hidden="1" customHeight="1" x14ac:dyDescent="0.25">
      <c r="B778" s="3"/>
    </row>
    <row r="779" spans="2:2" ht="112" hidden="1" customHeight="1" x14ac:dyDescent="0.25">
      <c r="B779" s="3"/>
    </row>
    <row r="780" spans="2:2" ht="112" hidden="1" customHeight="1" x14ac:dyDescent="0.25">
      <c r="B780" s="3"/>
    </row>
    <row r="781" spans="2:2" ht="112" hidden="1" customHeight="1" x14ac:dyDescent="0.25">
      <c r="B781" s="3"/>
    </row>
    <row r="782" spans="2:2" ht="112" hidden="1" customHeight="1" x14ac:dyDescent="0.25">
      <c r="B782" s="3"/>
    </row>
    <row r="783" spans="2:2" ht="112" hidden="1" customHeight="1" x14ac:dyDescent="0.25">
      <c r="B783" s="3"/>
    </row>
    <row r="784" spans="2:2" ht="112" hidden="1" customHeight="1" x14ac:dyDescent="0.25">
      <c r="B784" s="3"/>
    </row>
    <row r="785" spans="2:2" ht="112" hidden="1" customHeight="1" x14ac:dyDescent="0.25">
      <c r="B785" s="3"/>
    </row>
    <row r="786" spans="2:2" ht="112" hidden="1" customHeight="1" x14ac:dyDescent="0.25">
      <c r="B786" s="3"/>
    </row>
    <row r="787" spans="2:2" ht="112" hidden="1" customHeight="1" x14ac:dyDescent="0.25">
      <c r="B787" s="3"/>
    </row>
    <row r="788" spans="2:2" ht="112" hidden="1" customHeight="1" x14ac:dyDescent="0.25">
      <c r="B788" s="3"/>
    </row>
    <row r="789" spans="2:2" ht="112" hidden="1" customHeight="1" x14ac:dyDescent="0.25">
      <c r="B789" s="3"/>
    </row>
    <row r="790" spans="2:2" ht="112" hidden="1" customHeight="1" x14ac:dyDescent="0.25">
      <c r="B790" s="3"/>
    </row>
    <row r="791" spans="2:2" ht="112" hidden="1" customHeight="1" x14ac:dyDescent="0.25">
      <c r="B791" s="3"/>
    </row>
    <row r="792" spans="2:2" ht="112" hidden="1" customHeight="1" x14ac:dyDescent="0.25">
      <c r="B792" s="3"/>
    </row>
    <row r="793" spans="2:2" ht="112" hidden="1" customHeight="1" x14ac:dyDescent="0.25">
      <c r="B793" s="3"/>
    </row>
    <row r="794" spans="2:2" ht="112" hidden="1" customHeight="1" x14ac:dyDescent="0.25">
      <c r="B794" s="3"/>
    </row>
    <row r="795" spans="2:2" ht="112" hidden="1" customHeight="1" x14ac:dyDescent="0.25">
      <c r="B795" s="3"/>
    </row>
    <row r="796" spans="2:2" ht="112" hidden="1" customHeight="1" x14ac:dyDescent="0.25">
      <c r="B796" s="3"/>
    </row>
    <row r="797" spans="2:2" ht="112" hidden="1" customHeight="1" x14ac:dyDescent="0.25">
      <c r="B797" s="3"/>
    </row>
    <row r="798" spans="2:2" ht="112" hidden="1" customHeight="1" x14ac:dyDescent="0.25">
      <c r="B798" s="3"/>
    </row>
    <row r="799" spans="2:2" ht="112" hidden="1" customHeight="1" x14ac:dyDescent="0.25">
      <c r="B799" s="3"/>
    </row>
    <row r="800" spans="2:2" ht="112" hidden="1" customHeight="1" x14ac:dyDescent="0.25">
      <c r="B800" s="3"/>
    </row>
    <row r="801" spans="2:2" ht="112" hidden="1" customHeight="1" x14ac:dyDescent="0.25">
      <c r="B801" s="3"/>
    </row>
    <row r="802" spans="2:2" ht="112" hidden="1" customHeight="1" x14ac:dyDescent="0.25">
      <c r="B802" s="3"/>
    </row>
    <row r="803" spans="2:2" ht="112" hidden="1" customHeight="1" x14ac:dyDescent="0.25">
      <c r="B803" s="3"/>
    </row>
    <row r="804" spans="2:2" ht="112" hidden="1" customHeight="1" x14ac:dyDescent="0.25">
      <c r="B804" s="3"/>
    </row>
    <row r="805" spans="2:2" ht="112" hidden="1" customHeight="1" x14ac:dyDescent="0.25">
      <c r="B805" s="3"/>
    </row>
    <row r="806" spans="2:2" ht="112" hidden="1" customHeight="1" x14ac:dyDescent="0.25">
      <c r="B806" s="3"/>
    </row>
    <row r="807" spans="2:2" ht="112" hidden="1" customHeight="1" x14ac:dyDescent="0.25">
      <c r="B807" s="3"/>
    </row>
    <row r="808" spans="2:2" ht="112" hidden="1" customHeight="1" x14ac:dyDescent="0.25">
      <c r="B808" s="3"/>
    </row>
    <row r="809" spans="2:2" ht="112" hidden="1" customHeight="1" x14ac:dyDescent="0.25">
      <c r="B809" s="3"/>
    </row>
    <row r="810" spans="2:2" ht="112" hidden="1" customHeight="1" x14ac:dyDescent="0.25">
      <c r="B810" s="3"/>
    </row>
    <row r="811" spans="2:2" ht="112" hidden="1" customHeight="1" x14ac:dyDescent="0.25">
      <c r="B811" s="3"/>
    </row>
    <row r="812" spans="2:2" ht="112" hidden="1" customHeight="1" x14ac:dyDescent="0.25">
      <c r="B812" s="3"/>
    </row>
    <row r="813" spans="2:2" ht="112" hidden="1" customHeight="1" x14ac:dyDescent="0.25">
      <c r="B813" s="3"/>
    </row>
    <row r="814" spans="2:2" ht="112" hidden="1" customHeight="1" x14ac:dyDescent="0.25">
      <c r="B814" s="3"/>
    </row>
    <row r="815" spans="2:2" ht="112" hidden="1" customHeight="1" x14ac:dyDescent="0.25">
      <c r="B815" s="3"/>
    </row>
    <row r="816" spans="2:2" ht="112" hidden="1" customHeight="1" x14ac:dyDescent="0.25">
      <c r="B816" s="3"/>
    </row>
    <row r="817" spans="2:2" ht="112" hidden="1" customHeight="1" x14ac:dyDescent="0.25">
      <c r="B817" s="3"/>
    </row>
    <row r="818" spans="2:2" ht="112" hidden="1" customHeight="1" x14ac:dyDescent="0.25">
      <c r="B818" s="3"/>
    </row>
    <row r="819" spans="2:2" ht="112" hidden="1" customHeight="1" x14ac:dyDescent="0.25">
      <c r="B819" s="3"/>
    </row>
    <row r="820" spans="2:2" ht="112" hidden="1" customHeight="1" x14ac:dyDescent="0.25">
      <c r="B820" s="3"/>
    </row>
    <row r="821" spans="2:2" ht="112" hidden="1" customHeight="1" x14ac:dyDescent="0.25">
      <c r="B821" s="3"/>
    </row>
    <row r="822" spans="2:2" ht="112" hidden="1" customHeight="1" x14ac:dyDescent="0.25">
      <c r="B822" s="3"/>
    </row>
    <row r="823" spans="2:2" ht="112" hidden="1" customHeight="1" x14ac:dyDescent="0.25">
      <c r="B823" s="3"/>
    </row>
    <row r="824" spans="2:2" ht="112" hidden="1" customHeight="1" x14ac:dyDescent="0.25">
      <c r="B824" s="3"/>
    </row>
    <row r="825" spans="2:2" ht="112" hidden="1" customHeight="1" x14ac:dyDescent="0.25">
      <c r="B825" s="3"/>
    </row>
    <row r="826" spans="2:2" ht="112" hidden="1" customHeight="1" x14ac:dyDescent="0.25">
      <c r="B826" s="3"/>
    </row>
    <row r="827" spans="2:2" ht="112" hidden="1" customHeight="1" x14ac:dyDescent="0.25">
      <c r="B827" s="3"/>
    </row>
    <row r="828" spans="2:2" ht="112" hidden="1" customHeight="1" x14ac:dyDescent="0.25">
      <c r="B828" s="3"/>
    </row>
    <row r="829" spans="2:2" ht="112" hidden="1" customHeight="1" x14ac:dyDescent="0.25">
      <c r="B829" s="3"/>
    </row>
    <row r="830" spans="2:2" ht="112" hidden="1" customHeight="1" x14ac:dyDescent="0.25">
      <c r="B830" s="3"/>
    </row>
    <row r="831" spans="2:2" ht="112" hidden="1" customHeight="1" x14ac:dyDescent="0.25">
      <c r="B831" s="3"/>
    </row>
    <row r="832" spans="2:2" ht="112" hidden="1" customHeight="1" x14ac:dyDescent="0.25">
      <c r="B832" s="3"/>
    </row>
    <row r="833" spans="2:2" ht="112" hidden="1" customHeight="1" x14ac:dyDescent="0.25">
      <c r="B833" s="3"/>
    </row>
    <row r="834" spans="2:2" ht="112" hidden="1" customHeight="1" x14ac:dyDescent="0.25">
      <c r="B834" s="3"/>
    </row>
    <row r="835" spans="2:2" ht="112" hidden="1" customHeight="1" x14ac:dyDescent="0.25">
      <c r="B835" s="3"/>
    </row>
    <row r="836" spans="2:2" ht="112" hidden="1" customHeight="1" x14ac:dyDescent="0.25">
      <c r="B836" s="3"/>
    </row>
    <row r="837" spans="2:2" ht="112" hidden="1" customHeight="1" x14ac:dyDescent="0.25">
      <c r="B837" s="3"/>
    </row>
    <row r="838" spans="2:2" ht="112" hidden="1" customHeight="1" x14ac:dyDescent="0.25">
      <c r="B838" s="3"/>
    </row>
    <row r="839" spans="2:2" ht="112" hidden="1" customHeight="1" x14ac:dyDescent="0.25">
      <c r="B839" s="3"/>
    </row>
    <row r="840" spans="2:2" ht="112" hidden="1" customHeight="1" x14ac:dyDescent="0.25">
      <c r="B840" s="3"/>
    </row>
    <row r="841" spans="2:2" ht="112" hidden="1" customHeight="1" x14ac:dyDescent="0.25">
      <c r="B841" s="3"/>
    </row>
    <row r="842" spans="2:2" ht="112" hidden="1" customHeight="1" x14ac:dyDescent="0.25">
      <c r="B842" s="3"/>
    </row>
    <row r="843" spans="2:2" ht="112" hidden="1" customHeight="1" x14ac:dyDescent="0.25">
      <c r="B843" s="3"/>
    </row>
    <row r="844" spans="2:2" ht="112" hidden="1" customHeight="1" x14ac:dyDescent="0.25">
      <c r="B844" s="3"/>
    </row>
    <row r="845" spans="2:2" ht="112" hidden="1" customHeight="1" x14ac:dyDescent="0.25">
      <c r="B845" s="3"/>
    </row>
    <row r="846" spans="2:2" ht="112" hidden="1" customHeight="1" x14ac:dyDescent="0.25">
      <c r="B846" s="3"/>
    </row>
    <row r="847" spans="2:2" ht="112" hidden="1" customHeight="1" x14ac:dyDescent="0.25">
      <c r="B847" s="3"/>
    </row>
    <row r="848" spans="2:2" ht="112" hidden="1" customHeight="1" x14ac:dyDescent="0.25">
      <c r="B848" s="3"/>
    </row>
    <row r="849" spans="2:2" ht="112" hidden="1" customHeight="1" x14ac:dyDescent="0.25">
      <c r="B849" s="3"/>
    </row>
    <row r="850" spans="2:2" ht="112" hidden="1" customHeight="1" x14ac:dyDescent="0.25">
      <c r="B850" s="3"/>
    </row>
    <row r="851" spans="2:2" ht="112" hidden="1" customHeight="1" x14ac:dyDescent="0.25">
      <c r="B851" s="3"/>
    </row>
    <row r="852" spans="2:2" ht="112" hidden="1" customHeight="1" x14ac:dyDescent="0.25">
      <c r="B852" s="3"/>
    </row>
    <row r="853" spans="2:2" ht="112" hidden="1" customHeight="1" x14ac:dyDescent="0.25">
      <c r="B853" s="3"/>
    </row>
    <row r="854" spans="2:2" ht="112" hidden="1" customHeight="1" x14ac:dyDescent="0.25">
      <c r="B854" s="3"/>
    </row>
    <row r="855" spans="2:2" ht="112" hidden="1" customHeight="1" x14ac:dyDescent="0.25">
      <c r="B855" s="3"/>
    </row>
    <row r="856" spans="2:2" ht="112" hidden="1" customHeight="1" x14ac:dyDescent="0.25">
      <c r="B856" s="3"/>
    </row>
    <row r="857" spans="2:2" ht="112" hidden="1" customHeight="1" x14ac:dyDescent="0.25">
      <c r="B857" s="3"/>
    </row>
    <row r="858" spans="2:2" ht="112" hidden="1" customHeight="1" x14ac:dyDescent="0.25">
      <c r="B858" s="3"/>
    </row>
    <row r="859" spans="2:2" ht="112" hidden="1" customHeight="1" x14ac:dyDescent="0.25">
      <c r="B859" s="3"/>
    </row>
    <row r="860" spans="2:2" ht="112" hidden="1" customHeight="1" x14ac:dyDescent="0.25">
      <c r="B860" s="3"/>
    </row>
    <row r="861" spans="2:2" ht="112" hidden="1" customHeight="1" x14ac:dyDescent="0.25">
      <c r="B861" s="3"/>
    </row>
    <row r="862" spans="2:2" ht="112" hidden="1" customHeight="1" x14ac:dyDescent="0.25">
      <c r="B862" s="3"/>
    </row>
    <row r="863" spans="2:2" ht="112" hidden="1" customHeight="1" x14ac:dyDescent="0.25">
      <c r="B863" s="3"/>
    </row>
    <row r="864" spans="2:2" ht="112" hidden="1" customHeight="1" x14ac:dyDescent="0.25">
      <c r="B864" s="3"/>
    </row>
    <row r="865" spans="2:2" ht="112" hidden="1" customHeight="1" x14ac:dyDescent="0.25">
      <c r="B865" s="3"/>
    </row>
    <row r="866" spans="2:2" ht="112" hidden="1" customHeight="1" x14ac:dyDescent="0.25">
      <c r="B866" s="3"/>
    </row>
    <row r="867" spans="2:2" ht="112" hidden="1" customHeight="1" x14ac:dyDescent="0.25">
      <c r="B867" s="3"/>
    </row>
    <row r="868" spans="2:2" ht="112" hidden="1" customHeight="1" x14ac:dyDescent="0.25">
      <c r="B868" s="3"/>
    </row>
    <row r="869" spans="2:2" ht="112" hidden="1" customHeight="1" x14ac:dyDescent="0.25">
      <c r="B869" s="3"/>
    </row>
    <row r="870" spans="2:2" ht="112" hidden="1" customHeight="1" x14ac:dyDescent="0.25">
      <c r="B870" s="3"/>
    </row>
    <row r="871" spans="2:2" ht="112" hidden="1" customHeight="1" x14ac:dyDescent="0.25">
      <c r="B871" s="3"/>
    </row>
    <row r="872" spans="2:2" ht="112" hidden="1" customHeight="1" x14ac:dyDescent="0.25">
      <c r="B872" s="3"/>
    </row>
    <row r="873" spans="2:2" ht="112" hidden="1" customHeight="1" x14ac:dyDescent="0.25">
      <c r="B873" s="3"/>
    </row>
    <row r="874" spans="2:2" ht="112" hidden="1" customHeight="1" x14ac:dyDescent="0.25">
      <c r="B874" s="3"/>
    </row>
    <row r="875" spans="2:2" ht="112" hidden="1" customHeight="1" x14ac:dyDescent="0.25">
      <c r="B875" s="3"/>
    </row>
    <row r="876" spans="2:2" ht="112" hidden="1" customHeight="1" x14ac:dyDescent="0.25">
      <c r="B876" s="3"/>
    </row>
    <row r="877" spans="2:2" ht="112" hidden="1" customHeight="1" x14ac:dyDescent="0.25">
      <c r="B877" s="3"/>
    </row>
    <row r="878" spans="2:2" ht="112" hidden="1" customHeight="1" x14ac:dyDescent="0.25">
      <c r="B878" s="3"/>
    </row>
    <row r="879" spans="2:2" ht="112" hidden="1" customHeight="1" x14ac:dyDescent="0.25">
      <c r="B879" s="3"/>
    </row>
    <row r="880" spans="2:2" ht="112" hidden="1" customHeight="1" x14ac:dyDescent="0.25">
      <c r="B880" s="3"/>
    </row>
    <row r="881" spans="2:2" ht="112" hidden="1" customHeight="1" x14ac:dyDescent="0.25">
      <c r="B881" s="3"/>
    </row>
    <row r="882" spans="2:2" ht="112" hidden="1" customHeight="1" x14ac:dyDescent="0.25">
      <c r="B882" s="3"/>
    </row>
    <row r="883" spans="2:2" ht="112" hidden="1" customHeight="1" x14ac:dyDescent="0.25">
      <c r="B883" s="3"/>
    </row>
    <row r="884" spans="2:2" ht="112" hidden="1" customHeight="1" x14ac:dyDescent="0.25">
      <c r="B884" s="3"/>
    </row>
    <row r="885" spans="2:2" ht="112" hidden="1" customHeight="1" x14ac:dyDescent="0.25">
      <c r="B885" s="3"/>
    </row>
    <row r="886" spans="2:2" ht="112" hidden="1" customHeight="1" x14ac:dyDescent="0.25">
      <c r="B886" s="3"/>
    </row>
    <row r="887" spans="2:2" ht="112" hidden="1" customHeight="1" x14ac:dyDescent="0.25">
      <c r="B887" s="3"/>
    </row>
    <row r="888" spans="2:2" ht="112" hidden="1" customHeight="1" x14ac:dyDescent="0.25">
      <c r="B888" s="3"/>
    </row>
    <row r="889" spans="2:2" ht="112" hidden="1" customHeight="1" x14ac:dyDescent="0.25">
      <c r="B889" s="3"/>
    </row>
    <row r="890" spans="2:2" ht="112" hidden="1" customHeight="1" x14ac:dyDescent="0.25">
      <c r="B890" s="3"/>
    </row>
    <row r="891" spans="2:2" ht="112" hidden="1" customHeight="1" x14ac:dyDescent="0.25">
      <c r="B891" s="3"/>
    </row>
    <row r="892" spans="2:2" ht="112" hidden="1" customHeight="1" x14ac:dyDescent="0.25">
      <c r="B892" s="3"/>
    </row>
    <row r="893" spans="2:2" ht="112" hidden="1" customHeight="1" x14ac:dyDescent="0.25">
      <c r="B893" s="3"/>
    </row>
    <row r="894" spans="2:2" ht="112" hidden="1" customHeight="1" x14ac:dyDescent="0.25">
      <c r="B894" s="3"/>
    </row>
    <row r="895" spans="2:2" ht="112" hidden="1" customHeight="1" x14ac:dyDescent="0.25">
      <c r="B895" s="3"/>
    </row>
    <row r="896" spans="2:2" ht="112" hidden="1" customHeight="1" x14ac:dyDescent="0.25">
      <c r="B896" s="3"/>
    </row>
    <row r="897" spans="2:2" ht="112" hidden="1" customHeight="1" x14ac:dyDescent="0.25">
      <c r="B897" s="3"/>
    </row>
    <row r="898" spans="2:2" ht="112" hidden="1" customHeight="1" x14ac:dyDescent="0.25">
      <c r="B898" s="3"/>
    </row>
    <row r="899" spans="2:2" ht="112" hidden="1" customHeight="1" x14ac:dyDescent="0.25">
      <c r="B899" s="3"/>
    </row>
    <row r="900" spans="2:2" ht="112" hidden="1" customHeight="1" x14ac:dyDescent="0.25">
      <c r="B900" s="3"/>
    </row>
    <row r="901" spans="2:2" ht="112" hidden="1" customHeight="1" x14ac:dyDescent="0.25">
      <c r="B901" s="3"/>
    </row>
    <row r="902" spans="2:2" ht="112" hidden="1" customHeight="1" x14ac:dyDescent="0.25">
      <c r="B902" s="3"/>
    </row>
    <row r="903" spans="2:2" ht="112" hidden="1" customHeight="1" x14ac:dyDescent="0.25">
      <c r="B903" s="3"/>
    </row>
    <row r="904" spans="2:2" ht="112" hidden="1" customHeight="1" x14ac:dyDescent="0.25">
      <c r="B904" s="3"/>
    </row>
    <row r="905" spans="2:2" ht="112" hidden="1" customHeight="1" x14ac:dyDescent="0.25">
      <c r="B905" s="3"/>
    </row>
    <row r="906" spans="2:2" ht="112" hidden="1" customHeight="1" x14ac:dyDescent="0.25">
      <c r="B906" s="3"/>
    </row>
    <row r="907" spans="2:2" ht="112" hidden="1" customHeight="1" x14ac:dyDescent="0.25">
      <c r="B907" s="3"/>
    </row>
    <row r="908" spans="2:2" ht="112" hidden="1" customHeight="1" x14ac:dyDescent="0.25">
      <c r="B908" s="3"/>
    </row>
    <row r="909" spans="2:2" ht="112" hidden="1" customHeight="1" x14ac:dyDescent="0.25">
      <c r="B909" s="3"/>
    </row>
    <row r="910" spans="2:2" ht="112" hidden="1" customHeight="1" x14ac:dyDescent="0.25">
      <c r="B910" s="3"/>
    </row>
    <row r="911" spans="2:2" ht="112" hidden="1" customHeight="1" x14ac:dyDescent="0.25">
      <c r="B911" s="3"/>
    </row>
    <row r="912" spans="2:2" ht="112" hidden="1" customHeight="1" x14ac:dyDescent="0.25">
      <c r="B912" s="3"/>
    </row>
    <row r="913" spans="2:2" ht="112" hidden="1" customHeight="1" x14ac:dyDescent="0.25">
      <c r="B913" s="3"/>
    </row>
    <row r="914" spans="2:2" ht="112" hidden="1" customHeight="1" x14ac:dyDescent="0.25">
      <c r="B914" s="3"/>
    </row>
    <row r="915" spans="2:2" ht="112" hidden="1" customHeight="1" x14ac:dyDescent="0.25">
      <c r="B915" s="3"/>
    </row>
    <row r="916" spans="2:2" ht="112" hidden="1" customHeight="1" x14ac:dyDescent="0.25">
      <c r="B916" s="3"/>
    </row>
    <row r="917" spans="2:2" ht="112" hidden="1" customHeight="1" x14ac:dyDescent="0.25">
      <c r="B917" s="3"/>
    </row>
    <row r="918" spans="2:2" ht="112" hidden="1" customHeight="1" x14ac:dyDescent="0.25">
      <c r="B918" s="3"/>
    </row>
    <row r="919" spans="2:2" ht="112" hidden="1" customHeight="1" x14ac:dyDescent="0.25">
      <c r="B919" s="3"/>
    </row>
    <row r="920" spans="2:2" ht="112" hidden="1" customHeight="1" x14ac:dyDescent="0.25">
      <c r="B920" s="3"/>
    </row>
    <row r="921" spans="2:2" ht="112" hidden="1" customHeight="1" x14ac:dyDescent="0.25">
      <c r="B921" s="3"/>
    </row>
    <row r="922" spans="2:2" ht="112" hidden="1" customHeight="1" x14ac:dyDescent="0.25">
      <c r="B922" s="3"/>
    </row>
    <row r="923" spans="2:2" ht="112" hidden="1" customHeight="1" x14ac:dyDescent="0.25">
      <c r="B923" s="3"/>
    </row>
    <row r="924" spans="2:2" ht="112" hidden="1" customHeight="1" x14ac:dyDescent="0.25">
      <c r="B924" s="3"/>
    </row>
    <row r="925" spans="2:2" ht="112" hidden="1" customHeight="1" x14ac:dyDescent="0.25">
      <c r="B925" s="3"/>
    </row>
    <row r="926" spans="2:2" ht="112" hidden="1" customHeight="1" x14ac:dyDescent="0.25">
      <c r="B926" s="3"/>
    </row>
    <row r="927" spans="2:2" ht="112" hidden="1" customHeight="1" x14ac:dyDescent="0.25">
      <c r="B927" s="3"/>
    </row>
    <row r="928" spans="2:2" ht="112" hidden="1" customHeight="1" x14ac:dyDescent="0.25">
      <c r="B928" s="3"/>
    </row>
    <row r="929" spans="2:2" ht="112" hidden="1" customHeight="1" x14ac:dyDescent="0.25">
      <c r="B929" s="3"/>
    </row>
    <row r="930" spans="2:2" ht="112" hidden="1" customHeight="1" x14ac:dyDescent="0.25">
      <c r="B930" s="3"/>
    </row>
    <row r="931" spans="2:2" ht="112" hidden="1" customHeight="1" x14ac:dyDescent="0.25">
      <c r="B931" s="3"/>
    </row>
    <row r="932" spans="2:2" ht="112" hidden="1" customHeight="1" x14ac:dyDescent="0.25">
      <c r="B932" s="3"/>
    </row>
    <row r="933" spans="2:2" ht="112" hidden="1" customHeight="1" x14ac:dyDescent="0.25">
      <c r="B933" s="3"/>
    </row>
    <row r="934" spans="2:2" ht="112" hidden="1" customHeight="1" x14ac:dyDescent="0.25">
      <c r="B934" s="3"/>
    </row>
    <row r="935" spans="2:2" ht="112" hidden="1" customHeight="1" x14ac:dyDescent="0.25">
      <c r="B935" s="3"/>
    </row>
    <row r="936" spans="2:2" ht="112" hidden="1" customHeight="1" x14ac:dyDescent="0.25">
      <c r="B936" s="3"/>
    </row>
    <row r="937" spans="2:2" ht="112" hidden="1" customHeight="1" x14ac:dyDescent="0.25">
      <c r="B937" s="3"/>
    </row>
    <row r="938" spans="2:2" ht="112" hidden="1" customHeight="1" x14ac:dyDescent="0.25">
      <c r="B938" s="3"/>
    </row>
    <row r="939" spans="2:2" ht="112" hidden="1" customHeight="1" x14ac:dyDescent="0.25">
      <c r="B939" s="3"/>
    </row>
    <row r="940" spans="2:2" ht="112" hidden="1" customHeight="1" x14ac:dyDescent="0.25">
      <c r="B940" s="3"/>
    </row>
    <row r="941" spans="2:2" ht="112" hidden="1" customHeight="1" x14ac:dyDescent="0.25">
      <c r="B941" s="3"/>
    </row>
    <row r="942" spans="2:2" ht="112" hidden="1" customHeight="1" x14ac:dyDescent="0.25">
      <c r="B942" s="3"/>
    </row>
    <row r="943" spans="2:2" ht="112" hidden="1" customHeight="1" x14ac:dyDescent="0.25">
      <c r="B943" s="3"/>
    </row>
    <row r="944" spans="2:2" ht="112" hidden="1" customHeight="1" x14ac:dyDescent="0.25">
      <c r="B944" s="3"/>
    </row>
    <row r="945" spans="2:2" ht="112" hidden="1" customHeight="1" x14ac:dyDescent="0.25">
      <c r="B945" s="3"/>
    </row>
    <row r="946" spans="2:2" ht="112" hidden="1" customHeight="1" x14ac:dyDescent="0.25">
      <c r="B946" s="3"/>
    </row>
    <row r="947" spans="2:2" ht="112" hidden="1" customHeight="1" x14ac:dyDescent="0.25">
      <c r="B947" s="3"/>
    </row>
    <row r="948" spans="2:2" ht="112" hidden="1" customHeight="1" x14ac:dyDescent="0.25">
      <c r="B948" s="3"/>
    </row>
    <row r="949" spans="2:2" ht="112" hidden="1" customHeight="1" x14ac:dyDescent="0.25">
      <c r="B949" s="3"/>
    </row>
    <row r="950" spans="2:2" ht="112" hidden="1" customHeight="1" x14ac:dyDescent="0.25">
      <c r="B950" s="3"/>
    </row>
    <row r="951" spans="2:2" ht="112" hidden="1" customHeight="1" x14ac:dyDescent="0.25">
      <c r="B951" s="3"/>
    </row>
    <row r="952" spans="2:2" ht="112" hidden="1" customHeight="1" x14ac:dyDescent="0.25">
      <c r="B952" s="3"/>
    </row>
    <row r="953" spans="2:2" ht="112" hidden="1" customHeight="1" x14ac:dyDescent="0.25">
      <c r="B953" s="3"/>
    </row>
    <row r="954" spans="2:2" ht="112" hidden="1" customHeight="1" x14ac:dyDescent="0.25">
      <c r="B954" s="3"/>
    </row>
    <row r="955" spans="2:2" ht="112" hidden="1" customHeight="1" x14ac:dyDescent="0.25">
      <c r="B955" s="3"/>
    </row>
    <row r="956" spans="2:2" ht="112" hidden="1" customHeight="1" x14ac:dyDescent="0.25">
      <c r="B956" s="3"/>
    </row>
    <row r="957" spans="2:2" ht="112" hidden="1" customHeight="1" x14ac:dyDescent="0.25">
      <c r="B957" s="3"/>
    </row>
    <row r="958" spans="2:2" ht="112" hidden="1" customHeight="1" x14ac:dyDescent="0.25">
      <c r="B958" s="3"/>
    </row>
    <row r="959" spans="2:2" ht="112" hidden="1" customHeight="1" x14ac:dyDescent="0.25">
      <c r="B959" s="3"/>
    </row>
    <row r="960" spans="2:2" ht="112" hidden="1" customHeight="1" x14ac:dyDescent="0.25">
      <c r="B960" s="3"/>
    </row>
    <row r="961" spans="2:2" ht="112" hidden="1" customHeight="1" x14ac:dyDescent="0.25">
      <c r="B961" s="3"/>
    </row>
    <row r="962" spans="2:2" ht="112" hidden="1" customHeight="1" x14ac:dyDescent="0.25">
      <c r="B962" s="3"/>
    </row>
    <row r="963" spans="2:2" ht="112" hidden="1" customHeight="1" x14ac:dyDescent="0.25">
      <c r="B963" s="3"/>
    </row>
    <row r="964" spans="2:2" ht="112" hidden="1" customHeight="1" x14ac:dyDescent="0.25">
      <c r="B964" s="3"/>
    </row>
    <row r="965" spans="2:2" ht="112" hidden="1" customHeight="1" x14ac:dyDescent="0.25">
      <c r="B965" s="3"/>
    </row>
    <row r="966" spans="2:2" ht="112" hidden="1" customHeight="1" x14ac:dyDescent="0.25">
      <c r="B966" s="3"/>
    </row>
    <row r="967" spans="2:2" ht="112" hidden="1" customHeight="1" x14ac:dyDescent="0.25">
      <c r="B967" s="3"/>
    </row>
    <row r="968" spans="2:2" ht="112" hidden="1" customHeight="1" x14ac:dyDescent="0.25">
      <c r="B968" s="3"/>
    </row>
    <row r="969" spans="2:2" ht="112" hidden="1" customHeight="1" x14ac:dyDescent="0.25">
      <c r="B969" s="3"/>
    </row>
    <row r="970" spans="2:2" ht="112" hidden="1" customHeight="1" x14ac:dyDescent="0.25">
      <c r="B970" s="3"/>
    </row>
    <row r="971" spans="2:2" ht="112" hidden="1" customHeight="1" x14ac:dyDescent="0.25">
      <c r="B971" s="3"/>
    </row>
    <row r="972" spans="2:2" ht="112" hidden="1" customHeight="1" x14ac:dyDescent="0.25">
      <c r="B972" s="3"/>
    </row>
    <row r="973" spans="2:2" ht="112" hidden="1" customHeight="1" x14ac:dyDescent="0.25">
      <c r="B973" s="3"/>
    </row>
    <row r="974" spans="2:2" ht="112" hidden="1" customHeight="1" x14ac:dyDescent="0.25">
      <c r="B974" s="3"/>
    </row>
    <row r="975" spans="2:2" ht="112" hidden="1" customHeight="1" x14ac:dyDescent="0.25">
      <c r="B975" s="3"/>
    </row>
    <row r="976" spans="2:2" ht="112" hidden="1" customHeight="1" x14ac:dyDescent="0.25">
      <c r="B976" s="3"/>
    </row>
    <row r="977" spans="2:2" ht="112" hidden="1" customHeight="1" x14ac:dyDescent="0.25">
      <c r="B977" s="3"/>
    </row>
    <row r="978" spans="2:2" ht="112" hidden="1" customHeight="1" x14ac:dyDescent="0.25">
      <c r="B978" s="3"/>
    </row>
    <row r="979" spans="2:2" ht="112" hidden="1" customHeight="1" x14ac:dyDescent="0.25">
      <c r="B979" s="3"/>
    </row>
    <row r="980" spans="2:2" ht="112" hidden="1" customHeight="1" x14ac:dyDescent="0.25">
      <c r="B980" s="3"/>
    </row>
    <row r="981" spans="2:2" ht="112" hidden="1" customHeight="1" x14ac:dyDescent="0.25">
      <c r="B981" s="3"/>
    </row>
    <row r="982" spans="2:2" ht="112" hidden="1" customHeight="1" x14ac:dyDescent="0.25">
      <c r="B982" s="3"/>
    </row>
    <row r="983" spans="2:2" ht="112" hidden="1" customHeight="1" x14ac:dyDescent="0.25">
      <c r="B983" s="3"/>
    </row>
    <row r="984" spans="2:2" ht="112" hidden="1" customHeight="1" x14ac:dyDescent="0.25">
      <c r="B984" s="3"/>
    </row>
    <row r="985" spans="2:2" ht="112" hidden="1" customHeight="1" x14ac:dyDescent="0.25">
      <c r="B985" s="3"/>
    </row>
    <row r="986" spans="2:2" ht="112" hidden="1" customHeight="1" x14ac:dyDescent="0.25">
      <c r="B986" s="3"/>
    </row>
    <row r="987" spans="2:2" ht="112" hidden="1" customHeight="1" x14ac:dyDescent="0.25">
      <c r="B987" s="3"/>
    </row>
    <row r="988" spans="2:2" ht="112" hidden="1" customHeight="1" x14ac:dyDescent="0.25">
      <c r="B988" s="3"/>
    </row>
    <row r="989" spans="2:2" ht="112" hidden="1" customHeight="1" x14ac:dyDescent="0.25">
      <c r="B989" s="3"/>
    </row>
    <row r="990" spans="2:2" ht="112" hidden="1" customHeight="1" x14ac:dyDescent="0.25">
      <c r="B990" s="3"/>
    </row>
    <row r="991" spans="2:2" ht="112" hidden="1" customHeight="1" x14ac:dyDescent="0.25">
      <c r="B991" s="3"/>
    </row>
    <row r="992" spans="2:2" ht="112" hidden="1" customHeight="1" x14ac:dyDescent="0.25">
      <c r="B992" s="3"/>
    </row>
    <row r="993" spans="2:2" ht="112" hidden="1" customHeight="1" x14ac:dyDescent="0.25">
      <c r="B993" s="3"/>
    </row>
    <row r="994" spans="2:2" ht="112" hidden="1" customHeight="1" x14ac:dyDescent="0.25">
      <c r="B994" s="3"/>
    </row>
    <row r="995" spans="2:2" ht="112" hidden="1" customHeight="1" x14ac:dyDescent="0.25">
      <c r="B995" s="3"/>
    </row>
    <row r="996" spans="2:2" ht="112" hidden="1" customHeight="1" x14ac:dyDescent="0.25">
      <c r="B996" s="3"/>
    </row>
    <row r="997" spans="2:2" ht="112" hidden="1" customHeight="1" x14ac:dyDescent="0.25">
      <c r="B997" s="3"/>
    </row>
    <row r="998" spans="2:2" ht="112" hidden="1" customHeight="1" x14ac:dyDescent="0.25">
      <c r="B998" s="3"/>
    </row>
    <row r="999" spans="2:2" ht="112" hidden="1" customHeight="1" x14ac:dyDescent="0.25">
      <c r="B999" s="3"/>
    </row>
    <row r="1000" spans="2:2" ht="112" hidden="1" customHeight="1" x14ac:dyDescent="0.25">
      <c r="B1000" s="3"/>
    </row>
    <row r="1001" spans="2:2" ht="112" hidden="1" customHeight="1" x14ac:dyDescent="0.25">
      <c r="B1001" s="3"/>
    </row>
    <row r="1002" spans="2:2" ht="112" hidden="1" customHeight="1" x14ac:dyDescent="0.25">
      <c r="B1002" s="3"/>
    </row>
    <row r="1003" spans="2:2" ht="112" hidden="1" customHeight="1" x14ac:dyDescent="0.25">
      <c r="B1003" s="3"/>
    </row>
    <row r="1004" spans="2:2" ht="112" hidden="1" customHeight="1" x14ac:dyDescent="0.25">
      <c r="B1004" s="3"/>
    </row>
    <row r="1005" spans="2:2" ht="112" hidden="1" customHeight="1" x14ac:dyDescent="0.25">
      <c r="B1005" s="3"/>
    </row>
    <row r="1006" spans="2:2" ht="112" hidden="1" customHeight="1" x14ac:dyDescent="0.25">
      <c r="B1006" s="3"/>
    </row>
    <row r="1007" spans="2:2" ht="112" hidden="1" customHeight="1" x14ac:dyDescent="0.25">
      <c r="B1007" s="3"/>
    </row>
    <row r="1008" spans="2:2" ht="112" hidden="1" customHeight="1" x14ac:dyDescent="0.25">
      <c r="B1008" s="3"/>
    </row>
    <row r="1009" spans="2:2" ht="112" hidden="1" customHeight="1" x14ac:dyDescent="0.25">
      <c r="B1009" s="3"/>
    </row>
    <row r="1010" spans="2:2" ht="112" hidden="1" customHeight="1" x14ac:dyDescent="0.25">
      <c r="B1010" s="3"/>
    </row>
    <row r="1011" spans="2:2" ht="112" hidden="1" customHeight="1" x14ac:dyDescent="0.25">
      <c r="B1011" s="3"/>
    </row>
    <row r="1012" spans="2:2" ht="112" hidden="1" customHeight="1" x14ac:dyDescent="0.25">
      <c r="B1012" s="3"/>
    </row>
    <row r="1013" spans="2:2" ht="112" hidden="1" customHeight="1" x14ac:dyDescent="0.25">
      <c r="B1013" s="3"/>
    </row>
    <row r="1014" spans="2:2" ht="112" hidden="1" customHeight="1" x14ac:dyDescent="0.25">
      <c r="B1014" s="3"/>
    </row>
    <row r="1015" spans="2:2" ht="112" hidden="1" customHeight="1" x14ac:dyDescent="0.25">
      <c r="B1015" s="3"/>
    </row>
    <row r="1016" spans="2:2" ht="112" hidden="1" customHeight="1" x14ac:dyDescent="0.25">
      <c r="B1016" s="3"/>
    </row>
    <row r="1017" spans="2:2" ht="112" hidden="1" customHeight="1" x14ac:dyDescent="0.25">
      <c r="B1017" s="3"/>
    </row>
    <row r="1018" spans="2:2" ht="112" hidden="1" customHeight="1" x14ac:dyDescent="0.25">
      <c r="B1018" s="3"/>
    </row>
    <row r="1019" spans="2:2" ht="112" hidden="1" customHeight="1" x14ac:dyDescent="0.25">
      <c r="B1019" s="3"/>
    </row>
    <row r="1020" spans="2:2" ht="112" hidden="1" customHeight="1" x14ac:dyDescent="0.25">
      <c r="B1020" s="3"/>
    </row>
    <row r="1021" spans="2:2" ht="112" hidden="1" customHeight="1" x14ac:dyDescent="0.25">
      <c r="B1021" s="3"/>
    </row>
    <row r="1022" spans="2:2" ht="112" hidden="1" customHeight="1" x14ac:dyDescent="0.25">
      <c r="B1022" s="3"/>
    </row>
    <row r="1023" spans="2:2" ht="112" hidden="1" customHeight="1" x14ac:dyDescent="0.25">
      <c r="B1023" s="3"/>
    </row>
    <row r="1024" spans="2:2" ht="112" hidden="1" customHeight="1" x14ac:dyDescent="0.25">
      <c r="B1024" s="3"/>
    </row>
    <row r="1025" spans="2:2" ht="112" hidden="1" customHeight="1" x14ac:dyDescent="0.25">
      <c r="B1025" s="3"/>
    </row>
    <row r="1026" spans="2:2" ht="112" hidden="1" customHeight="1" x14ac:dyDescent="0.25">
      <c r="B1026" s="3"/>
    </row>
    <row r="1027" spans="2:2" ht="112" hidden="1" customHeight="1" x14ac:dyDescent="0.25">
      <c r="B1027" s="3"/>
    </row>
    <row r="1028" spans="2:2" ht="112" hidden="1" customHeight="1" x14ac:dyDescent="0.25">
      <c r="B1028" s="3"/>
    </row>
    <row r="1029" spans="2:2" ht="112" hidden="1" customHeight="1" x14ac:dyDescent="0.25">
      <c r="B1029" s="3"/>
    </row>
    <row r="1030" spans="2:2" ht="112" hidden="1" customHeight="1" x14ac:dyDescent="0.25">
      <c r="B1030" s="3"/>
    </row>
    <row r="1031" spans="2:2" ht="112" hidden="1" customHeight="1" x14ac:dyDescent="0.25">
      <c r="B1031" s="3"/>
    </row>
    <row r="1032" spans="2:2" ht="112" hidden="1" customHeight="1" x14ac:dyDescent="0.25">
      <c r="B1032" s="3"/>
    </row>
    <row r="1033" spans="2:2" ht="112" hidden="1" customHeight="1" x14ac:dyDescent="0.25">
      <c r="B1033" s="3"/>
    </row>
    <row r="1034" spans="2:2" ht="112" hidden="1" customHeight="1" x14ac:dyDescent="0.25">
      <c r="B1034" s="3"/>
    </row>
    <row r="1035" spans="2:2" ht="112" hidden="1" customHeight="1" x14ac:dyDescent="0.25">
      <c r="B1035" s="3"/>
    </row>
    <row r="1036" spans="2:2" ht="112" hidden="1" customHeight="1" x14ac:dyDescent="0.25">
      <c r="B1036" s="3"/>
    </row>
    <row r="1037" spans="2:2" ht="112" hidden="1" customHeight="1" x14ac:dyDescent="0.25">
      <c r="B1037" s="3"/>
    </row>
    <row r="1038" spans="2:2" ht="112" hidden="1" customHeight="1" x14ac:dyDescent="0.25">
      <c r="B1038" s="3"/>
    </row>
    <row r="1039" spans="2:2" ht="112" hidden="1" customHeight="1" x14ac:dyDescent="0.25">
      <c r="B1039" s="3"/>
    </row>
    <row r="1040" spans="2:2" ht="112" hidden="1" customHeight="1" x14ac:dyDescent="0.25">
      <c r="B1040" s="3"/>
    </row>
    <row r="1041" spans="2:2" ht="112" hidden="1" customHeight="1" x14ac:dyDescent="0.25">
      <c r="B1041" s="3"/>
    </row>
    <row r="1042" spans="2:2" ht="112" hidden="1" customHeight="1" x14ac:dyDescent="0.25">
      <c r="B1042" s="3"/>
    </row>
    <row r="1043" spans="2:2" ht="112" hidden="1" customHeight="1" x14ac:dyDescent="0.25">
      <c r="B1043" s="3"/>
    </row>
    <row r="1044" spans="2:2" ht="112" hidden="1" customHeight="1" x14ac:dyDescent="0.25">
      <c r="B1044" s="3"/>
    </row>
    <row r="1045" spans="2:2" ht="112" hidden="1" customHeight="1" x14ac:dyDescent="0.25">
      <c r="B1045" s="3"/>
    </row>
    <row r="1046" spans="2:2" ht="112" hidden="1" customHeight="1" x14ac:dyDescent="0.25">
      <c r="B1046" s="3"/>
    </row>
    <row r="1047" spans="2:2" ht="112" hidden="1" customHeight="1" x14ac:dyDescent="0.25">
      <c r="B1047" s="3"/>
    </row>
    <row r="1048" spans="2:2" ht="112" hidden="1" customHeight="1" x14ac:dyDescent="0.25">
      <c r="B1048" s="3"/>
    </row>
    <row r="1049" spans="2:2" ht="112" hidden="1" customHeight="1" x14ac:dyDescent="0.25">
      <c r="B1049" s="3"/>
    </row>
    <row r="1050" spans="2:2" ht="112" hidden="1" customHeight="1" x14ac:dyDescent="0.25">
      <c r="B1050" s="3"/>
    </row>
    <row r="1051" spans="2:2" ht="112" hidden="1" customHeight="1" x14ac:dyDescent="0.25">
      <c r="B1051" s="3"/>
    </row>
    <row r="1052" spans="2:2" ht="112" hidden="1" customHeight="1" x14ac:dyDescent="0.25">
      <c r="B1052" s="3"/>
    </row>
    <row r="1053" spans="2:2" ht="112" hidden="1" customHeight="1" x14ac:dyDescent="0.25">
      <c r="B1053" s="3"/>
    </row>
    <row r="1054" spans="2:2" ht="112" hidden="1" customHeight="1" x14ac:dyDescent="0.25">
      <c r="B1054" s="3"/>
    </row>
    <row r="1055" spans="2:2" ht="112" hidden="1" customHeight="1" x14ac:dyDescent="0.25">
      <c r="B1055" s="3"/>
    </row>
    <row r="1056" spans="2:2" ht="112" hidden="1" customHeight="1" x14ac:dyDescent="0.25">
      <c r="B1056" s="3"/>
    </row>
    <row r="1057" spans="2:2" ht="112" hidden="1" customHeight="1" x14ac:dyDescent="0.25">
      <c r="B1057" s="3"/>
    </row>
    <row r="1058" spans="2:2" ht="112" hidden="1" customHeight="1" x14ac:dyDescent="0.25">
      <c r="B1058" s="3"/>
    </row>
    <row r="1059" spans="2:2" ht="112" hidden="1" customHeight="1" x14ac:dyDescent="0.25">
      <c r="B1059" s="3"/>
    </row>
    <row r="1060" spans="2:2" ht="112" hidden="1" customHeight="1" x14ac:dyDescent="0.25">
      <c r="B1060" s="3"/>
    </row>
    <row r="1061" spans="2:2" ht="112" hidden="1" customHeight="1" x14ac:dyDescent="0.25">
      <c r="B1061" s="3"/>
    </row>
    <row r="1062" spans="2:2" ht="112" hidden="1" customHeight="1" x14ac:dyDescent="0.25">
      <c r="B1062" s="3"/>
    </row>
    <row r="1063" spans="2:2" ht="112" hidden="1" customHeight="1" x14ac:dyDescent="0.25">
      <c r="B1063" s="3"/>
    </row>
    <row r="1064" spans="2:2" ht="112" hidden="1" customHeight="1" x14ac:dyDescent="0.25">
      <c r="B1064" s="3"/>
    </row>
    <row r="1065" spans="2:2" ht="112" hidden="1" customHeight="1" x14ac:dyDescent="0.25">
      <c r="B1065" s="3"/>
    </row>
    <row r="1066" spans="2:2" ht="112" hidden="1" customHeight="1" x14ac:dyDescent="0.25">
      <c r="B1066" s="3"/>
    </row>
    <row r="1067" spans="2:2" ht="112" hidden="1" customHeight="1" x14ac:dyDescent="0.25">
      <c r="B1067" s="3"/>
    </row>
    <row r="1068" spans="2:2" ht="112" hidden="1" customHeight="1" x14ac:dyDescent="0.25">
      <c r="B1068" s="3"/>
    </row>
    <row r="1069" spans="2:2" ht="112" hidden="1" customHeight="1" x14ac:dyDescent="0.25">
      <c r="B1069" s="3"/>
    </row>
    <row r="1070" spans="2:2" ht="112" hidden="1" customHeight="1" x14ac:dyDescent="0.25">
      <c r="B1070" s="3"/>
    </row>
    <row r="1071" spans="2:2" ht="112" hidden="1" customHeight="1" x14ac:dyDescent="0.25">
      <c r="B1071" s="3"/>
    </row>
    <row r="1072" spans="2:2" ht="112" hidden="1" customHeight="1" x14ac:dyDescent="0.25">
      <c r="B1072" s="3"/>
    </row>
    <row r="1073" spans="2:2" ht="112" hidden="1" customHeight="1" x14ac:dyDescent="0.25">
      <c r="B1073" s="3"/>
    </row>
    <row r="1074" spans="2:2" ht="112" hidden="1" customHeight="1" x14ac:dyDescent="0.25">
      <c r="B1074" s="3"/>
    </row>
    <row r="1075" spans="2:2" ht="112" hidden="1" customHeight="1" x14ac:dyDescent="0.25">
      <c r="B1075" s="3"/>
    </row>
    <row r="1076" spans="2:2" ht="112" hidden="1" customHeight="1" x14ac:dyDescent="0.25">
      <c r="B1076" s="3"/>
    </row>
    <row r="1077" spans="2:2" ht="112" hidden="1" customHeight="1" x14ac:dyDescent="0.25">
      <c r="B1077" s="3"/>
    </row>
    <row r="1078" spans="2:2" ht="112" hidden="1" customHeight="1" x14ac:dyDescent="0.25">
      <c r="B1078" s="3"/>
    </row>
    <row r="1079" spans="2:2" ht="112" hidden="1" customHeight="1" x14ac:dyDescent="0.25">
      <c r="B1079" s="3"/>
    </row>
    <row r="1080" spans="2:2" ht="112" hidden="1" customHeight="1" x14ac:dyDescent="0.25">
      <c r="B1080" s="3"/>
    </row>
    <row r="1081" spans="2:2" ht="112" hidden="1" customHeight="1" x14ac:dyDescent="0.25">
      <c r="B1081" s="3"/>
    </row>
    <row r="1082" spans="2:2" ht="112" hidden="1" customHeight="1" x14ac:dyDescent="0.25">
      <c r="B1082" s="3"/>
    </row>
    <row r="1083" spans="2:2" ht="112" hidden="1" customHeight="1" x14ac:dyDescent="0.25">
      <c r="B1083" s="3"/>
    </row>
    <row r="1084" spans="2:2" ht="112" hidden="1" customHeight="1" x14ac:dyDescent="0.25">
      <c r="B1084" s="3"/>
    </row>
    <row r="1085" spans="2:2" ht="112" hidden="1" customHeight="1" x14ac:dyDescent="0.25">
      <c r="B1085" s="3"/>
    </row>
    <row r="1086" spans="2:2" ht="112" hidden="1" customHeight="1" x14ac:dyDescent="0.25">
      <c r="B1086" s="3"/>
    </row>
    <row r="1087" spans="2:2" ht="112" hidden="1" customHeight="1" x14ac:dyDescent="0.25">
      <c r="B1087" s="3"/>
    </row>
    <row r="1088" spans="2:2" ht="112" hidden="1" customHeight="1" x14ac:dyDescent="0.25">
      <c r="B1088" s="3"/>
    </row>
    <row r="1089" spans="2:2" ht="112" hidden="1" customHeight="1" x14ac:dyDescent="0.25">
      <c r="B1089" s="3"/>
    </row>
    <row r="1090" spans="2:2" ht="112" hidden="1" customHeight="1" x14ac:dyDescent="0.25">
      <c r="B1090" s="3"/>
    </row>
    <row r="1091" spans="2:2" ht="112" hidden="1" customHeight="1" x14ac:dyDescent="0.25">
      <c r="B1091" s="3"/>
    </row>
    <row r="1092" spans="2:2" ht="112" hidden="1" customHeight="1" x14ac:dyDescent="0.25">
      <c r="B1092" s="3"/>
    </row>
    <row r="1093" spans="2:2" ht="112" hidden="1" customHeight="1" x14ac:dyDescent="0.25">
      <c r="B1093" s="3"/>
    </row>
    <row r="1094" spans="2:2" ht="112" hidden="1" customHeight="1" x14ac:dyDescent="0.25">
      <c r="B1094" s="3"/>
    </row>
    <row r="1095" spans="2:2" ht="112" hidden="1" customHeight="1" x14ac:dyDescent="0.25">
      <c r="B1095" s="3"/>
    </row>
    <row r="1096" spans="2:2" ht="112" hidden="1" customHeight="1" x14ac:dyDescent="0.25">
      <c r="B1096" s="3"/>
    </row>
    <row r="1097" spans="2:2" ht="112" hidden="1" customHeight="1" x14ac:dyDescent="0.25">
      <c r="B1097" s="3"/>
    </row>
    <row r="1098" spans="2:2" ht="112" hidden="1" customHeight="1" x14ac:dyDescent="0.25">
      <c r="B1098" s="3"/>
    </row>
    <row r="1099" spans="2:2" ht="112" hidden="1" customHeight="1" x14ac:dyDescent="0.25">
      <c r="B1099" s="3"/>
    </row>
    <row r="1100" spans="2:2" ht="112" hidden="1" customHeight="1" x14ac:dyDescent="0.25">
      <c r="B1100" s="3"/>
    </row>
    <row r="1101" spans="2:2" ht="112" hidden="1" customHeight="1" x14ac:dyDescent="0.25">
      <c r="B1101" s="3"/>
    </row>
    <row r="1102" spans="2:2" ht="112" hidden="1" customHeight="1" x14ac:dyDescent="0.25">
      <c r="B1102" s="3"/>
    </row>
    <row r="1103" spans="2:2" ht="112" hidden="1" customHeight="1" x14ac:dyDescent="0.25">
      <c r="B1103" s="3"/>
    </row>
    <row r="1104" spans="2:2" ht="112" hidden="1" customHeight="1" x14ac:dyDescent="0.25">
      <c r="B1104" s="3"/>
    </row>
    <row r="1105" spans="2:2" ht="112" hidden="1" customHeight="1" x14ac:dyDescent="0.25">
      <c r="B1105" s="3"/>
    </row>
    <row r="1106" spans="2:2" ht="112" hidden="1" customHeight="1" x14ac:dyDescent="0.25">
      <c r="B1106" s="3"/>
    </row>
    <row r="1107" spans="2:2" ht="112" hidden="1" customHeight="1" x14ac:dyDescent="0.25">
      <c r="B1107" s="3"/>
    </row>
    <row r="1108" spans="2:2" ht="112" hidden="1" customHeight="1" x14ac:dyDescent="0.25">
      <c r="B1108" s="3"/>
    </row>
    <row r="1109" spans="2:2" ht="112" hidden="1" customHeight="1" x14ac:dyDescent="0.25">
      <c r="B1109" s="3"/>
    </row>
    <row r="1110" spans="2:2" ht="112" hidden="1" customHeight="1" x14ac:dyDescent="0.25">
      <c r="B1110" s="3"/>
    </row>
    <row r="1111" spans="2:2" ht="112" hidden="1" customHeight="1" x14ac:dyDescent="0.25">
      <c r="B1111" s="3"/>
    </row>
    <row r="1112" spans="2:2" ht="112" hidden="1" customHeight="1" x14ac:dyDescent="0.25">
      <c r="B1112" s="3"/>
    </row>
    <row r="1113" spans="2:2" ht="112" hidden="1" customHeight="1" x14ac:dyDescent="0.25">
      <c r="B1113" s="3"/>
    </row>
    <row r="1114" spans="2:2" ht="112" hidden="1" customHeight="1" x14ac:dyDescent="0.25">
      <c r="B1114" s="3"/>
    </row>
    <row r="1115" spans="2:2" ht="112" hidden="1" customHeight="1" x14ac:dyDescent="0.25">
      <c r="B1115" s="3"/>
    </row>
    <row r="1116" spans="2:2" ht="112" hidden="1" customHeight="1" x14ac:dyDescent="0.25">
      <c r="B1116" s="3"/>
    </row>
    <row r="1117" spans="2:2" ht="112" hidden="1" customHeight="1" x14ac:dyDescent="0.25">
      <c r="B1117" s="3"/>
    </row>
    <row r="1118" spans="2:2" ht="112" hidden="1" customHeight="1" x14ac:dyDescent="0.25">
      <c r="B1118" s="3"/>
    </row>
    <row r="1119" spans="2:2" ht="112" hidden="1" customHeight="1" x14ac:dyDescent="0.25">
      <c r="B1119" s="3"/>
    </row>
    <row r="1120" spans="2:2" ht="112" hidden="1" customHeight="1" x14ac:dyDescent="0.25">
      <c r="B1120" s="3"/>
    </row>
    <row r="1121" spans="2:2" ht="112" hidden="1" customHeight="1" x14ac:dyDescent="0.25">
      <c r="B1121" s="3"/>
    </row>
    <row r="1122" spans="2:2" ht="112" hidden="1" customHeight="1" x14ac:dyDescent="0.25">
      <c r="B1122" s="3"/>
    </row>
    <row r="1123" spans="2:2" ht="112" hidden="1" customHeight="1" x14ac:dyDescent="0.25">
      <c r="B1123" s="3"/>
    </row>
    <row r="1124" spans="2:2" ht="112" hidden="1" customHeight="1" x14ac:dyDescent="0.25">
      <c r="B1124" s="3"/>
    </row>
    <row r="1125" spans="2:2" ht="112" hidden="1" customHeight="1" x14ac:dyDescent="0.25">
      <c r="B1125" s="3"/>
    </row>
    <row r="1126" spans="2:2" ht="112" hidden="1" customHeight="1" x14ac:dyDescent="0.25">
      <c r="B1126" s="3"/>
    </row>
    <row r="1127" spans="2:2" ht="112" hidden="1" customHeight="1" x14ac:dyDescent="0.25">
      <c r="B1127" s="3"/>
    </row>
    <row r="1128" spans="2:2" ht="112" hidden="1" customHeight="1" x14ac:dyDescent="0.25">
      <c r="B1128" s="3"/>
    </row>
    <row r="1129" spans="2:2" ht="112" hidden="1" customHeight="1" x14ac:dyDescent="0.25">
      <c r="B1129" s="3"/>
    </row>
    <row r="1130" spans="2:2" ht="112" hidden="1" customHeight="1" x14ac:dyDescent="0.25">
      <c r="B1130" s="3"/>
    </row>
    <row r="1131" spans="2:2" ht="112" hidden="1" customHeight="1" x14ac:dyDescent="0.25">
      <c r="B1131" s="3"/>
    </row>
    <row r="1132" spans="2:2" ht="112" hidden="1" customHeight="1" x14ac:dyDescent="0.25">
      <c r="B1132" s="3"/>
    </row>
    <row r="1133" spans="2:2" ht="112" hidden="1" customHeight="1" x14ac:dyDescent="0.25">
      <c r="B1133" s="3"/>
    </row>
    <row r="1134" spans="2:2" ht="112" hidden="1" customHeight="1" x14ac:dyDescent="0.25">
      <c r="B1134" s="3"/>
    </row>
    <row r="1135" spans="2:2" ht="112" hidden="1" customHeight="1" x14ac:dyDescent="0.25">
      <c r="B1135" s="3"/>
    </row>
    <row r="1136" spans="2:2" ht="112" hidden="1" customHeight="1" x14ac:dyDescent="0.25">
      <c r="B1136" s="3"/>
    </row>
    <row r="1137" spans="2:2" ht="112" hidden="1" customHeight="1" x14ac:dyDescent="0.25">
      <c r="B1137" s="3"/>
    </row>
    <row r="1138" spans="2:2" ht="112" hidden="1" customHeight="1" x14ac:dyDescent="0.25">
      <c r="B1138" s="3"/>
    </row>
    <row r="1139" spans="2:2" ht="112" hidden="1" customHeight="1" x14ac:dyDescent="0.25">
      <c r="B1139" s="3"/>
    </row>
    <row r="1140" spans="2:2" ht="112" hidden="1" customHeight="1" x14ac:dyDescent="0.25">
      <c r="B1140" s="3"/>
    </row>
    <row r="1141" spans="2:2" ht="112" hidden="1" customHeight="1" x14ac:dyDescent="0.25">
      <c r="B1141" s="3"/>
    </row>
    <row r="1142" spans="2:2" ht="112" hidden="1" customHeight="1" x14ac:dyDescent="0.25">
      <c r="B1142" s="3"/>
    </row>
    <row r="1143" spans="2:2" ht="112" hidden="1" customHeight="1" x14ac:dyDescent="0.25">
      <c r="B1143" s="3"/>
    </row>
    <row r="1144" spans="2:2" ht="112" hidden="1" customHeight="1" x14ac:dyDescent="0.25">
      <c r="B1144" s="3"/>
    </row>
    <row r="1145" spans="2:2" ht="112" hidden="1" customHeight="1" x14ac:dyDescent="0.25">
      <c r="B1145" s="3"/>
    </row>
    <row r="1146" spans="2:2" ht="112" hidden="1" customHeight="1" x14ac:dyDescent="0.25">
      <c r="B1146" s="3"/>
    </row>
    <row r="1147" spans="2:2" ht="112" hidden="1" customHeight="1" x14ac:dyDescent="0.25">
      <c r="B1147" s="3"/>
    </row>
    <row r="1148" spans="2:2" ht="112" hidden="1" customHeight="1" x14ac:dyDescent="0.25">
      <c r="B1148" s="3"/>
    </row>
    <row r="1149" spans="2:2" ht="112" hidden="1" customHeight="1" x14ac:dyDescent="0.25">
      <c r="B1149" s="3"/>
    </row>
    <row r="1150" spans="2:2" ht="112" hidden="1" customHeight="1" x14ac:dyDescent="0.25">
      <c r="B1150" s="3"/>
    </row>
    <row r="1151" spans="2:2" ht="112" hidden="1" customHeight="1" x14ac:dyDescent="0.25">
      <c r="B1151" s="3"/>
    </row>
    <row r="1152" spans="2:2" ht="112" hidden="1" customHeight="1" x14ac:dyDescent="0.25">
      <c r="B1152" s="3"/>
    </row>
  </sheetData>
  <sheetProtection password="C036" sheet="1" deleteRows="0" autoFilter="0"/>
  <autoFilter ref="A1:B1152">
    <filterColumn colId="0">
      <customFilters>
        <customFilter operator="notEqual" val=" "/>
      </customFilters>
    </filterColumn>
  </autoFilter>
  <phoneticPr fontId="51" type="noConversion"/>
  <hyperlinks>
    <hyperlink ref="D1" display="_x000a_info@ebtex.com.cn"/>
  </hyperlinks>
  <pageMargins left="0.35433070866141736" right="0" top="0" bottom="0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oose_new_label_info">
          <controlPr defaultSize="0" autoLine="0" r:id="rId5">
            <anchor moveWithCells="1">
              <from>
                <xdr:col>4</xdr:col>
                <xdr:colOff>469900</xdr:colOff>
                <xdr:row>0</xdr:row>
                <xdr:rowOff>679450</xdr:rowOff>
              </from>
              <to>
                <xdr:col>6</xdr:col>
                <xdr:colOff>184150</xdr:colOff>
                <xdr:row>0</xdr:row>
                <xdr:rowOff>1079500</xdr:rowOff>
              </to>
            </anchor>
          </controlPr>
        </control>
      </mc:Choice>
      <mc:Fallback>
        <control shapeId="23553" r:id="rId4" name="choose_new_label_inf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D7205"/>
  <sheetViews>
    <sheetView tabSelected="1" zoomScale="70" zoomScaleNormal="70" workbookViewId="0">
      <pane ySplit="1" topLeftCell="A7201" activePane="bottomLeft" state="frozen"/>
      <selection pane="bottomLeft" activeCell="D7202" sqref="D7202"/>
    </sheetView>
  </sheetViews>
  <sheetFormatPr defaultRowHeight="112" customHeight="1" x14ac:dyDescent="0.25"/>
  <cols>
    <col min="1" max="1" width="13.90625" bestFit="1" customWidth="1"/>
    <col min="2" max="2" width="28.36328125" customWidth="1"/>
    <col min="3" max="4" width="21.36328125" customWidth="1"/>
  </cols>
  <sheetData>
    <row r="1" spans="1:4" ht="112" customHeight="1" x14ac:dyDescent="0.25">
      <c r="A1" t="s">
        <v>7</v>
      </c>
      <c r="B1" s="3" t="s">
        <v>12398</v>
      </c>
      <c r="C1" s="58" t="s">
        <v>7894</v>
      </c>
      <c r="D1" s="56"/>
    </row>
    <row r="2" spans="1:4" ht="82.5" hidden="1" customHeight="1" x14ac:dyDescent="0.25">
      <c r="A2" t="s">
        <v>8</v>
      </c>
      <c r="B2" s="3" t="s">
        <v>5859</v>
      </c>
    </row>
    <row r="3" spans="1:4" ht="112" hidden="1" customHeight="1" x14ac:dyDescent="0.25">
      <c r="A3" t="s">
        <v>9</v>
      </c>
      <c r="B3" s="3" t="s">
        <v>11185</v>
      </c>
    </row>
    <row r="4" spans="1:4" ht="112" hidden="1" customHeight="1" x14ac:dyDescent="0.25">
      <c r="A4" t="s">
        <v>10</v>
      </c>
      <c r="B4" s="3" t="s">
        <v>5860</v>
      </c>
    </row>
    <row r="5" spans="1:4" ht="112" hidden="1" customHeight="1" x14ac:dyDescent="0.25">
      <c r="A5" t="s">
        <v>11</v>
      </c>
      <c r="B5" s="3" t="s">
        <v>4784</v>
      </c>
    </row>
    <row r="6" spans="1:4" ht="112" hidden="1" customHeight="1" x14ac:dyDescent="0.25">
      <c r="A6" t="s">
        <v>12</v>
      </c>
      <c r="B6" s="3" t="s">
        <v>4785</v>
      </c>
    </row>
    <row r="7" spans="1:4" ht="112" hidden="1" customHeight="1" x14ac:dyDescent="0.25">
      <c r="A7" t="s">
        <v>13</v>
      </c>
      <c r="B7" s="3" t="s">
        <v>5861</v>
      </c>
    </row>
    <row r="8" spans="1:4" ht="112" hidden="1" customHeight="1" x14ac:dyDescent="0.25">
      <c r="A8" t="s">
        <v>15</v>
      </c>
      <c r="B8" s="3" t="s">
        <v>3249</v>
      </c>
    </row>
    <row r="9" spans="1:4" ht="112" hidden="1" customHeight="1" x14ac:dyDescent="0.25">
      <c r="A9" t="s">
        <v>16</v>
      </c>
      <c r="B9" s="3" t="s">
        <v>3250</v>
      </c>
    </row>
    <row r="10" spans="1:4" ht="112" hidden="1" customHeight="1" x14ac:dyDescent="0.25">
      <c r="A10" t="s">
        <v>20</v>
      </c>
      <c r="B10" s="3" t="s">
        <v>3251</v>
      </c>
    </row>
    <row r="11" spans="1:4" ht="112" hidden="1" customHeight="1" x14ac:dyDescent="0.25">
      <c r="A11" t="s">
        <v>21</v>
      </c>
      <c r="B11" s="3" t="s">
        <v>3252</v>
      </c>
    </row>
    <row r="12" spans="1:4" ht="112" hidden="1" customHeight="1" x14ac:dyDescent="0.25">
      <c r="A12" t="s">
        <v>22</v>
      </c>
      <c r="B12" s="3" t="s">
        <v>3253</v>
      </c>
    </row>
    <row r="13" spans="1:4" ht="112" hidden="1" customHeight="1" x14ac:dyDescent="0.25">
      <c r="A13" t="s">
        <v>23</v>
      </c>
      <c r="B13" s="3" t="s">
        <v>3254</v>
      </c>
    </row>
    <row r="14" spans="1:4" ht="112" hidden="1" customHeight="1" x14ac:dyDescent="0.25">
      <c r="A14" t="s">
        <v>24</v>
      </c>
      <c r="B14" s="3" t="s">
        <v>3255</v>
      </c>
    </row>
    <row r="15" spans="1:4" ht="112" hidden="1" customHeight="1" x14ac:dyDescent="0.25">
      <c r="A15" t="s">
        <v>25</v>
      </c>
      <c r="B15" s="3" t="s">
        <v>3256</v>
      </c>
    </row>
    <row r="16" spans="1:4" ht="112" hidden="1" customHeight="1" x14ac:dyDescent="0.25">
      <c r="A16" t="s">
        <v>26</v>
      </c>
      <c r="B16" s="3" t="s">
        <v>3257</v>
      </c>
    </row>
    <row r="17" spans="1:2" ht="112" hidden="1" customHeight="1" x14ac:dyDescent="0.25">
      <c r="A17" t="s">
        <v>27</v>
      </c>
      <c r="B17" s="3" t="s">
        <v>3258</v>
      </c>
    </row>
    <row r="18" spans="1:2" ht="112" hidden="1" customHeight="1" x14ac:dyDescent="0.25">
      <c r="A18" t="s">
        <v>28</v>
      </c>
      <c r="B18" s="3" t="s">
        <v>3259</v>
      </c>
    </row>
    <row r="19" spans="1:2" ht="112" hidden="1" customHeight="1" x14ac:dyDescent="0.25">
      <c r="A19" t="s">
        <v>29</v>
      </c>
      <c r="B19" s="3" t="s">
        <v>3260</v>
      </c>
    </row>
    <row r="20" spans="1:2" ht="112" hidden="1" customHeight="1" x14ac:dyDescent="0.25">
      <c r="A20" t="s">
        <v>30</v>
      </c>
      <c r="B20" s="3" t="s">
        <v>3261</v>
      </c>
    </row>
    <row r="21" spans="1:2" ht="112" hidden="1" customHeight="1" x14ac:dyDescent="0.25">
      <c r="A21" t="s">
        <v>31</v>
      </c>
      <c r="B21" s="3" t="s">
        <v>11048</v>
      </c>
    </row>
    <row r="22" spans="1:2" ht="112" hidden="1" customHeight="1" x14ac:dyDescent="0.25">
      <c r="A22" t="s">
        <v>32</v>
      </c>
      <c r="B22" s="3" t="s">
        <v>3262</v>
      </c>
    </row>
    <row r="23" spans="1:2" ht="112" hidden="1" customHeight="1" x14ac:dyDescent="0.25">
      <c r="A23" t="s">
        <v>33</v>
      </c>
      <c r="B23" s="3" t="s">
        <v>4757</v>
      </c>
    </row>
    <row r="24" spans="1:2" ht="112" hidden="1" customHeight="1" x14ac:dyDescent="0.25">
      <c r="A24" t="s">
        <v>34</v>
      </c>
      <c r="B24" s="3" t="s">
        <v>3263</v>
      </c>
    </row>
    <row r="25" spans="1:2" ht="112" hidden="1" customHeight="1" x14ac:dyDescent="0.25">
      <c r="A25" t="s">
        <v>35</v>
      </c>
      <c r="B25" s="3" t="s">
        <v>3264</v>
      </c>
    </row>
    <row r="26" spans="1:2" ht="112" hidden="1" customHeight="1" x14ac:dyDescent="0.25">
      <c r="A26" t="s">
        <v>37</v>
      </c>
      <c r="B26" s="3" t="s">
        <v>10819</v>
      </c>
    </row>
    <row r="27" spans="1:2" ht="112" hidden="1" customHeight="1" x14ac:dyDescent="0.25">
      <c r="A27" t="s">
        <v>42</v>
      </c>
      <c r="B27" s="3" t="s">
        <v>4786</v>
      </c>
    </row>
    <row r="28" spans="1:2" ht="112" hidden="1" customHeight="1" x14ac:dyDescent="0.25">
      <c r="A28" t="s">
        <v>43</v>
      </c>
      <c r="B28" s="3" t="s">
        <v>4787</v>
      </c>
    </row>
    <row r="29" spans="1:2" ht="112" hidden="1" customHeight="1" x14ac:dyDescent="0.25">
      <c r="A29" t="s">
        <v>46</v>
      </c>
      <c r="B29" s="3" t="s">
        <v>3265</v>
      </c>
    </row>
    <row r="30" spans="1:2" ht="112" hidden="1" customHeight="1" x14ac:dyDescent="0.25">
      <c r="A30" t="s">
        <v>47</v>
      </c>
      <c r="B30" s="3" t="s">
        <v>7697</v>
      </c>
    </row>
    <row r="31" spans="1:2" ht="112" hidden="1" customHeight="1" x14ac:dyDescent="0.25">
      <c r="A31" t="s">
        <v>48</v>
      </c>
      <c r="B31" s="3" t="s">
        <v>3266</v>
      </c>
    </row>
    <row r="32" spans="1:2" ht="112" hidden="1" customHeight="1" x14ac:dyDescent="0.25">
      <c r="A32" t="s">
        <v>49</v>
      </c>
      <c r="B32" s="3" t="s">
        <v>3267</v>
      </c>
    </row>
    <row r="33" spans="1:2" ht="112" hidden="1" customHeight="1" x14ac:dyDescent="0.25">
      <c r="A33" t="s">
        <v>50</v>
      </c>
      <c r="B33" s="3" t="s">
        <v>3268</v>
      </c>
    </row>
    <row r="34" spans="1:2" ht="112" hidden="1" customHeight="1" x14ac:dyDescent="0.25">
      <c r="A34" t="s">
        <v>51</v>
      </c>
      <c r="B34" s="3" t="s">
        <v>3269</v>
      </c>
    </row>
    <row r="35" spans="1:2" ht="112" hidden="1" customHeight="1" x14ac:dyDescent="0.25">
      <c r="A35" t="s">
        <v>52</v>
      </c>
      <c r="B35" s="3" t="s">
        <v>4788</v>
      </c>
    </row>
    <row r="36" spans="1:2" ht="112" hidden="1" customHeight="1" x14ac:dyDescent="0.25">
      <c r="A36" t="s">
        <v>53</v>
      </c>
      <c r="B36" s="3" t="s">
        <v>3270</v>
      </c>
    </row>
    <row r="37" spans="1:2" ht="112" hidden="1" customHeight="1" x14ac:dyDescent="0.25">
      <c r="A37" t="s">
        <v>54</v>
      </c>
      <c r="B37" s="3" t="s">
        <v>4789</v>
      </c>
    </row>
    <row r="38" spans="1:2" ht="112" hidden="1" customHeight="1" x14ac:dyDescent="0.25">
      <c r="A38" t="s">
        <v>55</v>
      </c>
      <c r="B38" s="3" t="s">
        <v>4790</v>
      </c>
    </row>
    <row r="39" spans="1:2" ht="112" hidden="1" customHeight="1" x14ac:dyDescent="0.25">
      <c r="A39" t="s">
        <v>56</v>
      </c>
      <c r="B39" s="3" t="s">
        <v>4791</v>
      </c>
    </row>
    <row r="40" spans="1:2" ht="112" hidden="1" customHeight="1" x14ac:dyDescent="0.25">
      <c r="A40" t="s">
        <v>57</v>
      </c>
      <c r="B40" s="3" t="s">
        <v>4792</v>
      </c>
    </row>
    <row r="41" spans="1:2" ht="112" hidden="1" customHeight="1" x14ac:dyDescent="0.25">
      <c r="A41" t="s">
        <v>58</v>
      </c>
      <c r="B41" s="3" t="s">
        <v>4793</v>
      </c>
    </row>
    <row r="42" spans="1:2" ht="112" hidden="1" customHeight="1" x14ac:dyDescent="0.25">
      <c r="A42" t="s">
        <v>59</v>
      </c>
      <c r="B42" s="3" t="s">
        <v>5862</v>
      </c>
    </row>
    <row r="43" spans="1:2" ht="112" hidden="1" customHeight="1" x14ac:dyDescent="0.25">
      <c r="A43" t="s">
        <v>60</v>
      </c>
      <c r="B43" s="3" t="s">
        <v>4794</v>
      </c>
    </row>
    <row r="44" spans="1:2" ht="112" hidden="1" customHeight="1" x14ac:dyDescent="0.25">
      <c r="A44" t="s">
        <v>61</v>
      </c>
      <c r="B44" s="3" t="s">
        <v>4795</v>
      </c>
    </row>
    <row r="45" spans="1:2" ht="112" hidden="1" customHeight="1" x14ac:dyDescent="0.25">
      <c r="A45" t="s">
        <v>62</v>
      </c>
      <c r="B45" s="3" t="s">
        <v>4796</v>
      </c>
    </row>
    <row r="46" spans="1:2" ht="112" hidden="1" customHeight="1" x14ac:dyDescent="0.25">
      <c r="A46" t="s">
        <v>63</v>
      </c>
      <c r="B46" s="3" t="s">
        <v>4797</v>
      </c>
    </row>
    <row r="47" spans="1:2" ht="112" hidden="1" customHeight="1" x14ac:dyDescent="0.25">
      <c r="A47" t="s">
        <v>67</v>
      </c>
      <c r="B47" s="3" t="s">
        <v>5412</v>
      </c>
    </row>
    <row r="48" spans="1:2" ht="112" hidden="1" customHeight="1" x14ac:dyDescent="0.25">
      <c r="A48" t="s">
        <v>68</v>
      </c>
      <c r="B48" s="3" t="s">
        <v>4798</v>
      </c>
    </row>
    <row r="49" spans="1:2" ht="112" hidden="1" customHeight="1" x14ac:dyDescent="0.25">
      <c r="A49" t="s">
        <v>69</v>
      </c>
      <c r="B49" s="3" t="s">
        <v>7698</v>
      </c>
    </row>
    <row r="50" spans="1:2" ht="112" hidden="1" customHeight="1" x14ac:dyDescent="0.25">
      <c r="A50" t="s">
        <v>70</v>
      </c>
      <c r="B50" s="3" t="s">
        <v>7699</v>
      </c>
    </row>
    <row r="51" spans="1:2" ht="112" hidden="1" customHeight="1" x14ac:dyDescent="0.25">
      <c r="A51" t="s">
        <v>71</v>
      </c>
      <c r="B51" s="3" t="s">
        <v>3271</v>
      </c>
    </row>
    <row r="52" spans="1:2" ht="112" hidden="1" customHeight="1" x14ac:dyDescent="0.25">
      <c r="A52" t="s">
        <v>72</v>
      </c>
      <c r="B52" s="3" t="s">
        <v>3272</v>
      </c>
    </row>
    <row r="53" spans="1:2" ht="112" hidden="1" customHeight="1" x14ac:dyDescent="0.25">
      <c r="A53" t="s">
        <v>73</v>
      </c>
      <c r="B53" s="3" t="s">
        <v>5413</v>
      </c>
    </row>
    <row r="54" spans="1:2" ht="112" hidden="1" customHeight="1" x14ac:dyDescent="0.25">
      <c r="A54" t="s">
        <v>74</v>
      </c>
      <c r="B54" s="3" t="s">
        <v>3273</v>
      </c>
    </row>
    <row r="55" spans="1:2" ht="112" hidden="1" customHeight="1" x14ac:dyDescent="0.25">
      <c r="A55" t="s">
        <v>76</v>
      </c>
      <c r="B55" s="3" t="s">
        <v>3274</v>
      </c>
    </row>
    <row r="56" spans="1:2" ht="112" hidden="1" customHeight="1" x14ac:dyDescent="0.25">
      <c r="A56" t="s">
        <v>77</v>
      </c>
      <c r="B56" s="3" t="s">
        <v>4799</v>
      </c>
    </row>
    <row r="57" spans="1:2" ht="112" hidden="1" customHeight="1" x14ac:dyDescent="0.25">
      <c r="A57" t="s">
        <v>78</v>
      </c>
      <c r="B57" s="3" t="s">
        <v>4800</v>
      </c>
    </row>
    <row r="58" spans="1:2" ht="112" hidden="1" customHeight="1" x14ac:dyDescent="0.25">
      <c r="A58" t="s">
        <v>80</v>
      </c>
      <c r="B58" s="3" t="s">
        <v>3275</v>
      </c>
    </row>
    <row r="59" spans="1:2" ht="112" hidden="1" customHeight="1" x14ac:dyDescent="0.25">
      <c r="A59" t="s">
        <v>81</v>
      </c>
      <c r="B59" s="3" t="s">
        <v>3276</v>
      </c>
    </row>
    <row r="60" spans="1:2" ht="112" hidden="1" customHeight="1" x14ac:dyDescent="0.25">
      <c r="A60" t="s">
        <v>82</v>
      </c>
      <c r="B60" s="3" t="s">
        <v>3277</v>
      </c>
    </row>
    <row r="61" spans="1:2" ht="112" hidden="1" customHeight="1" x14ac:dyDescent="0.25">
      <c r="A61" t="s">
        <v>83</v>
      </c>
      <c r="B61" s="3" t="s">
        <v>3278</v>
      </c>
    </row>
    <row r="62" spans="1:2" ht="112" hidden="1" customHeight="1" x14ac:dyDescent="0.25">
      <c r="A62" t="s">
        <v>85</v>
      </c>
      <c r="B62" s="3" t="s">
        <v>3279</v>
      </c>
    </row>
    <row r="63" spans="1:2" ht="112" hidden="1" customHeight="1" x14ac:dyDescent="0.25">
      <c r="A63" t="s">
        <v>86</v>
      </c>
      <c r="B63" s="3" t="s">
        <v>3280</v>
      </c>
    </row>
    <row r="64" spans="1:2" ht="112" hidden="1" customHeight="1" x14ac:dyDescent="0.25">
      <c r="A64" t="s">
        <v>87</v>
      </c>
      <c r="B64" s="3" t="s">
        <v>3281</v>
      </c>
    </row>
    <row r="65" spans="1:2" ht="112" hidden="1" customHeight="1" x14ac:dyDescent="0.25">
      <c r="A65" t="s">
        <v>88</v>
      </c>
      <c r="B65" s="3" t="s">
        <v>3282</v>
      </c>
    </row>
    <row r="66" spans="1:2" ht="112" hidden="1" customHeight="1" x14ac:dyDescent="0.25">
      <c r="A66" t="s">
        <v>89</v>
      </c>
      <c r="B66" s="3" t="s">
        <v>3283</v>
      </c>
    </row>
    <row r="67" spans="1:2" ht="112" hidden="1" customHeight="1" x14ac:dyDescent="0.25">
      <c r="A67" t="s">
        <v>90</v>
      </c>
      <c r="B67" s="3" t="s">
        <v>5863</v>
      </c>
    </row>
    <row r="68" spans="1:2" ht="112" hidden="1" customHeight="1" x14ac:dyDescent="0.25">
      <c r="A68" t="s">
        <v>91</v>
      </c>
      <c r="B68" s="3" t="s">
        <v>4801</v>
      </c>
    </row>
    <row r="69" spans="1:2" ht="112" hidden="1" customHeight="1" x14ac:dyDescent="0.25">
      <c r="A69" t="s">
        <v>92</v>
      </c>
      <c r="B69" s="3" t="s">
        <v>4802</v>
      </c>
    </row>
    <row r="70" spans="1:2" ht="112" hidden="1" customHeight="1" x14ac:dyDescent="0.25">
      <c r="A70" t="s">
        <v>93</v>
      </c>
      <c r="B70" s="3" t="s">
        <v>5864</v>
      </c>
    </row>
    <row r="71" spans="1:2" ht="112" hidden="1" customHeight="1" x14ac:dyDescent="0.25">
      <c r="A71" t="s">
        <v>94</v>
      </c>
      <c r="B71" s="3" t="s">
        <v>3284</v>
      </c>
    </row>
    <row r="72" spans="1:2" ht="112" hidden="1" customHeight="1" x14ac:dyDescent="0.25">
      <c r="A72" t="s">
        <v>95</v>
      </c>
      <c r="B72" s="3" t="s">
        <v>3285</v>
      </c>
    </row>
    <row r="73" spans="1:2" ht="112" hidden="1" customHeight="1" x14ac:dyDescent="0.25">
      <c r="A73" t="s">
        <v>96</v>
      </c>
      <c r="B73" s="3" t="s">
        <v>5865</v>
      </c>
    </row>
    <row r="74" spans="1:2" ht="112" hidden="1" customHeight="1" x14ac:dyDescent="0.25">
      <c r="A74" t="s">
        <v>97</v>
      </c>
      <c r="B74" s="3" t="s">
        <v>3286</v>
      </c>
    </row>
    <row r="75" spans="1:2" ht="112" hidden="1" customHeight="1" x14ac:dyDescent="0.25">
      <c r="A75" t="s">
        <v>98</v>
      </c>
      <c r="B75" s="3" t="s">
        <v>5866</v>
      </c>
    </row>
    <row r="76" spans="1:2" ht="112" hidden="1" customHeight="1" x14ac:dyDescent="0.25">
      <c r="A76" t="s">
        <v>99</v>
      </c>
      <c r="B76" s="3" t="s">
        <v>3287</v>
      </c>
    </row>
    <row r="77" spans="1:2" ht="112" hidden="1" customHeight="1" x14ac:dyDescent="0.25">
      <c r="A77" t="s">
        <v>100</v>
      </c>
      <c r="B77" s="3" t="s">
        <v>3288</v>
      </c>
    </row>
    <row r="78" spans="1:2" ht="112" hidden="1" customHeight="1" x14ac:dyDescent="0.25">
      <c r="A78" t="s">
        <v>101</v>
      </c>
      <c r="B78" s="3" t="s">
        <v>3289</v>
      </c>
    </row>
    <row r="79" spans="1:2" ht="112" hidden="1" customHeight="1" x14ac:dyDescent="0.25">
      <c r="A79" t="s">
        <v>102</v>
      </c>
      <c r="B79" s="3" t="s">
        <v>3290</v>
      </c>
    </row>
    <row r="80" spans="1:2" ht="112" hidden="1" customHeight="1" x14ac:dyDescent="0.25">
      <c r="A80" t="s">
        <v>103</v>
      </c>
      <c r="B80" s="3" t="s">
        <v>3291</v>
      </c>
    </row>
    <row r="81" spans="1:2" ht="112" hidden="1" customHeight="1" x14ac:dyDescent="0.25">
      <c r="A81" t="s">
        <v>104</v>
      </c>
      <c r="B81" s="3" t="s">
        <v>3292</v>
      </c>
    </row>
    <row r="82" spans="1:2" ht="112" hidden="1" customHeight="1" x14ac:dyDescent="0.25">
      <c r="A82" t="s">
        <v>105</v>
      </c>
      <c r="B82" s="3" t="s">
        <v>3293</v>
      </c>
    </row>
    <row r="83" spans="1:2" ht="112" hidden="1" customHeight="1" x14ac:dyDescent="0.25">
      <c r="A83" t="s">
        <v>106</v>
      </c>
      <c r="B83" s="3" t="s">
        <v>3294</v>
      </c>
    </row>
    <row r="84" spans="1:2" ht="112" hidden="1" customHeight="1" x14ac:dyDescent="0.25">
      <c r="A84" t="s">
        <v>108</v>
      </c>
      <c r="B84" s="3" t="s">
        <v>5867</v>
      </c>
    </row>
    <row r="85" spans="1:2" ht="112" hidden="1" customHeight="1" x14ac:dyDescent="0.25">
      <c r="A85" t="s">
        <v>109</v>
      </c>
      <c r="B85" s="3" t="s">
        <v>5868</v>
      </c>
    </row>
    <row r="86" spans="1:2" ht="112" hidden="1" customHeight="1" x14ac:dyDescent="0.25">
      <c r="A86" t="s">
        <v>110</v>
      </c>
      <c r="B86" s="3" t="s">
        <v>5869</v>
      </c>
    </row>
    <row r="87" spans="1:2" ht="112" hidden="1" customHeight="1" x14ac:dyDescent="0.25">
      <c r="A87" t="s">
        <v>111</v>
      </c>
      <c r="B87" s="3" t="s">
        <v>3295</v>
      </c>
    </row>
    <row r="88" spans="1:2" ht="112" hidden="1" customHeight="1" x14ac:dyDescent="0.25">
      <c r="A88" t="s">
        <v>112</v>
      </c>
      <c r="B88" s="3" t="s">
        <v>4803</v>
      </c>
    </row>
    <row r="89" spans="1:2" ht="112" hidden="1" customHeight="1" x14ac:dyDescent="0.25">
      <c r="A89" t="s">
        <v>113</v>
      </c>
      <c r="B89" s="3" t="s">
        <v>4804</v>
      </c>
    </row>
    <row r="90" spans="1:2" ht="112" hidden="1" customHeight="1" x14ac:dyDescent="0.25">
      <c r="A90" t="s">
        <v>114</v>
      </c>
      <c r="B90" s="3" t="s">
        <v>4805</v>
      </c>
    </row>
    <row r="91" spans="1:2" ht="112" hidden="1" customHeight="1" x14ac:dyDescent="0.25">
      <c r="A91" t="s">
        <v>115</v>
      </c>
      <c r="B91" s="3" t="s">
        <v>4806</v>
      </c>
    </row>
    <row r="92" spans="1:2" ht="112" hidden="1" customHeight="1" x14ac:dyDescent="0.25">
      <c r="A92" t="s">
        <v>116</v>
      </c>
      <c r="B92" s="3" t="s">
        <v>4807</v>
      </c>
    </row>
    <row r="93" spans="1:2" ht="112" hidden="1" customHeight="1" x14ac:dyDescent="0.25">
      <c r="A93" t="s">
        <v>117</v>
      </c>
      <c r="B93" s="3" t="s">
        <v>4808</v>
      </c>
    </row>
    <row r="94" spans="1:2" ht="112" hidden="1" customHeight="1" x14ac:dyDescent="0.25">
      <c r="A94" t="s">
        <v>118</v>
      </c>
      <c r="B94" s="3" t="s">
        <v>4809</v>
      </c>
    </row>
    <row r="95" spans="1:2" ht="112" hidden="1" customHeight="1" x14ac:dyDescent="0.25">
      <c r="A95" t="s">
        <v>120</v>
      </c>
      <c r="B95" s="3" t="s">
        <v>4810</v>
      </c>
    </row>
    <row r="96" spans="1:2" ht="112" hidden="1" customHeight="1" x14ac:dyDescent="0.25">
      <c r="A96" t="s">
        <v>121</v>
      </c>
      <c r="B96" s="3" t="s">
        <v>4811</v>
      </c>
    </row>
    <row r="97" spans="1:2" ht="112" hidden="1" customHeight="1" x14ac:dyDescent="0.25">
      <c r="A97" t="s">
        <v>122</v>
      </c>
      <c r="B97" s="3" t="s">
        <v>4812</v>
      </c>
    </row>
    <row r="98" spans="1:2" ht="112" hidden="1" customHeight="1" x14ac:dyDescent="0.25">
      <c r="A98" t="s">
        <v>123</v>
      </c>
      <c r="B98" s="3" t="s">
        <v>4813</v>
      </c>
    </row>
    <row r="99" spans="1:2" ht="112" hidden="1" customHeight="1" x14ac:dyDescent="0.25">
      <c r="A99" t="s">
        <v>125</v>
      </c>
      <c r="B99" s="3" t="s">
        <v>3296</v>
      </c>
    </row>
    <row r="100" spans="1:2" ht="112" hidden="1" customHeight="1" x14ac:dyDescent="0.25">
      <c r="A100" t="s">
        <v>126</v>
      </c>
      <c r="B100" s="3" t="s">
        <v>3297</v>
      </c>
    </row>
    <row r="101" spans="1:2" ht="112" hidden="1" customHeight="1" x14ac:dyDescent="0.25">
      <c r="A101" t="s">
        <v>127</v>
      </c>
      <c r="B101" s="3" t="s">
        <v>3298</v>
      </c>
    </row>
    <row r="102" spans="1:2" ht="112" hidden="1" customHeight="1" x14ac:dyDescent="0.25">
      <c r="A102" t="s">
        <v>128</v>
      </c>
      <c r="B102" s="3" t="s">
        <v>3299</v>
      </c>
    </row>
    <row r="103" spans="1:2" ht="112" hidden="1" customHeight="1" x14ac:dyDescent="0.25">
      <c r="A103" t="s">
        <v>129</v>
      </c>
      <c r="B103" s="3" t="s">
        <v>3300</v>
      </c>
    </row>
    <row r="104" spans="1:2" ht="112" hidden="1" customHeight="1" x14ac:dyDescent="0.25">
      <c r="A104" t="s">
        <v>130</v>
      </c>
      <c r="B104" s="3" t="s">
        <v>4814</v>
      </c>
    </row>
    <row r="105" spans="1:2" ht="112" hidden="1" customHeight="1" x14ac:dyDescent="0.25">
      <c r="A105" t="s">
        <v>131</v>
      </c>
      <c r="B105" s="3" t="s">
        <v>3301</v>
      </c>
    </row>
    <row r="106" spans="1:2" ht="112" hidden="1" customHeight="1" x14ac:dyDescent="0.25">
      <c r="A106" t="s">
        <v>132</v>
      </c>
      <c r="B106" s="3" t="s">
        <v>4815</v>
      </c>
    </row>
    <row r="107" spans="1:2" ht="112" hidden="1" customHeight="1" x14ac:dyDescent="0.25">
      <c r="A107" t="s">
        <v>133</v>
      </c>
      <c r="B107" s="3" t="s">
        <v>4816</v>
      </c>
    </row>
    <row r="108" spans="1:2" ht="112" hidden="1" customHeight="1" x14ac:dyDescent="0.25">
      <c r="A108" t="s">
        <v>134</v>
      </c>
      <c r="B108" s="3" t="s">
        <v>4817</v>
      </c>
    </row>
    <row r="109" spans="1:2" ht="112" hidden="1" customHeight="1" x14ac:dyDescent="0.25">
      <c r="A109" t="s">
        <v>135</v>
      </c>
      <c r="B109" s="3" t="s">
        <v>3302</v>
      </c>
    </row>
    <row r="110" spans="1:2" ht="112" hidden="1" customHeight="1" x14ac:dyDescent="0.25">
      <c r="A110" t="s">
        <v>136</v>
      </c>
      <c r="B110" s="3" t="s">
        <v>4818</v>
      </c>
    </row>
    <row r="111" spans="1:2" ht="112" hidden="1" customHeight="1" x14ac:dyDescent="0.25">
      <c r="A111" t="s">
        <v>137</v>
      </c>
      <c r="B111" s="3" t="s">
        <v>4819</v>
      </c>
    </row>
    <row r="112" spans="1:2" ht="112" hidden="1" customHeight="1" x14ac:dyDescent="0.25">
      <c r="A112" t="s">
        <v>138</v>
      </c>
      <c r="B112" s="3" t="s">
        <v>4820</v>
      </c>
    </row>
    <row r="113" spans="1:2" ht="112" hidden="1" customHeight="1" x14ac:dyDescent="0.25">
      <c r="A113" t="s">
        <v>139</v>
      </c>
      <c r="B113" s="3" t="s">
        <v>4821</v>
      </c>
    </row>
    <row r="114" spans="1:2" ht="112" hidden="1" customHeight="1" x14ac:dyDescent="0.25">
      <c r="A114" t="s">
        <v>140</v>
      </c>
      <c r="B114" s="3" t="s">
        <v>4822</v>
      </c>
    </row>
    <row r="115" spans="1:2" ht="112" hidden="1" customHeight="1" x14ac:dyDescent="0.25">
      <c r="A115" t="s">
        <v>141</v>
      </c>
      <c r="B115" s="3" t="s">
        <v>4823</v>
      </c>
    </row>
    <row r="116" spans="1:2" ht="112" hidden="1" customHeight="1" x14ac:dyDescent="0.25">
      <c r="A116" t="s">
        <v>142</v>
      </c>
      <c r="B116" s="3" t="s">
        <v>4824</v>
      </c>
    </row>
    <row r="117" spans="1:2" ht="112" hidden="1" customHeight="1" x14ac:dyDescent="0.25">
      <c r="A117" t="s">
        <v>143</v>
      </c>
      <c r="B117" s="3" t="s">
        <v>4825</v>
      </c>
    </row>
    <row r="118" spans="1:2" ht="112" hidden="1" customHeight="1" x14ac:dyDescent="0.25">
      <c r="A118" t="s">
        <v>144</v>
      </c>
      <c r="B118" s="3" t="s">
        <v>4826</v>
      </c>
    </row>
    <row r="119" spans="1:2" ht="112" hidden="1" customHeight="1" x14ac:dyDescent="0.25">
      <c r="A119" t="s">
        <v>145</v>
      </c>
      <c r="B119" s="3" t="s">
        <v>4827</v>
      </c>
    </row>
    <row r="120" spans="1:2" ht="112" hidden="1" customHeight="1" x14ac:dyDescent="0.25">
      <c r="A120" t="s">
        <v>146</v>
      </c>
      <c r="B120" s="3" t="s">
        <v>4828</v>
      </c>
    </row>
    <row r="121" spans="1:2" ht="112" hidden="1" customHeight="1" x14ac:dyDescent="0.25">
      <c r="A121" t="s">
        <v>147</v>
      </c>
      <c r="B121" s="3" t="s">
        <v>4829</v>
      </c>
    </row>
    <row r="122" spans="1:2" ht="112" hidden="1" customHeight="1" x14ac:dyDescent="0.25">
      <c r="A122" t="s">
        <v>148</v>
      </c>
      <c r="B122" s="3" t="s">
        <v>4830</v>
      </c>
    </row>
    <row r="123" spans="1:2" ht="112" hidden="1" customHeight="1" x14ac:dyDescent="0.25">
      <c r="A123" t="s">
        <v>149</v>
      </c>
      <c r="B123" s="3" t="s">
        <v>4831</v>
      </c>
    </row>
    <row r="124" spans="1:2" ht="112" hidden="1" customHeight="1" x14ac:dyDescent="0.25">
      <c r="A124" t="s">
        <v>150</v>
      </c>
      <c r="B124" s="3" t="s">
        <v>4832</v>
      </c>
    </row>
    <row r="125" spans="1:2" ht="112" hidden="1" customHeight="1" x14ac:dyDescent="0.25">
      <c r="A125" t="s">
        <v>151</v>
      </c>
      <c r="B125" s="3" t="s">
        <v>4833</v>
      </c>
    </row>
    <row r="126" spans="1:2" ht="112" hidden="1" customHeight="1" x14ac:dyDescent="0.25">
      <c r="A126" t="s">
        <v>152</v>
      </c>
      <c r="B126" s="3" t="s">
        <v>4834</v>
      </c>
    </row>
    <row r="127" spans="1:2" ht="112" hidden="1" customHeight="1" x14ac:dyDescent="0.25">
      <c r="A127" t="s">
        <v>153</v>
      </c>
      <c r="B127" s="3" t="s">
        <v>7453</v>
      </c>
    </row>
    <row r="128" spans="1:2" ht="112" hidden="1" customHeight="1" x14ac:dyDescent="0.25">
      <c r="A128" t="s">
        <v>154</v>
      </c>
      <c r="B128" s="3" t="s">
        <v>4835</v>
      </c>
    </row>
    <row r="129" spans="1:2" ht="112" hidden="1" customHeight="1" x14ac:dyDescent="0.25">
      <c r="A129" t="s">
        <v>155</v>
      </c>
      <c r="B129" s="3" t="s">
        <v>4836</v>
      </c>
    </row>
    <row r="130" spans="1:2" ht="112" hidden="1" customHeight="1" x14ac:dyDescent="0.25">
      <c r="A130" t="s">
        <v>156</v>
      </c>
      <c r="B130" s="3" t="s">
        <v>4837</v>
      </c>
    </row>
    <row r="131" spans="1:2" ht="112" hidden="1" customHeight="1" x14ac:dyDescent="0.25">
      <c r="A131" t="s">
        <v>157</v>
      </c>
      <c r="B131" s="3" t="s">
        <v>4838</v>
      </c>
    </row>
    <row r="132" spans="1:2" ht="112" hidden="1" customHeight="1" x14ac:dyDescent="0.25">
      <c r="A132" t="s">
        <v>158</v>
      </c>
      <c r="B132" s="3" t="s">
        <v>7454</v>
      </c>
    </row>
    <row r="133" spans="1:2" ht="112" hidden="1" customHeight="1" x14ac:dyDescent="0.25">
      <c r="A133" t="s">
        <v>159</v>
      </c>
      <c r="B133" s="3" t="s">
        <v>4839</v>
      </c>
    </row>
    <row r="134" spans="1:2" ht="112" hidden="1" customHeight="1" x14ac:dyDescent="0.25">
      <c r="A134" t="s">
        <v>160</v>
      </c>
      <c r="B134" s="3" t="s">
        <v>4840</v>
      </c>
    </row>
    <row r="135" spans="1:2" ht="112" hidden="1" customHeight="1" x14ac:dyDescent="0.25">
      <c r="A135" t="s">
        <v>161</v>
      </c>
      <c r="B135" s="3" t="s">
        <v>4841</v>
      </c>
    </row>
    <row r="136" spans="1:2" ht="112" hidden="1" customHeight="1" x14ac:dyDescent="0.25">
      <c r="A136" t="s">
        <v>162</v>
      </c>
      <c r="B136" s="3" t="s">
        <v>4842</v>
      </c>
    </row>
    <row r="137" spans="1:2" ht="112" hidden="1" customHeight="1" x14ac:dyDescent="0.25">
      <c r="A137" t="s">
        <v>163</v>
      </c>
      <c r="B137" s="3" t="s">
        <v>4843</v>
      </c>
    </row>
    <row r="138" spans="1:2" ht="112" hidden="1" customHeight="1" x14ac:dyDescent="0.25">
      <c r="A138" t="s">
        <v>164</v>
      </c>
      <c r="B138" s="3" t="s">
        <v>4844</v>
      </c>
    </row>
    <row r="139" spans="1:2" ht="112" hidden="1" customHeight="1" x14ac:dyDescent="0.25">
      <c r="A139" t="s">
        <v>165</v>
      </c>
      <c r="B139" s="3" t="s">
        <v>4845</v>
      </c>
    </row>
    <row r="140" spans="1:2" ht="112" hidden="1" customHeight="1" x14ac:dyDescent="0.25">
      <c r="A140" t="s">
        <v>166</v>
      </c>
      <c r="B140" s="3" t="s">
        <v>4846</v>
      </c>
    </row>
    <row r="141" spans="1:2" ht="112" hidden="1" customHeight="1" x14ac:dyDescent="0.25">
      <c r="A141" t="s">
        <v>167</v>
      </c>
      <c r="B141" s="3" t="s">
        <v>3303</v>
      </c>
    </row>
    <row r="142" spans="1:2" ht="112" hidden="1" customHeight="1" x14ac:dyDescent="0.25">
      <c r="A142" t="s">
        <v>168</v>
      </c>
      <c r="B142" s="3" t="s">
        <v>4847</v>
      </c>
    </row>
    <row r="143" spans="1:2" ht="112" hidden="1" customHeight="1" x14ac:dyDescent="0.25">
      <c r="A143" t="s">
        <v>169</v>
      </c>
      <c r="B143" s="3" t="s">
        <v>4848</v>
      </c>
    </row>
    <row r="144" spans="1:2" ht="112" hidden="1" customHeight="1" x14ac:dyDescent="0.25">
      <c r="A144" t="s">
        <v>170</v>
      </c>
      <c r="B144" s="3" t="s">
        <v>4849</v>
      </c>
    </row>
    <row r="145" spans="1:2" ht="112" hidden="1" customHeight="1" x14ac:dyDescent="0.25">
      <c r="A145" t="s">
        <v>172</v>
      </c>
      <c r="B145" s="3" t="s">
        <v>4850</v>
      </c>
    </row>
    <row r="146" spans="1:2" ht="112" hidden="1" customHeight="1" x14ac:dyDescent="0.25">
      <c r="A146" t="s">
        <v>173</v>
      </c>
      <c r="B146" s="3" t="s">
        <v>4851</v>
      </c>
    </row>
    <row r="147" spans="1:2" ht="112" hidden="1" customHeight="1" x14ac:dyDescent="0.25">
      <c r="A147" t="s">
        <v>174</v>
      </c>
      <c r="B147" s="3" t="s">
        <v>4852</v>
      </c>
    </row>
    <row r="148" spans="1:2" ht="112" hidden="1" customHeight="1" x14ac:dyDescent="0.25">
      <c r="A148" t="s">
        <v>175</v>
      </c>
      <c r="B148" s="3" t="s">
        <v>4853</v>
      </c>
    </row>
    <row r="149" spans="1:2" ht="112" hidden="1" customHeight="1" x14ac:dyDescent="0.25">
      <c r="A149" t="s">
        <v>176</v>
      </c>
      <c r="B149" s="3" t="s">
        <v>4854</v>
      </c>
    </row>
    <row r="150" spans="1:2" ht="112" hidden="1" customHeight="1" x14ac:dyDescent="0.25">
      <c r="A150" t="s">
        <v>178</v>
      </c>
      <c r="B150" s="3" t="s">
        <v>4855</v>
      </c>
    </row>
    <row r="151" spans="1:2" ht="112" hidden="1" customHeight="1" x14ac:dyDescent="0.25">
      <c r="A151" t="s">
        <v>179</v>
      </c>
      <c r="B151" s="3" t="s">
        <v>4856</v>
      </c>
    </row>
    <row r="152" spans="1:2" ht="112" hidden="1" customHeight="1" x14ac:dyDescent="0.25">
      <c r="A152" t="s">
        <v>180</v>
      </c>
      <c r="B152" s="3" t="s">
        <v>4857</v>
      </c>
    </row>
    <row r="153" spans="1:2" ht="112" hidden="1" customHeight="1" x14ac:dyDescent="0.25">
      <c r="A153" t="s">
        <v>181</v>
      </c>
      <c r="B153" s="3" t="s">
        <v>4858</v>
      </c>
    </row>
    <row r="154" spans="1:2" ht="112" hidden="1" customHeight="1" x14ac:dyDescent="0.25">
      <c r="A154" t="s">
        <v>182</v>
      </c>
      <c r="B154" s="3" t="s">
        <v>3304</v>
      </c>
    </row>
    <row r="155" spans="1:2" ht="112" hidden="1" customHeight="1" x14ac:dyDescent="0.25">
      <c r="A155" t="s">
        <v>183</v>
      </c>
      <c r="B155" s="3" t="s">
        <v>4859</v>
      </c>
    </row>
    <row r="156" spans="1:2" ht="112" hidden="1" customHeight="1" x14ac:dyDescent="0.25">
      <c r="A156" t="s">
        <v>184</v>
      </c>
      <c r="B156" s="3" t="s">
        <v>4860</v>
      </c>
    </row>
    <row r="157" spans="1:2" ht="112" hidden="1" customHeight="1" x14ac:dyDescent="0.25">
      <c r="A157" t="s">
        <v>186</v>
      </c>
      <c r="B157" s="3" t="s">
        <v>4861</v>
      </c>
    </row>
    <row r="158" spans="1:2" ht="112" hidden="1" customHeight="1" x14ac:dyDescent="0.25">
      <c r="A158" t="s">
        <v>187</v>
      </c>
      <c r="B158" s="3" t="s">
        <v>4862</v>
      </c>
    </row>
    <row r="159" spans="1:2" ht="112" hidden="1" customHeight="1" x14ac:dyDescent="0.25">
      <c r="A159" t="s">
        <v>188</v>
      </c>
      <c r="B159" s="3" t="s">
        <v>5414</v>
      </c>
    </row>
    <row r="160" spans="1:2" ht="112" hidden="1" customHeight="1" x14ac:dyDescent="0.25">
      <c r="A160" t="s">
        <v>189</v>
      </c>
      <c r="B160" s="3" t="s">
        <v>7455</v>
      </c>
    </row>
    <row r="161" spans="1:2" ht="112" hidden="1" customHeight="1" x14ac:dyDescent="0.25">
      <c r="A161" t="s">
        <v>190</v>
      </c>
      <c r="B161" s="3" t="s">
        <v>4863</v>
      </c>
    </row>
    <row r="162" spans="1:2" ht="112" hidden="1" customHeight="1" x14ac:dyDescent="0.25">
      <c r="A162" t="s">
        <v>191</v>
      </c>
      <c r="B162" s="3" t="s">
        <v>4864</v>
      </c>
    </row>
    <row r="163" spans="1:2" ht="112" hidden="1" customHeight="1" x14ac:dyDescent="0.25">
      <c r="A163" t="s">
        <v>192</v>
      </c>
      <c r="B163" s="3" t="s">
        <v>4865</v>
      </c>
    </row>
    <row r="164" spans="1:2" ht="112" hidden="1" customHeight="1" x14ac:dyDescent="0.25">
      <c r="A164" t="s">
        <v>193</v>
      </c>
      <c r="B164" s="3" t="s">
        <v>4866</v>
      </c>
    </row>
    <row r="165" spans="1:2" ht="112" hidden="1" customHeight="1" x14ac:dyDescent="0.25">
      <c r="A165" t="s">
        <v>194</v>
      </c>
      <c r="B165" s="3" t="s">
        <v>4867</v>
      </c>
    </row>
    <row r="166" spans="1:2" ht="112" hidden="1" customHeight="1" x14ac:dyDescent="0.25">
      <c r="A166" t="s">
        <v>195</v>
      </c>
      <c r="B166" s="3" t="s">
        <v>4868</v>
      </c>
    </row>
    <row r="167" spans="1:2" ht="112" hidden="1" customHeight="1" x14ac:dyDescent="0.25">
      <c r="A167" t="s">
        <v>196</v>
      </c>
      <c r="B167" s="3" t="s">
        <v>4869</v>
      </c>
    </row>
    <row r="168" spans="1:2" ht="112" hidden="1" customHeight="1" x14ac:dyDescent="0.25">
      <c r="A168" t="s">
        <v>197</v>
      </c>
      <c r="B168" s="3" t="s">
        <v>3305</v>
      </c>
    </row>
    <row r="169" spans="1:2" ht="112" hidden="1" customHeight="1" x14ac:dyDescent="0.25">
      <c r="A169" t="s">
        <v>198</v>
      </c>
      <c r="B169" s="3" t="s">
        <v>4870</v>
      </c>
    </row>
    <row r="170" spans="1:2" ht="112" hidden="1" customHeight="1" x14ac:dyDescent="0.25">
      <c r="A170" t="s">
        <v>199</v>
      </c>
      <c r="B170" s="3" t="s">
        <v>4871</v>
      </c>
    </row>
    <row r="171" spans="1:2" ht="112" hidden="1" customHeight="1" x14ac:dyDescent="0.25">
      <c r="A171" t="s">
        <v>200</v>
      </c>
      <c r="B171" s="3" t="s">
        <v>4872</v>
      </c>
    </row>
    <row r="172" spans="1:2" ht="112" hidden="1" customHeight="1" x14ac:dyDescent="0.25">
      <c r="A172" t="s">
        <v>201</v>
      </c>
      <c r="B172" s="3" t="s">
        <v>4873</v>
      </c>
    </row>
    <row r="173" spans="1:2" ht="112" hidden="1" customHeight="1" x14ac:dyDescent="0.25">
      <c r="A173" t="s">
        <v>202</v>
      </c>
      <c r="B173" s="3" t="s">
        <v>4874</v>
      </c>
    </row>
    <row r="174" spans="1:2" ht="112" hidden="1" customHeight="1" x14ac:dyDescent="0.25">
      <c r="A174" t="s">
        <v>203</v>
      </c>
      <c r="B174" s="3" t="s">
        <v>4875</v>
      </c>
    </row>
    <row r="175" spans="1:2" ht="112" hidden="1" customHeight="1" x14ac:dyDescent="0.25">
      <c r="A175" t="s">
        <v>204</v>
      </c>
      <c r="B175" s="3" t="s">
        <v>4876</v>
      </c>
    </row>
    <row r="176" spans="1:2" ht="112" hidden="1" customHeight="1" x14ac:dyDescent="0.25">
      <c r="A176" t="s">
        <v>205</v>
      </c>
      <c r="B176" s="3" t="s">
        <v>4877</v>
      </c>
    </row>
    <row r="177" spans="1:2" ht="112" hidden="1" customHeight="1" x14ac:dyDescent="0.25">
      <c r="A177" t="s">
        <v>206</v>
      </c>
      <c r="B177" s="3" t="s">
        <v>4878</v>
      </c>
    </row>
    <row r="178" spans="1:2" ht="112" hidden="1" customHeight="1" x14ac:dyDescent="0.25">
      <c r="A178" t="s">
        <v>207</v>
      </c>
      <c r="B178" s="3" t="s">
        <v>4879</v>
      </c>
    </row>
    <row r="179" spans="1:2" ht="112" hidden="1" customHeight="1" x14ac:dyDescent="0.25">
      <c r="A179" t="s">
        <v>208</v>
      </c>
      <c r="B179" s="3" t="s">
        <v>4880</v>
      </c>
    </row>
    <row r="180" spans="1:2" ht="112" hidden="1" customHeight="1" x14ac:dyDescent="0.25">
      <c r="A180" t="s">
        <v>209</v>
      </c>
      <c r="B180" s="3" t="s">
        <v>4881</v>
      </c>
    </row>
    <row r="181" spans="1:2" ht="112" hidden="1" customHeight="1" x14ac:dyDescent="0.25">
      <c r="A181" t="s">
        <v>210</v>
      </c>
      <c r="B181" s="3" t="s">
        <v>3306</v>
      </c>
    </row>
    <row r="182" spans="1:2" ht="112" hidden="1" customHeight="1" x14ac:dyDescent="0.25">
      <c r="A182" t="s">
        <v>211</v>
      </c>
      <c r="B182" s="3" t="s">
        <v>3307</v>
      </c>
    </row>
    <row r="183" spans="1:2" ht="112" hidden="1" customHeight="1" x14ac:dyDescent="0.25">
      <c r="A183" t="s">
        <v>212</v>
      </c>
      <c r="B183" s="3" t="s">
        <v>5870</v>
      </c>
    </row>
    <row r="184" spans="1:2" ht="112" hidden="1" customHeight="1" x14ac:dyDescent="0.25">
      <c r="A184" t="s">
        <v>213</v>
      </c>
      <c r="B184" s="3" t="s">
        <v>3308</v>
      </c>
    </row>
    <row r="185" spans="1:2" ht="112" hidden="1" customHeight="1" x14ac:dyDescent="0.25">
      <c r="A185" t="s">
        <v>214</v>
      </c>
      <c r="B185" s="3" t="s">
        <v>4882</v>
      </c>
    </row>
    <row r="186" spans="1:2" ht="112" hidden="1" customHeight="1" x14ac:dyDescent="0.25">
      <c r="A186" t="s">
        <v>215</v>
      </c>
      <c r="B186" s="3" t="s">
        <v>5768</v>
      </c>
    </row>
    <row r="187" spans="1:2" ht="112" hidden="1" customHeight="1" x14ac:dyDescent="0.25">
      <c r="A187" t="s">
        <v>216</v>
      </c>
      <c r="B187" s="3" t="s">
        <v>4883</v>
      </c>
    </row>
    <row r="188" spans="1:2" ht="112" hidden="1" customHeight="1" x14ac:dyDescent="0.25">
      <c r="A188" t="s">
        <v>217</v>
      </c>
      <c r="B188" s="3" t="s">
        <v>4884</v>
      </c>
    </row>
    <row r="189" spans="1:2" ht="112" hidden="1" customHeight="1" x14ac:dyDescent="0.25">
      <c r="A189" t="s">
        <v>218</v>
      </c>
      <c r="B189" s="3" t="s">
        <v>5871</v>
      </c>
    </row>
    <row r="190" spans="1:2" ht="112" hidden="1" customHeight="1" x14ac:dyDescent="0.25">
      <c r="A190" t="s">
        <v>219</v>
      </c>
      <c r="B190" s="3" t="s">
        <v>4885</v>
      </c>
    </row>
    <row r="191" spans="1:2" ht="112" hidden="1" customHeight="1" x14ac:dyDescent="0.25">
      <c r="A191" t="s">
        <v>220</v>
      </c>
      <c r="B191" s="3" t="s">
        <v>4886</v>
      </c>
    </row>
    <row r="192" spans="1:2" ht="112" hidden="1" customHeight="1" x14ac:dyDescent="0.25">
      <c r="A192" t="s">
        <v>221</v>
      </c>
      <c r="B192" s="3" t="s">
        <v>4887</v>
      </c>
    </row>
    <row r="193" spans="1:2" ht="112" hidden="1" customHeight="1" x14ac:dyDescent="0.25">
      <c r="A193" t="s">
        <v>222</v>
      </c>
      <c r="B193" s="3" t="s">
        <v>4888</v>
      </c>
    </row>
    <row r="194" spans="1:2" ht="112" hidden="1" customHeight="1" x14ac:dyDescent="0.25">
      <c r="A194" t="s">
        <v>223</v>
      </c>
      <c r="B194" s="3" t="s">
        <v>4889</v>
      </c>
    </row>
    <row r="195" spans="1:2" ht="112" hidden="1" customHeight="1" x14ac:dyDescent="0.25">
      <c r="A195" t="s">
        <v>224</v>
      </c>
      <c r="B195" s="3" t="s">
        <v>4890</v>
      </c>
    </row>
    <row r="196" spans="1:2" ht="112" hidden="1" customHeight="1" x14ac:dyDescent="0.25">
      <c r="A196" t="s">
        <v>225</v>
      </c>
      <c r="B196" s="3" t="s">
        <v>4891</v>
      </c>
    </row>
    <row r="197" spans="1:2" ht="112" hidden="1" customHeight="1" x14ac:dyDescent="0.25">
      <c r="A197" t="s">
        <v>226</v>
      </c>
      <c r="B197" s="3" t="s">
        <v>4892</v>
      </c>
    </row>
    <row r="198" spans="1:2" ht="112" hidden="1" customHeight="1" x14ac:dyDescent="0.25">
      <c r="A198" t="s">
        <v>227</v>
      </c>
      <c r="B198" s="3" t="s">
        <v>4893</v>
      </c>
    </row>
    <row r="199" spans="1:2" ht="112" hidden="1" customHeight="1" x14ac:dyDescent="0.25">
      <c r="A199" t="s">
        <v>228</v>
      </c>
      <c r="B199" s="3" t="s">
        <v>4894</v>
      </c>
    </row>
    <row r="200" spans="1:2" ht="112" hidden="1" customHeight="1" x14ac:dyDescent="0.25">
      <c r="A200" t="s">
        <v>229</v>
      </c>
      <c r="B200" s="3" t="s">
        <v>5415</v>
      </c>
    </row>
    <row r="201" spans="1:2" ht="112" hidden="1" customHeight="1" x14ac:dyDescent="0.25">
      <c r="A201" t="s">
        <v>230</v>
      </c>
      <c r="B201" s="3" t="s">
        <v>4895</v>
      </c>
    </row>
    <row r="202" spans="1:2" ht="112" hidden="1" customHeight="1" x14ac:dyDescent="0.25">
      <c r="A202" t="s">
        <v>234</v>
      </c>
      <c r="B202" s="3" t="s">
        <v>3309</v>
      </c>
    </row>
    <row r="203" spans="1:2" ht="112" hidden="1" customHeight="1" x14ac:dyDescent="0.25">
      <c r="A203" t="s">
        <v>235</v>
      </c>
      <c r="B203" s="3" t="s">
        <v>3310</v>
      </c>
    </row>
    <row r="204" spans="1:2" ht="112" hidden="1" customHeight="1" x14ac:dyDescent="0.25">
      <c r="A204" t="s">
        <v>236</v>
      </c>
      <c r="B204" s="3" t="s">
        <v>4896</v>
      </c>
    </row>
    <row r="205" spans="1:2" ht="112" hidden="1" customHeight="1" x14ac:dyDescent="0.25">
      <c r="A205" t="s">
        <v>237</v>
      </c>
      <c r="B205" s="3" t="s">
        <v>4897</v>
      </c>
    </row>
    <row r="206" spans="1:2" ht="112" hidden="1" customHeight="1" x14ac:dyDescent="0.25">
      <c r="A206" t="s">
        <v>238</v>
      </c>
      <c r="B206" s="3" t="s">
        <v>4898</v>
      </c>
    </row>
    <row r="207" spans="1:2" ht="112" hidden="1" customHeight="1" x14ac:dyDescent="0.25">
      <c r="A207" t="s">
        <v>239</v>
      </c>
      <c r="B207" s="3" t="s">
        <v>4899</v>
      </c>
    </row>
    <row r="208" spans="1:2" ht="112" hidden="1" customHeight="1" x14ac:dyDescent="0.25">
      <c r="A208" t="s">
        <v>240</v>
      </c>
      <c r="B208" s="3" t="s">
        <v>3311</v>
      </c>
    </row>
    <row r="209" spans="1:2" ht="112" hidden="1" customHeight="1" x14ac:dyDescent="0.25">
      <c r="A209" t="s">
        <v>241</v>
      </c>
      <c r="B209" s="3" t="s">
        <v>3312</v>
      </c>
    </row>
    <row r="210" spans="1:2" ht="112" hidden="1" customHeight="1" x14ac:dyDescent="0.25">
      <c r="A210" t="s">
        <v>242</v>
      </c>
      <c r="B210" s="3" t="s">
        <v>3313</v>
      </c>
    </row>
    <row r="211" spans="1:2" ht="112" hidden="1" customHeight="1" x14ac:dyDescent="0.25">
      <c r="A211" t="s">
        <v>243</v>
      </c>
      <c r="B211" s="3" t="s">
        <v>3314</v>
      </c>
    </row>
    <row r="212" spans="1:2" ht="112" hidden="1" customHeight="1" x14ac:dyDescent="0.25">
      <c r="A212" t="s">
        <v>244</v>
      </c>
      <c r="B212" s="3" t="s">
        <v>3315</v>
      </c>
    </row>
    <row r="213" spans="1:2" ht="112" hidden="1" customHeight="1" x14ac:dyDescent="0.25">
      <c r="A213" t="s">
        <v>245</v>
      </c>
      <c r="B213" s="3" t="s">
        <v>3316</v>
      </c>
    </row>
    <row r="214" spans="1:2" ht="112" hidden="1" customHeight="1" x14ac:dyDescent="0.25">
      <c r="A214" t="s">
        <v>246</v>
      </c>
      <c r="B214" s="3" t="s">
        <v>3317</v>
      </c>
    </row>
    <row r="215" spans="1:2" ht="112" hidden="1" customHeight="1" x14ac:dyDescent="0.25">
      <c r="A215" t="s">
        <v>247</v>
      </c>
      <c r="B215" s="3" t="s">
        <v>3318</v>
      </c>
    </row>
    <row r="216" spans="1:2" ht="112" hidden="1" customHeight="1" x14ac:dyDescent="0.25">
      <c r="A216" t="s">
        <v>249</v>
      </c>
      <c r="B216" s="3" t="s">
        <v>3319</v>
      </c>
    </row>
    <row r="217" spans="1:2" ht="112" hidden="1" customHeight="1" x14ac:dyDescent="0.25">
      <c r="A217" t="s">
        <v>250</v>
      </c>
      <c r="B217" s="3" t="s">
        <v>4900</v>
      </c>
    </row>
    <row r="218" spans="1:2" ht="112" hidden="1" customHeight="1" x14ac:dyDescent="0.25">
      <c r="A218" t="s">
        <v>251</v>
      </c>
      <c r="B218" s="3" t="s">
        <v>4901</v>
      </c>
    </row>
    <row r="219" spans="1:2" ht="112" hidden="1" customHeight="1" x14ac:dyDescent="0.25">
      <c r="A219" t="s">
        <v>252</v>
      </c>
      <c r="B219" s="3" t="s">
        <v>4902</v>
      </c>
    </row>
    <row r="220" spans="1:2" ht="112" hidden="1" customHeight="1" x14ac:dyDescent="0.25">
      <c r="A220" t="s">
        <v>253</v>
      </c>
      <c r="B220" s="3" t="s">
        <v>3320</v>
      </c>
    </row>
    <row r="221" spans="1:2" ht="112" hidden="1" customHeight="1" x14ac:dyDescent="0.25">
      <c r="A221" t="s">
        <v>254</v>
      </c>
      <c r="B221" s="3" t="s">
        <v>4903</v>
      </c>
    </row>
    <row r="222" spans="1:2" ht="112" hidden="1" customHeight="1" x14ac:dyDescent="0.25">
      <c r="A222" t="s">
        <v>255</v>
      </c>
      <c r="B222" s="3" t="s">
        <v>3321</v>
      </c>
    </row>
    <row r="223" spans="1:2" ht="112" hidden="1" customHeight="1" x14ac:dyDescent="0.25">
      <c r="A223" t="s">
        <v>256</v>
      </c>
      <c r="B223" s="3" t="s">
        <v>3322</v>
      </c>
    </row>
    <row r="224" spans="1:2" ht="112" hidden="1" customHeight="1" x14ac:dyDescent="0.25">
      <c r="A224" t="s">
        <v>257</v>
      </c>
      <c r="B224" s="3" t="s">
        <v>3323</v>
      </c>
    </row>
    <row r="225" spans="1:2" ht="112" hidden="1" customHeight="1" x14ac:dyDescent="0.25">
      <c r="A225" t="s">
        <v>258</v>
      </c>
      <c r="B225" s="3" t="s">
        <v>4904</v>
      </c>
    </row>
    <row r="226" spans="1:2" ht="112" hidden="1" customHeight="1" x14ac:dyDescent="0.25">
      <c r="A226" t="s">
        <v>259</v>
      </c>
      <c r="B226" s="3" t="s">
        <v>4905</v>
      </c>
    </row>
    <row r="227" spans="1:2" ht="112" hidden="1" customHeight="1" x14ac:dyDescent="0.25">
      <c r="A227" t="s">
        <v>260</v>
      </c>
      <c r="B227" s="3" t="s">
        <v>4906</v>
      </c>
    </row>
    <row r="228" spans="1:2" ht="112" hidden="1" customHeight="1" x14ac:dyDescent="0.25">
      <c r="A228" t="s">
        <v>261</v>
      </c>
      <c r="B228" s="3" t="s">
        <v>4907</v>
      </c>
    </row>
    <row r="229" spans="1:2" ht="112" hidden="1" customHeight="1" x14ac:dyDescent="0.25">
      <c r="A229" t="s">
        <v>262</v>
      </c>
      <c r="B229" s="3" t="s">
        <v>4908</v>
      </c>
    </row>
    <row r="230" spans="1:2" ht="112" hidden="1" customHeight="1" x14ac:dyDescent="0.25">
      <c r="A230" t="s">
        <v>263</v>
      </c>
      <c r="B230" s="3" t="s">
        <v>4909</v>
      </c>
    </row>
    <row r="231" spans="1:2" ht="112" hidden="1" customHeight="1" x14ac:dyDescent="0.25">
      <c r="A231" t="s">
        <v>264</v>
      </c>
      <c r="B231" s="3" t="s">
        <v>4910</v>
      </c>
    </row>
    <row r="232" spans="1:2" ht="112" hidden="1" customHeight="1" x14ac:dyDescent="0.25">
      <c r="A232" t="s">
        <v>265</v>
      </c>
      <c r="B232" s="3" t="s">
        <v>3324</v>
      </c>
    </row>
    <row r="233" spans="1:2" ht="112" hidden="1" customHeight="1" x14ac:dyDescent="0.25">
      <c r="A233" t="s">
        <v>266</v>
      </c>
      <c r="B233" s="3" t="s">
        <v>4911</v>
      </c>
    </row>
    <row r="234" spans="1:2" ht="112" hidden="1" customHeight="1" x14ac:dyDescent="0.25">
      <c r="A234" t="s">
        <v>267</v>
      </c>
      <c r="B234" s="3" t="s">
        <v>5416</v>
      </c>
    </row>
    <row r="235" spans="1:2" ht="112" hidden="1" customHeight="1" x14ac:dyDescent="0.25">
      <c r="A235" t="s">
        <v>268</v>
      </c>
      <c r="B235" s="3" t="s">
        <v>4912</v>
      </c>
    </row>
    <row r="236" spans="1:2" ht="112" hidden="1" customHeight="1" x14ac:dyDescent="0.25">
      <c r="A236" t="s">
        <v>269</v>
      </c>
      <c r="B236" s="3" t="s">
        <v>4913</v>
      </c>
    </row>
    <row r="237" spans="1:2" ht="112" hidden="1" customHeight="1" x14ac:dyDescent="0.25">
      <c r="A237" t="s">
        <v>270</v>
      </c>
      <c r="B237" s="3" t="s">
        <v>4914</v>
      </c>
    </row>
    <row r="238" spans="1:2" ht="112" hidden="1" customHeight="1" x14ac:dyDescent="0.25">
      <c r="A238" t="s">
        <v>271</v>
      </c>
      <c r="B238" s="3" t="s">
        <v>3325</v>
      </c>
    </row>
    <row r="239" spans="1:2" ht="112" hidden="1" customHeight="1" x14ac:dyDescent="0.25">
      <c r="A239" t="s">
        <v>272</v>
      </c>
      <c r="B239" s="3" t="s">
        <v>3326</v>
      </c>
    </row>
    <row r="240" spans="1:2" ht="112" hidden="1" customHeight="1" x14ac:dyDescent="0.25">
      <c r="A240" t="s">
        <v>273</v>
      </c>
      <c r="B240" s="3" t="s">
        <v>3327</v>
      </c>
    </row>
    <row r="241" spans="1:2" ht="112" hidden="1" customHeight="1" x14ac:dyDescent="0.25">
      <c r="A241" t="s">
        <v>274</v>
      </c>
      <c r="B241" s="3" t="s">
        <v>3328</v>
      </c>
    </row>
    <row r="242" spans="1:2" ht="112" hidden="1" customHeight="1" x14ac:dyDescent="0.25">
      <c r="A242" t="s">
        <v>275</v>
      </c>
      <c r="B242" s="3" t="s">
        <v>3329</v>
      </c>
    </row>
    <row r="243" spans="1:2" ht="112" hidden="1" customHeight="1" x14ac:dyDescent="0.25">
      <c r="A243" t="s">
        <v>276</v>
      </c>
      <c r="B243" s="3" t="s">
        <v>3330</v>
      </c>
    </row>
    <row r="244" spans="1:2" ht="112" hidden="1" customHeight="1" x14ac:dyDescent="0.25">
      <c r="A244" t="s">
        <v>277</v>
      </c>
      <c r="B244" s="3" t="s">
        <v>3331</v>
      </c>
    </row>
    <row r="245" spans="1:2" ht="112" hidden="1" customHeight="1" x14ac:dyDescent="0.25">
      <c r="A245" t="s">
        <v>278</v>
      </c>
      <c r="B245" s="3" t="s">
        <v>4915</v>
      </c>
    </row>
    <row r="246" spans="1:2" ht="112" hidden="1" customHeight="1" x14ac:dyDescent="0.25">
      <c r="A246" t="s">
        <v>279</v>
      </c>
      <c r="B246" s="3" t="s">
        <v>3332</v>
      </c>
    </row>
    <row r="247" spans="1:2" ht="112" hidden="1" customHeight="1" x14ac:dyDescent="0.25">
      <c r="A247" t="s">
        <v>280</v>
      </c>
      <c r="B247" s="3" t="s">
        <v>4916</v>
      </c>
    </row>
    <row r="248" spans="1:2" ht="112" hidden="1" customHeight="1" x14ac:dyDescent="0.25">
      <c r="A248" t="s">
        <v>281</v>
      </c>
      <c r="B248" s="3" t="s">
        <v>4917</v>
      </c>
    </row>
    <row r="249" spans="1:2" ht="112" hidden="1" customHeight="1" x14ac:dyDescent="0.25">
      <c r="A249" t="s">
        <v>282</v>
      </c>
      <c r="B249" s="3" t="s">
        <v>4918</v>
      </c>
    </row>
    <row r="250" spans="1:2" ht="112" hidden="1" customHeight="1" x14ac:dyDescent="0.25">
      <c r="A250" t="s">
        <v>283</v>
      </c>
      <c r="B250" s="3" t="s">
        <v>4919</v>
      </c>
    </row>
    <row r="251" spans="1:2" ht="112" hidden="1" customHeight="1" x14ac:dyDescent="0.25">
      <c r="A251" t="s">
        <v>284</v>
      </c>
      <c r="B251" s="3" t="s">
        <v>4920</v>
      </c>
    </row>
    <row r="252" spans="1:2" ht="112" hidden="1" customHeight="1" x14ac:dyDescent="0.25">
      <c r="A252" t="s">
        <v>285</v>
      </c>
      <c r="B252" s="3" t="s">
        <v>4921</v>
      </c>
    </row>
    <row r="253" spans="1:2" ht="112" hidden="1" customHeight="1" x14ac:dyDescent="0.25">
      <c r="A253" t="s">
        <v>286</v>
      </c>
      <c r="B253" s="3" t="s">
        <v>4922</v>
      </c>
    </row>
    <row r="254" spans="1:2" ht="112" hidden="1" customHeight="1" x14ac:dyDescent="0.25">
      <c r="A254" t="s">
        <v>287</v>
      </c>
      <c r="B254" s="3" t="s">
        <v>4923</v>
      </c>
    </row>
    <row r="255" spans="1:2" ht="112" hidden="1" customHeight="1" x14ac:dyDescent="0.25">
      <c r="A255" t="s">
        <v>288</v>
      </c>
      <c r="B255" s="3" t="s">
        <v>4924</v>
      </c>
    </row>
    <row r="256" spans="1:2" ht="112" hidden="1" customHeight="1" x14ac:dyDescent="0.25">
      <c r="A256" t="s">
        <v>289</v>
      </c>
      <c r="B256" s="3" t="s">
        <v>3333</v>
      </c>
    </row>
    <row r="257" spans="1:2" ht="112" hidden="1" customHeight="1" x14ac:dyDescent="0.25">
      <c r="A257" t="s">
        <v>290</v>
      </c>
      <c r="B257" s="3" t="s">
        <v>3334</v>
      </c>
    </row>
    <row r="258" spans="1:2" ht="112" hidden="1" customHeight="1" x14ac:dyDescent="0.25">
      <c r="A258" t="s">
        <v>291</v>
      </c>
      <c r="B258" s="3" t="s">
        <v>3335</v>
      </c>
    </row>
    <row r="259" spans="1:2" ht="112" hidden="1" customHeight="1" x14ac:dyDescent="0.25">
      <c r="A259" t="s">
        <v>292</v>
      </c>
      <c r="B259" s="3" t="s">
        <v>3336</v>
      </c>
    </row>
    <row r="260" spans="1:2" ht="112" hidden="1" customHeight="1" x14ac:dyDescent="0.25">
      <c r="A260" t="s">
        <v>293</v>
      </c>
      <c r="B260" s="3" t="s">
        <v>3337</v>
      </c>
    </row>
    <row r="261" spans="1:2" ht="112" hidden="1" customHeight="1" x14ac:dyDescent="0.25">
      <c r="A261" t="s">
        <v>294</v>
      </c>
      <c r="B261" s="3" t="s">
        <v>4925</v>
      </c>
    </row>
    <row r="262" spans="1:2" ht="112" hidden="1" customHeight="1" x14ac:dyDescent="0.25">
      <c r="A262" t="s">
        <v>295</v>
      </c>
      <c r="B262" s="3" t="s">
        <v>5417</v>
      </c>
    </row>
    <row r="263" spans="1:2" ht="112" hidden="1" customHeight="1" x14ac:dyDescent="0.25">
      <c r="A263" t="s">
        <v>296</v>
      </c>
      <c r="B263" s="3" t="s">
        <v>4926</v>
      </c>
    </row>
    <row r="264" spans="1:2" ht="112" hidden="1" customHeight="1" x14ac:dyDescent="0.25">
      <c r="A264" t="s">
        <v>297</v>
      </c>
      <c r="B264" s="3" t="s">
        <v>4927</v>
      </c>
    </row>
    <row r="265" spans="1:2" ht="112" hidden="1" customHeight="1" x14ac:dyDescent="0.25">
      <c r="A265" t="s">
        <v>298</v>
      </c>
      <c r="B265" s="3" t="s">
        <v>4928</v>
      </c>
    </row>
    <row r="266" spans="1:2" ht="112" hidden="1" customHeight="1" x14ac:dyDescent="0.25">
      <c r="A266" t="s">
        <v>299</v>
      </c>
      <c r="B266" s="3" t="s">
        <v>5872</v>
      </c>
    </row>
    <row r="267" spans="1:2" ht="112" hidden="1" customHeight="1" x14ac:dyDescent="0.25">
      <c r="A267" t="s">
        <v>300</v>
      </c>
      <c r="B267" s="3" t="s">
        <v>3338</v>
      </c>
    </row>
    <row r="268" spans="1:2" ht="112" hidden="1" customHeight="1" x14ac:dyDescent="0.25">
      <c r="A268" t="s">
        <v>302</v>
      </c>
      <c r="B268" s="3" t="s">
        <v>4929</v>
      </c>
    </row>
    <row r="269" spans="1:2" ht="112" hidden="1" customHeight="1" x14ac:dyDescent="0.25">
      <c r="A269" t="s">
        <v>303</v>
      </c>
      <c r="B269" s="3" t="s">
        <v>4930</v>
      </c>
    </row>
    <row r="270" spans="1:2" ht="112" hidden="1" customHeight="1" x14ac:dyDescent="0.25">
      <c r="A270" t="s">
        <v>305</v>
      </c>
      <c r="B270" s="3" t="s">
        <v>3339</v>
      </c>
    </row>
    <row r="271" spans="1:2" ht="112" hidden="1" customHeight="1" x14ac:dyDescent="0.25">
      <c r="A271" t="s">
        <v>306</v>
      </c>
      <c r="B271" s="3" t="s">
        <v>4931</v>
      </c>
    </row>
    <row r="272" spans="1:2" ht="112" hidden="1" customHeight="1" x14ac:dyDescent="0.25">
      <c r="A272" t="s">
        <v>307</v>
      </c>
      <c r="B272" s="3" t="s">
        <v>4932</v>
      </c>
    </row>
    <row r="273" spans="1:2" ht="112" hidden="1" customHeight="1" x14ac:dyDescent="0.25">
      <c r="A273" t="s">
        <v>308</v>
      </c>
      <c r="B273" s="3" t="s">
        <v>3340</v>
      </c>
    </row>
    <row r="274" spans="1:2" ht="112" hidden="1" customHeight="1" x14ac:dyDescent="0.25">
      <c r="A274" t="s">
        <v>309</v>
      </c>
      <c r="B274" s="3" t="s">
        <v>3341</v>
      </c>
    </row>
    <row r="275" spans="1:2" ht="112" hidden="1" customHeight="1" x14ac:dyDescent="0.25">
      <c r="A275" t="s">
        <v>310</v>
      </c>
      <c r="B275" s="3" t="s">
        <v>4933</v>
      </c>
    </row>
    <row r="276" spans="1:2" ht="112" hidden="1" customHeight="1" x14ac:dyDescent="0.25">
      <c r="A276" t="s">
        <v>311</v>
      </c>
      <c r="B276" s="3" t="s">
        <v>3342</v>
      </c>
    </row>
    <row r="277" spans="1:2" ht="112" hidden="1" customHeight="1" x14ac:dyDescent="0.25">
      <c r="A277" t="s">
        <v>317</v>
      </c>
      <c r="B277" s="3" t="s">
        <v>6139</v>
      </c>
    </row>
    <row r="278" spans="1:2" ht="112" hidden="1" customHeight="1" x14ac:dyDescent="0.25">
      <c r="A278" t="s">
        <v>318</v>
      </c>
      <c r="B278" s="3" t="s">
        <v>6140</v>
      </c>
    </row>
    <row r="279" spans="1:2" ht="112" hidden="1" customHeight="1" x14ac:dyDescent="0.25">
      <c r="A279" t="s">
        <v>319</v>
      </c>
      <c r="B279" s="3" t="s">
        <v>13579</v>
      </c>
    </row>
    <row r="280" spans="1:2" ht="112" hidden="1" customHeight="1" x14ac:dyDescent="0.25">
      <c r="A280" t="s">
        <v>320</v>
      </c>
      <c r="B280" s="3" t="s">
        <v>13581</v>
      </c>
    </row>
    <row r="281" spans="1:2" ht="112" hidden="1" customHeight="1" x14ac:dyDescent="0.25">
      <c r="A281" t="s">
        <v>3042</v>
      </c>
      <c r="B281" s="3" t="s">
        <v>13580</v>
      </c>
    </row>
    <row r="282" spans="1:2" ht="112" hidden="1" customHeight="1" x14ac:dyDescent="0.25">
      <c r="A282" t="s">
        <v>321</v>
      </c>
      <c r="B282" s="3" t="s">
        <v>13582</v>
      </c>
    </row>
    <row r="283" spans="1:2" ht="112" hidden="1" customHeight="1" x14ac:dyDescent="0.25">
      <c r="A283" t="s">
        <v>322</v>
      </c>
      <c r="B283" s="3" t="s">
        <v>13583</v>
      </c>
    </row>
    <row r="284" spans="1:2" ht="112" hidden="1" customHeight="1" x14ac:dyDescent="0.25">
      <c r="A284" t="s">
        <v>323</v>
      </c>
      <c r="B284" s="3" t="s">
        <v>13584</v>
      </c>
    </row>
    <row r="285" spans="1:2" ht="112" hidden="1" customHeight="1" x14ac:dyDescent="0.25">
      <c r="A285" t="s">
        <v>324</v>
      </c>
      <c r="B285" s="3" t="s">
        <v>13585</v>
      </c>
    </row>
    <row r="286" spans="1:2" ht="112" hidden="1" customHeight="1" x14ac:dyDescent="0.25">
      <c r="A286" t="s">
        <v>325</v>
      </c>
      <c r="B286" s="3" t="s">
        <v>13586</v>
      </c>
    </row>
    <row r="287" spans="1:2" ht="112" hidden="1" customHeight="1" x14ac:dyDescent="0.25">
      <c r="A287" t="s">
        <v>326</v>
      </c>
      <c r="B287" s="3" t="s">
        <v>13587</v>
      </c>
    </row>
    <row r="288" spans="1:2" ht="112" hidden="1" customHeight="1" x14ac:dyDescent="0.25">
      <c r="A288" t="s">
        <v>327</v>
      </c>
      <c r="B288" s="3" t="s">
        <v>13588</v>
      </c>
    </row>
    <row r="289" spans="1:2" ht="112" hidden="1" customHeight="1" x14ac:dyDescent="0.25">
      <c r="A289" t="s">
        <v>328</v>
      </c>
      <c r="B289" s="3" t="s">
        <v>13589</v>
      </c>
    </row>
    <row r="290" spans="1:2" ht="112" hidden="1" customHeight="1" x14ac:dyDescent="0.25">
      <c r="A290" t="s">
        <v>329</v>
      </c>
      <c r="B290" s="3" t="s">
        <v>13590</v>
      </c>
    </row>
    <row r="291" spans="1:2" ht="112" hidden="1" customHeight="1" x14ac:dyDescent="0.25">
      <c r="A291" t="s">
        <v>331</v>
      </c>
      <c r="B291" s="3" t="s">
        <v>13593</v>
      </c>
    </row>
    <row r="292" spans="1:2" ht="112" hidden="1" customHeight="1" x14ac:dyDescent="0.25">
      <c r="A292" t="s">
        <v>332</v>
      </c>
      <c r="B292" s="3" t="s">
        <v>13594</v>
      </c>
    </row>
    <row r="293" spans="1:2" ht="112" hidden="1" customHeight="1" x14ac:dyDescent="0.25">
      <c r="A293" t="s">
        <v>333</v>
      </c>
      <c r="B293" s="3" t="s">
        <v>13595</v>
      </c>
    </row>
    <row r="294" spans="1:2" ht="112" hidden="1" customHeight="1" x14ac:dyDescent="0.25">
      <c r="A294" t="s">
        <v>334</v>
      </c>
      <c r="B294" s="3" t="s">
        <v>13596</v>
      </c>
    </row>
    <row r="295" spans="1:2" ht="112" hidden="1" customHeight="1" x14ac:dyDescent="0.25">
      <c r="A295" t="s">
        <v>335</v>
      </c>
      <c r="B295" s="3" t="s">
        <v>13597</v>
      </c>
    </row>
    <row r="296" spans="1:2" ht="112" hidden="1" customHeight="1" x14ac:dyDescent="0.25">
      <c r="A296" t="s">
        <v>336</v>
      </c>
      <c r="B296" s="3" t="s">
        <v>13598</v>
      </c>
    </row>
    <row r="297" spans="1:2" ht="112" hidden="1" customHeight="1" x14ac:dyDescent="0.25">
      <c r="A297" t="s">
        <v>337</v>
      </c>
      <c r="B297" s="3" t="s">
        <v>6141</v>
      </c>
    </row>
    <row r="298" spans="1:2" ht="112" hidden="1" customHeight="1" x14ac:dyDescent="0.25">
      <c r="A298" t="s">
        <v>338</v>
      </c>
      <c r="B298" s="3" t="s">
        <v>13599</v>
      </c>
    </row>
    <row r="299" spans="1:2" ht="112" hidden="1" customHeight="1" x14ac:dyDescent="0.25">
      <c r="A299" t="s">
        <v>339</v>
      </c>
      <c r="B299" s="3" t="s">
        <v>6142</v>
      </c>
    </row>
    <row r="300" spans="1:2" ht="112" hidden="1" customHeight="1" x14ac:dyDescent="0.25">
      <c r="A300" t="s">
        <v>340</v>
      </c>
      <c r="B300" s="3" t="s">
        <v>13600</v>
      </c>
    </row>
    <row r="301" spans="1:2" ht="112" hidden="1" customHeight="1" x14ac:dyDescent="0.25">
      <c r="A301" t="s">
        <v>341</v>
      </c>
      <c r="B301" s="3" t="s">
        <v>13601</v>
      </c>
    </row>
    <row r="302" spans="1:2" ht="112" hidden="1" customHeight="1" x14ac:dyDescent="0.25">
      <c r="A302" t="s">
        <v>342</v>
      </c>
      <c r="B302" s="3" t="s">
        <v>13602</v>
      </c>
    </row>
    <row r="303" spans="1:2" ht="112" hidden="1" customHeight="1" x14ac:dyDescent="0.25">
      <c r="A303" t="s">
        <v>343</v>
      </c>
      <c r="B303" s="3" t="s">
        <v>13603</v>
      </c>
    </row>
    <row r="304" spans="1:2" ht="112" hidden="1" customHeight="1" x14ac:dyDescent="0.25">
      <c r="A304" t="s">
        <v>344</v>
      </c>
      <c r="B304" s="3" t="s">
        <v>6143</v>
      </c>
    </row>
    <row r="305" spans="1:2" ht="112" hidden="1" customHeight="1" x14ac:dyDescent="0.25">
      <c r="A305" t="s">
        <v>345</v>
      </c>
      <c r="B305" s="3" t="s">
        <v>6144</v>
      </c>
    </row>
    <row r="306" spans="1:2" ht="112" hidden="1" customHeight="1" x14ac:dyDescent="0.25">
      <c r="A306" t="s">
        <v>346</v>
      </c>
      <c r="B306" s="3" t="s">
        <v>5873</v>
      </c>
    </row>
    <row r="307" spans="1:2" ht="112" hidden="1" customHeight="1" x14ac:dyDescent="0.25">
      <c r="A307" t="s">
        <v>347</v>
      </c>
      <c r="B307" s="3" t="s">
        <v>5874</v>
      </c>
    </row>
    <row r="308" spans="1:2" ht="112" hidden="1" customHeight="1" x14ac:dyDescent="0.25">
      <c r="A308" t="s">
        <v>348</v>
      </c>
      <c r="B308" s="3" t="s">
        <v>6333</v>
      </c>
    </row>
    <row r="309" spans="1:2" ht="112" hidden="1" customHeight="1" x14ac:dyDescent="0.25">
      <c r="A309" t="s">
        <v>349</v>
      </c>
      <c r="B309" s="3" t="s">
        <v>6334</v>
      </c>
    </row>
    <row r="310" spans="1:2" ht="112" hidden="1" customHeight="1" x14ac:dyDescent="0.25">
      <c r="A310" t="s">
        <v>351</v>
      </c>
      <c r="B310" s="3" t="s">
        <v>3343</v>
      </c>
    </row>
    <row r="311" spans="1:2" ht="112" hidden="1" customHeight="1" x14ac:dyDescent="0.25">
      <c r="A311" t="s">
        <v>352</v>
      </c>
      <c r="B311" s="3" t="s">
        <v>3344</v>
      </c>
    </row>
    <row r="312" spans="1:2" ht="112" hidden="1" customHeight="1" x14ac:dyDescent="0.25">
      <c r="A312" t="s">
        <v>353</v>
      </c>
      <c r="B312" s="3" t="s">
        <v>6517</v>
      </c>
    </row>
    <row r="313" spans="1:2" ht="112" hidden="1" customHeight="1" x14ac:dyDescent="0.25">
      <c r="A313" t="s">
        <v>354</v>
      </c>
      <c r="B313" s="3" t="s">
        <v>6145</v>
      </c>
    </row>
    <row r="314" spans="1:2" ht="112" hidden="1" customHeight="1" x14ac:dyDescent="0.25">
      <c r="A314" t="s">
        <v>355</v>
      </c>
      <c r="B314" s="3" t="s">
        <v>6146</v>
      </c>
    </row>
    <row r="315" spans="1:2" ht="112" hidden="1" customHeight="1" x14ac:dyDescent="0.25">
      <c r="A315" t="s">
        <v>356</v>
      </c>
      <c r="B315" s="3" t="s">
        <v>6147</v>
      </c>
    </row>
    <row r="316" spans="1:2" ht="112" hidden="1" customHeight="1" x14ac:dyDescent="0.25">
      <c r="A316" t="s">
        <v>357</v>
      </c>
      <c r="B316" s="3" t="s">
        <v>6148</v>
      </c>
    </row>
    <row r="317" spans="1:2" ht="112" hidden="1" customHeight="1" x14ac:dyDescent="0.25">
      <c r="A317" t="s">
        <v>358</v>
      </c>
      <c r="B317" s="3" t="s">
        <v>6149</v>
      </c>
    </row>
    <row r="318" spans="1:2" ht="112" hidden="1" customHeight="1" x14ac:dyDescent="0.25">
      <c r="A318" t="s">
        <v>359</v>
      </c>
      <c r="B318" s="3" t="s">
        <v>3345</v>
      </c>
    </row>
    <row r="319" spans="1:2" ht="112" hidden="1" customHeight="1" x14ac:dyDescent="0.25">
      <c r="A319" t="s">
        <v>360</v>
      </c>
      <c r="B319" s="3" t="s">
        <v>6150</v>
      </c>
    </row>
    <row r="320" spans="1:2" ht="112" hidden="1" customHeight="1" x14ac:dyDescent="0.25">
      <c r="A320" t="s">
        <v>361</v>
      </c>
      <c r="B320" s="3" t="s">
        <v>3346</v>
      </c>
    </row>
    <row r="321" spans="1:2" ht="112" hidden="1" customHeight="1" x14ac:dyDescent="0.25">
      <c r="A321" t="s">
        <v>362</v>
      </c>
      <c r="B321" s="3" t="s">
        <v>6151</v>
      </c>
    </row>
    <row r="322" spans="1:2" ht="112" hidden="1" customHeight="1" x14ac:dyDescent="0.25">
      <c r="A322" t="s">
        <v>363</v>
      </c>
      <c r="B322" s="3" t="s">
        <v>6152</v>
      </c>
    </row>
    <row r="323" spans="1:2" ht="112" hidden="1" customHeight="1" x14ac:dyDescent="0.25">
      <c r="A323" t="s">
        <v>364</v>
      </c>
      <c r="B323" s="3" t="s">
        <v>3347</v>
      </c>
    </row>
    <row r="324" spans="1:2" ht="112" hidden="1" customHeight="1" x14ac:dyDescent="0.25">
      <c r="A324" t="s">
        <v>365</v>
      </c>
      <c r="B324" s="3" t="s">
        <v>7456</v>
      </c>
    </row>
    <row r="325" spans="1:2" ht="112" hidden="1" customHeight="1" x14ac:dyDescent="0.25">
      <c r="A325" t="s">
        <v>366</v>
      </c>
      <c r="B325" s="3" t="s">
        <v>6153</v>
      </c>
    </row>
    <row r="326" spans="1:2" ht="112" hidden="1" customHeight="1" x14ac:dyDescent="0.25">
      <c r="A326" t="s">
        <v>367</v>
      </c>
      <c r="B326" s="3" t="s">
        <v>6335</v>
      </c>
    </row>
    <row r="327" spans="1:2" ht="112" hidden="1" customHeight="1" x14ac:dyDescent="0.25">
      <c r="A327" t="s">
        <v>369</v>
      </c>
      <c r="B327" s="3" t="s">
        <v>6336</v>
      </c>
    </row>
    <row r="328" spans="1:2" ht="112" hidden="1" customHeight="1" x14ac:dyDescent="0.25">
      <c r="A328" t="s">
        <v>370</v>
      </c>
      <c r="B328" s="3" t="s">
        <v>6337</v>
      </c>
    </row>
    <row r="329" spans="1:2" ht="112" hidden="1" customHeight="1" x14ac:dyDescent="0.25">
      <c r="A329" t="s">
        <v>371</v>
      </c>
      <c r="B329" s="3" t="s">
        <v>6338</v>
      </c>
    </row>
    <row r="330" spans="1:2" ht="112" hidden="1" customHeight="1" x14ac:dyDescent="0.25">
      <c r="A330" t="s">
        <v>372</v>
      </c>
      <c r="B330" s="3" t="s">
        <v>6339</v>
      </c>
    </row>
    <row r="331" spans="1:2" ht="112" hidden="1" customHeight="1" x14ac:dyDescent="0.25">
      <c r="A331" t="s">
        <v>373</v>
      </c>
      <c r="B331" s="3" t="s">
        <v>6340</v>
      </c>
    </row>
    <row r="332" spans="1:2" ht="112" hidden="1" customHeight="1" x14ac:dyDescent="0.25">
      <c r="A332" t="s">
        <v>374</v>
      </c>
      <c r="B332" s="3" t="s">
        <v>6341</v>
      </c>
    </row>
    <row r="333" spans="1:2" ht="112" hidden="1" customHeight="1" x14ac:dyDescent="0.25">
      <c r="A333" t="s">
        <v>375</v>
      </c>
      <c r="B333" s="3" t="s">
        <v>6342</v>
      </c>
    </row>
    <row r="334" spans="1:2" ht="112" hidden="1" customHeight="1" x14ac:dyDescent="0.25">
      <c r="A334" t="s">
        <v>376</v>
      </c>
      <c r="B334" s="3" t="s">
        <v>6343</v>
      </c>
    </row>
    <row r="335" spans="1:2" ht="112" hidden="1" customHeight="1" x14ac:dyDescent="0.25">
      <c r="A335" t="s">
        <v>377</v>
      </c>
      <c r="B335" s="3" t="s">
        <v>6154</v>
      </c>
    </row>
    <row r="336" spans="1:2" ht="112" hidden="1" customHeight="1" x14ac:dyDescent="0.25">
      <c r="A336" t="s">
        <v>378</v>
      </c>
      <c r="B336" s="3" t="s">
        <v>6155</v>
      </c>
    </row>
    <row r="337" spans="1:2" ht="112" hidden="1" customHeight="1" x14ac:dyDescent="0.25">
      <c r="A337" t="s">
        <v>379</v>
      </c>
      <c r="B337" s="3" t="s">
        <v>6156</v>
      </c>
    </row>
    <row r="338" spans="1:2" ht="112" hidden="1" customHeight="1" x14ac:dyDescent="0.25">
      <c r="A338" t="s">
        <v>380</v>
      </c>
      <c r="B338" s="3" t="s">
        <v>3348</v>
      </c>
    </row>
    <row r="339" spans="1:2" ht="112" hidden="1" customHeight="1" x14ac:dyDescent="0.25">
      <c r="A339" t="s">
        <v>381</v>
      </c>
      <c r="B339" s="3" t="s">
        <v>3349</v>
      </c>
    </row>
    <row r="340" spans="1:2" ht="112" hidden="1" customHeight="1" x14ac:dyDescent="0.25">
      <c r="A340" t="s">
        <v>382</v>
      </c>
      <c r="B340" s="3" t="s">
        <v>3350</v>
      </c>
    </row>
    <row r="341" spans="1:2" ht="112" hidden="1" customHeight="1" x14ac:dyDescent="0.25">
      <c r="A341" t="s">
        <v>383</v>
      </c>
      <c r="B341" s="3" t="s">
        <v>3351</v>
      </c>
    </row>
    <row r="342" spans="1:2" ht="112" hidden="1" customHeight="1" x14ac:dyDescent="0.25">
      <c r="A342" t="s">
        <v>384</v>
      </c>
      <c r="B342" s="3" t="s">
        <v>3352</v>
      </c>
    </row>
    <row r="343" spans="1:2" ht="112" hidden="1" customHeight="1" x14ac:dyDescent="0.25">
      <c r="A343" t="s">
        <v>385</v>
      </c>
      <c r="B343" s="3" t="s">
        <v>3353</v>
      </c>
    </row>
    <row r="344" spans="1:2" ht="112" hidden="1" customHeight="1" x14ac:dyDescent="0.25">
      <c r="A344" t="s">
        <v>386</v>
      </c>
      <c r="B344" s="3" t="s">
        <v>3354</v>
      </c>
    </row>
    <row r="345" spans="1:2" ht="112" hidden="1" customHeight="1" x14ac:dyDescent="0.25">
      <c r="A345" t="s">
        <v>387</v>
      </c>
      <c r="B345" s="3" t="s">
        <v>3355</v>
      </c>
    </row>
    <row r="346" spans="1:2" ht="112" hidden="1" customHeight="1" x14ac:dyDescent="0.25">
      <c r="A346" t="s">
        <v>388</v>
      </c>
      <c r="B346" s="3" t="s">
        <v>4934</v>
      </c>
    </row>
    <row r="347" spans="1:2" ht="112" hidden="1" customHeight="1" x14ac:dyDescent="0.25">
      <c r="A347" t="s">
        <v>389</v>
      </c>
      <c r="B347" s="3" t="s">
        <v>4935</v>
      </c>
    </row>
    <row r="348" spans="1:2" ht="112" hidden="1" customHeight="1" x14ac:dyDescent="0.25">
      <c r="A348" t="s">
        <v>390</v>
      </c>
      <c r="B348" s="3" t="s">
        <v>4936</v>
      </c>
    </row>
    <row r="349" spans="1:2" ht="112" hidden="1" customHeight="1" x14ac:dyDescent="0.25">
      <c r="A349" t="s">
        <v>391</v>
      </c>
      <c r="B349" s="3" t="s">
        <v>4937</v>
      </c>
    </row>
    <row r="350" spans="1:2" ht="112" hidden="1" customHeight="1" x14ac:dyDescent="0.25">
      <c r="A350" t="s">
        <v>392</v>
      </c>
      <c r="B350" s="3" t="s">
        <v>4938</v>
      </c>
    </row>
    <row r="351" spans="1:2" ht="112" hidden="1" customHeight="1" x14ac:dyDescent="0.25">
      <c r="A351" t="s">
        <v>393</v>
      </c>
      <c r="B351" s="3" t="s">
        <v>4939</v>
      </c>
    </row>
    <row r="352" spans="1:2" ht="112" hidden="1" customHeight="1" x14ac:dyDescent="0.25">
      <c r="A352" t="s">
        <v>394</v>
      </c>
      <c r="B352" s="3" t="s">
        <v>7457</v>
      </c>
    </row>
    <row r="353" spans="1:2" ht="112" hidden="1" customHeight="1" x14ac:dyDescent="0.25">
      <c r="A353" t="s">
        <v>395</v>
      </c>
      <c r="B353" s="3" t="s">
        <v>5875</v>
      </c>
    </row>
    <row r="354" spans="1:2" ht="112" hidden="1" customHeight="1" x14ac:dyDescent="0.25">
      <c r="A354" t="s">
        <v>396</v>
      </c>
      <c r="B354" s="3" t="s">
        <v>7458</v>
      </c>
    </row>
    <row r="355" spans="1:2" ht="112" hidden="1" customHeight="1" x14ac:dyDescent="0.25">
      <c r="A355" t="s">
        <v>397</v>
      </c>
      <c r="B355" s="3" t="s">
        <v>8148</v>
      </c>
    </row>
    <row r="356" spans="1:2" ht="112" hidden="1" customHeight="1" x14ac:dyDescent="0.25">
      <c r="A356" t="s">
        <v>398</v>
      </c>
      <c r="B356" s="3" t="s">
        <v>6157</v>
      </c>
    </row>
    <row r="357" spans="1:2" ht="112" hidden="1" customHeight="1" x14ac:dyDescent="0.25">
      <c r="A357" t="s">
        <v>399</v>
      </c>
      <c r="B357" s="3" t="s">
        <v>6344</v>
      </c>
    </row>
    <row r="358" spans="1:2" ht="112" hidden="1" customHeight="1" x14ac:dyDescent="0.25">
      <c r="A358" t="s">
        <v>400</v>
      </c>
      <c r="B358" s="3" t="s">
        <v>6345</v>
      </c>
    </row>
    <row r="359" spans="1:2" ht="112" hidden="1" customHeight="1" x14ac:dyDescent="0.25">
      <c r="A359" t="s">
        <v>401</v>
      </c>
      <c r="B359" s="3" t="s">
        <v>6346</v>
      </c>
    </row>
    <row r="360" spans="1:2" ht="112" hidden="1" customHeight="1" x14ac:dyDescent="0.25">
      <c r="A360" t="s">
        <v>402</v>
      </c>
      <c r="B360" s="3" t="s">
        <v>6347</v>
      </c>
    </row>
    <row r="361" spans="1:2" ht="112" hidden="1" customHeight="1" x14ac:dyDescent="0.25">
      <c r="A361" t="s">
        <v>403</v>
      </c>
      <c r="B361" s="3" t="s">
        <v>6348</v>
      </c>
    </row>
    <row r="362" spans="1:2" ht="112" hidden="1" customHeight="1" x14ac:dyDescent="0.25">
      <c r="A362" t="s">
        <v>404</v>
      </c>
      <c r="B362" s="3" t="s">
        <v>6349</v>
      </c>
    </row>
    <row r="363" spans="1:2" ht="112" hidden="1" customHeight="1" x14ac:dyDescent="0.25">
      <c r="A363" t="s">
        <v>405</v>
      </c>
      <c r="B363" s="3" t="s">
        <v>6350</v>
      </c>
    </row>
    <row r="364" spans="1:2" ht="112" hidden="1" customHeight="1" x14ac:dyDescent="0.25">
      <c r="A364" t="s">
        <v>406</v>
      </c>
      <c r="B364" s="3" t="s">
        <v>6351</v>
      </c>
    </row>
    <row r="365" spans="1:2" ht="112" hidden="1" customHeight="1" x14ac:dyDescent="0.25">
      <c r="A365" t="s">
        <v>407</v>
      </c>
      <c r="B365" s="3" t="s">
        <v>3356</v>
      </c>
    </row>
    <row r="366" spans="1:2" ht="112" hidden="1" customHeight="1" x14ac:dyDescent="0.25">
      <c r="A366" t="s">
        <v>408</v>
      </c>
      <c r="B366" s="3" t="s">
        <v>7459</v>
      </c>
    </row>
    <row r="367" spans="1:2" ht="112" hidden="1" customHeight="1" x14ac:dyDescent="0.25">
      <c r="A367" t="s">
        <v>409</v>
      </c>
      <c r="B367" s="3" t="s">
        <v>3357</v>
      </c>
    </row>
    <row r="368" spans="1:2" ht="112" hidden="1" customHeight="1" x14ac:dyDescent="0.25">
      <c r="A368" t="s">
        <v>410</v>
      </c>
      <c r="B368" s="3" t="s">
        <v>6352</v>
      </c>
    </row>
    <row r="369" spans="1:2" ht="112" hidden="1" customHeight="1" x14ac:dyDescent="0.25">
      <c r="A369" t="s">
        <v>411</v>
      </c>
      <c r="B369" s="3" t="s">
        <v>6158</v>
      </c>
    </row>
    <row r="370" spans="1:2" ht="112" hidden="1" customHeight="1" x14ac:dyDescent="0.25">
      <c r="A370" t="s">
        <v>412</v>
      </c>
      <c r="B370" s="3" t="s">
        <v>6518</v>
      </c>
    </row>
    <row r="371" spans="1:2" ht="112" hidden="1" customHeight="1" x14ac:dyDescent="0.25">
      <c r="A371" t="s">
        <v>413</v>
      </c>
      <c r="B371" s="3" t="s">
        <v>6353</v>
      </c>
    </row>
    <row r="372" spans="1:2" ht="112" hidden="1" customHeight="1" x14ac:dyDescent="0.25">
      <c r="A372" t="s">
        <v>414</v>
      </c>
      <c r="B372" s="3" t="s">
        <v>3358</v>
      </c>
    </row>
    <row r="373" spans="1:2" ht="112" hidden="1" customHeight="1" x14ac:dyDescent="0.25">
      <c r="A373" t="s">
        <v>415</v>
      </c>
      <c r="B373" s="3" t="s">
        <v>6159</v>
      </c>
    </row>
    <row r="374" spans="1:2" ht="112" hidden="1" customHeight="1" x14ac:dyDescent="0.25">
      <c r="A374" t="s">
        <v>416</v>
      </c>
      <c r="B374" s="3" t="s">
        <v>6160</v>
      </c>
    </row>
    <row r="375" spans="1:2" ht="112" hidden="1" customHeight="1" x14ac:dyDescent="0.25">
      <c r="A375" t="s">
        <v>417</v>
      </c>
      <c r="B375" s="3" t="s">
        <v>6161</v>
      </c>
    </row>
    <row r="376" spans="1:2" ht="112" hidden="1" customHeight="1" x14ac:dyDescent="0.25">
      <c r="A376" t="s">
        <v>418</v>
      </c>
      <c r="B376" s="3" t="s">
        <v>6162</v>
      </c>
    </row>
    <row r="377" spans="1:2" ht="112" hidden="1" customHeight="1" x14ac:dyDescent="0.25">
      <c r="A377" t="s">
        <v>419</v>
      </c>
      <c r="B377" s="3" t="s">
        <v>6163</v>
      </c>
    </row>
    <row r="378" spans="1:2" ht="112" hidden="1" customHeight="1" x14ac:dyDescent="0.25">
      <c r="A378" t="s">
        <v>420</v>
      </c>
      <c r="B378" s="3" t="s">
        <v>7460</v>
      </c>
    </row>
    <row r="379" spans="1:2" ht="112" hidden="1" customHeight="1" x14ac:dyDescent="0.25">
      <c r="A379" t="s">
        <v>421</v>
      </c>
      <c r="B379" s="3" t="s">
        <v>4940</v>
      </c>
    </row>
    <row r="380" spans="1:2" ht="112" hidden="1" customHeight="1" x14ac:dyDescent="0.25">
      <c r="A380" t="s">
        <v>422</v>
      </c>
      <c r="B380" s="3" t="s">
        <v>4941</v>
      </c>
    </row>
    <row r="381" spans="1:2" ht="112" hidden="1" customHeight="1" x14ac:dyDescent="0.25">
      <c r="A381" t="s">
        <v>423</v>
      </c>
      <c r="B381" s="3" t="s">
        <v>4942</v>
      </c>
    </row>
    <row r="382" spans="1:2" ht="112" hidden="1" customHeight="1" x14ac:dyDescent="0.25">
      <c r="A382" t="s">
        <v>424</v>
      </c>
      <c r="B382" s="3" t="s">
        <v>4943</v>
      </c>
    </row>
    <row r="383" spans="1:2" ht="112" hidden="1" customHeight="1" x14ac:dyDescent="0.25">
      <c r="A383" t="s">
        <v>425</v>
      </c>
      <c r="B383" s="3" t="s">
        <v>4944</v>
      </c>
    </row>
    <row r="384" spans="1:2" ht="112" hidden="1" customHeight="1" x14ac:dyDescent="0.25">
      <c r="A384" t="s">
        <v>426</v>
      </c>
      <c r="B384" s="3" t="s">
        <v>4945</v>
      </c>
    </row>
    <row r="385" spans="1:2" ht="112" hidden="1" customHeight="1" x14ac:dyDescent="0.25">
      <c r="A385" t="s">
        <v>427</v>
      </c>
      <c r="B385" s="3" t="s">
        <v>4946</v>
      </c>
    </row>
    <row r="386" spans="1:2" ht="112" hidden="1" customHeight="1" x14ac:dyDescent="0.25">
      <c r="A386" t="s">
        <v>428</v>
      </c>
      <c r="B386" s="3" t="s">
        <v>6354</v>
      </c>
    </row>
    <row r="387" spans="1:2" ht="112" hidden="1" customHeight="1" x14ac:dyDescent="0.25">
      <c r="A387" t="s">
        <v>429</v>
      </c>
      <c r="B387" s="3" t="s">
        <v>6355</v>
      </c>
    </row>
    <row r="388" spans="1:2" ht="112" hidden="1" customHeight="1" x14ac:dyDescent="0.25">
      <c r="A388" t="s">
        <v>430</v>
      </c>
      <c r="B388" s="3" t="s">
        <v>6356</v>
      </c>
    </row>
    <row r="389" spans="1:2" ht="112" hidden="1" customHeight="1" x14ac:dyDescent="0.25">
      <c r="A389" t="s">
        <v>431</v>
      </c>
      <c r="B389" s="3" t="s">
        <v>6164</v>
      </c>
    </row>
    <row r="390" spans="1:2" ht="112" hidden="1" customHeight="1" x14ac:dyDescent="0.25">
      <c r="A390" t="s">
        <v>432</v>
      </c>
      <c r="B390" s="3" t="s">
        <v>6357</v>
      </c>
    </row>
    <row r="391" spans="1:2" ht="112" hidden="1" customHeight="1" x14ac:dyDescent="0.25">
      <c r="A391" t="s">
        <v>433</v>
      </c>
      <c r="B391" s="3" t="s">
        <v>5418</v>
      </c>
    </row>
    <row r="392" spans="1:2" ht="112" hidden="1" customHeight="1" x14ac:dyDescent="0.25">
      <c r="A392" t="s">
        <v>434</v>
      </c>
      <c r="B392" s="3" t="s">
        <v>6519</v>
      </c>
    </row>
    <row r="393" spans="1:2" ht="112" hidden="1" customHeight="1" x14ac:dyDescent="0.25">
      <c r="A393" t="s">
        <v>435</v>
      </c>
      <c r="B393" s="3" t="s">
        <v>6520</v>
      </c>
    </row>
    <row r="394" spans="1:2" ht="112" hidden="1" customHeight="1" x14ac:dyDescent="0.25">
      <c r="A394" t="s">
        <v>436</v>
      </c>
      <c r="B394" s="3" t="s">
        <v>3359</v>
      </c>
    </row>
    <row r="395" spans="1:2" ht="112" hidden="1" customHeight="1" x14ac:dyDescent="0.25">
      <c r="A395" t="s">
        <v>437</v>
      </c>
      <c r="B395" s="3" t="s">
        <v>3360</v>
      </c>
    </row>
    <row r="396" spans="1:2" ht="112" hidden="1" customHeight="1" x14ac:dyDescent="0.25">
      <c r="A396" t="s">
        <v>438</v>
      </c>
      <c r="B396" s="3" t="s">
        <v>3361</v>
      </c>
    </row>
    <row r="397" spans="1:2" ht="112" hidden="1" customHeight="1" x14ac:dyDescent="0.25">
      <c r="A397" t="s">
        <v>439</v>
      </c>
      <c r="B397" s="3" t="s">
        <v>6165</v>
      </c>
    </row>
    <row r="398" spans="1:2" ht="112" hidden="1" customHeight="1" x14ac:dyDescent="0.25">
      <c r="A398" t="s">
        <v>440</v>
      </c>
      <c r="B398" s="3" t="s">
        <v>3362</v>
      </c>
    </row>
    <row r="399" spans="1:2" ht="112" hidden="1" customHeight="1" x14ac:dyDescent="0.25">
      <c r="A399" t="s">
        <v>441</v>
      </c>
      <c r="B399" s="3" t="s">
        <v>3363</v>
      </c>
    </row>
    <row r="400" spans="1:2" ht="112" hidden="1" customHeight="1" x14ac:dyDescent="0.25">
      <c r="A400" t="s">
        <v>442</v>
      </c>
      <c r="B400" s="3" t="s">
        <v>6166</v>
      </c>
    </row>
    <row r="401" spans="1:2" ht="112" hidden="1" customHeight="1" x14ac:dyDescent="0.25">
      <c r="A401" t="s">
        <v>443</v>
      </c>
      <c r="B401" s="3" t="s">
        <v>6167</v>
      </c>
    </row>
    <row r="402" spans="1:2" ht="112" hidden="1" customHeight="1" x14ac:dyDescent="0.25">
      <c r="A402" t="s">
        <v>444</v>
      </c>
      <c r="B402" s="3" t="s">
        <v>3364</v>
      </c>
    </row>
    <row r="403" spans="1:2" ht="112" hidden="1" customHeight="1" x14ac:dyDescent="0.25">
      <c r="A403" t="s">
        <v>445</v>
      </c>
      <c r="B403" s="3" t="s">
        <v>6521</v>
      </c>
    </row>
    <row r="404" spans="1:2" ht="112" hidden="1" customHeight="1" x14ac:dyDescent="0.25">
      <c r="A404" t="s">
        <v>446</v>
      </c>
      <c r="B404" s="3" t="s">
        <v>6522</v>
      </c>
    </row>
    <row r="405" spans="1:2" ht="112" hidden="1" customHeight="1" x14ac:dyDescent="0.25">
      <c r="A405" t="s">
        <v>447</v>
      </c>
      <c r="B405" s="3" t="s">
        <v>6523</v>
      </c>
    </row>
    <row r="406" spans="1:2" ht="112" hidden="1" customHeight="1" x14ac:dyDescent="0.25">
      <c r="A406" t="s">
        <v>448</v>
      </c>
      <c r="B406" s="3" t="s">
        <v>3365</v>
      </c>
    </row>
    <row r="407" spans="1:2" ht="112" hidden="1" customHeight="1" x14ac:dyDescent="0.25">
      <c r="A407" t="s">
        <v>449</v>
      </c>
      <c r="B407" s="3" t="s">
        <v>3366</v>
      </c>
    </row>
    <row r="408" spans="1:2" ht="112" hidden="1" customHeight="1" x14ac:dyDescent="0.25">
      <c r="A408" t="s">
        <v>450</v>
      </c>
      <c r="B408" s="3" t="s">
        <v>3367</v>
      </c>
    </row>
    <row r="409" spans="1:2" ht="112" hidden="1" customHeight="1" x14ac:dyDescent="0.25">
      <c r="A409" t="s">
        <v>451</v>
      </c>
      <c r="B409" s="3" t="s">
        <v>3368</v>
      </c>
    </row>
    <row r="410" spans="1:2" ht="112" hidden="1" customHeight="1" x14ac:dyDescent="0.25">
      <c r="A410" t="s">
        <v>452</v>
      </c>
      <c r="B410" s="3" t="s">
        <v>3369</v>
      </c>
    </row>
    <row r="411" spans="1:2" ht="112" hidden="1" customHeight="1" x14ac:dyDescent="0.25">
      <c r="A411" t="s">
        <v>453</v>
      </c>
      <c r="B411" s="3" t="s">
        <v>3370</v>
      </c>
    </row>
    <row r="412" spans="1:2" ht="112" hidden="1" customHeight="1" x14ac:dyDescent="0.25">
      <c r="A412" t="s">
        <v>454</v>
      </c>
      <c r="B412" s="3" t="s">
        <v>3371</v>
      </c>
    </row>
    <row r="413" spans="1:2" ht="112" hidden="1" customHeight="1" x14ac:dyDescent="0.25">
      <c r="A413" t="s">
        <v>455</v>
      </c>
      <c r="B413" s="3" t="s">
        <v>3372</v>
      </c>
    </row>
    <row r="414" spans="1:2" ht="112" hidden="1" customHeight="1" x14ac:dyDescent="0.25">
      <c r="A414" t="s">
        <v>456</v>
      </c>
      <c r="B414" s="3" t="s">
        <v>3373</v>
      </c>
    </row>
    <row r="415" spans="1:2" ht="112" hidden="1" customHeight="1" x14ac:dyDescent="0.25">
      <c r="A415" t="s">
        <v>457</v>
      </c>
      <c r="B415" s="3" t="s">
        <v>4947</v>
      </c>
    </row>
    <row r="416" spans="1:2" ht="112" hidden="1" customHeight="1" x14ac:dyDescent="0.25">
      <c r="A416" t="s">
        <v>458</v>
      </c>
      <c r="B416" s="3" t="s">
        <v>3374</v>
      </c>
    </row>
    <row r="417" spans="1:2" ht="112" hidden="1" customHeight="1" x14ac:dyDescent="0.25">
      <c r="A417" t="s">
        <v>459</v>
      </c>
      <c r="B417" s="3" t="s">
        <v>3375</v>
      </c>
    </row>
    <row r="418" spans="1:2" ht="112" hidden="1" customHeight="1" x14ac:dyDescent="0.25">
      <c r="A418" t="s">
        <v>460</v>
      </c>
      <c r="B418" s="3" t="s">
        <v>3376</v>
      </c>
    </row>
    <row r="419" spans="1:2" ht="112" hidden="1" customHeight="1" x14ac:dyDescent="0.25">
      <c r="A419" t="s">
        <v>461</v>
      </c>
      <c r="B419" s="3" t="s">
        <v>3377</v>
      </c>
    </row>
    <row r="420" spans="1:2" ht="112" hidden="1" customHeight="1" x14ac:dyDescent="0.25">
      <c r="A420" t="s">
        <v>462</v>
      </c>
      <c r="B420" s="3" t="s">
        <v>3378</v>
      </c>
    </row>
    <row r="421" spans="1:2" ht="112" hidden="1" customHeight="1" x14ac:dyDescent="0.25">
      <c r="A421" t="s">
        <v>463</v>
      </c>
      <c r="B421" s="3" t="s">
        <v>3379</v>
      </c>
    </row>
    <row r="422" spans="1:2" ht="112" hidden="1" customHeight="1" x14ac:dyDescent="0.25">
      <c r="A422" t="s">
        <v>464</v>
      </c>
      <c r="B422" s="3" t="s">
        <v>3380</v>
      </c>
    </row>
    <row r="423" spans="1:2" ht="112" hidden="1" customHeight="1" x14ac:dyDescent="0.25">
      <c r="A423" t="s">
        <v>466</v>
      </c>
      <c r="B423" s="3" t="s">
        <v>3381</v>
      </c>
    </row>
    <row r="424" spans="1:2" ht="112" hidden="1" customHeight="1" x14ac:dyDescent="0.25">
      <c r="A424" t="s">
        <v>467</v>
      </c>
      <c r="B424" s="3" t="s">
        <v>3382</v>
      </c>
    </row>
    <row r="425" spans="1:2" ht="112" hidden="1" customHeight="1" x14ac:dyDescent="0.25">
      <c r="A425" t="s">
        <v>468</v>
      </c>
      <c r="B425" s="3" t="s">
        <v>7461</v>
      </c>
    </row>
    <row r="426" spans="1:2" ht="112" hidden="1" customHeight="1" x14ac:dyDescent="0.25">
      <c r="A426" t="s">
        <v>469</v>
      </c>
      <c r="B426" s="3" t="s">
        <v>6358</v>
      </c>
    </row>
    <row r="427" spans="1:2" ht="112" hidden="1" customHeight="1" x14ac:dyDescent="0.25">
      <c r="A427" t="s">
        <v>470</v>
      </c>
      <c r="B427" s="3" t="s">
        <v>6168</v>
      </c>
    </row>
    <row r="428" spans="1:2" ht="112" hidden="1" customHeight="1" x14ac:dyDescent="0.25">
      <c r="A428" t="s">
        <v>471</v>
      </c>
      <c r="B428" s="3" t="s">
        <v>6169</v>
      </c>
    </row>
    <row r="429" spans="1:2" ht="112" hidden="1" customHeight="1" x14ac:dyDescent="0.25">
      <c r="A429" t="s">
        <v>472</v>
      </c>
      <c r="B429" s="3" t="s">
        <v>3383</v>
      </c>
    </row>
    <row r="430" spans="1:2" ht="112" hidden="1" customHeight="1" x14ac:dyDescent="0.25">
      <c r="A430" t="s">
        <v>473</v>
      </c>
      <c r="B430" s="3" t="s">
        <v>5876</v>
      </c>
    </row>
    <row r="431" spans="1:2" ht="112" hidden="1" customHeight="1" x14ac:dyDescent="0.25">
      <c r="A431" t="s">
        <v>474</v>
      </c>
      <c r="B431" s="3" t="s">
        <v>7462</v>
      </c>
    </row>
    <row r="432" spans="1:2" ht="112" hidden="1" customHeight="1" x14ac:dyDescent="0.25">
      <c r="A432" t="s">
        <v>475</v>
      </c>
      <c r="B432" s="3" t="s">
        <v>5877</v>
      </c>
    </row>
    <row r="433" spans="1:2" ht="112" hidden="1" customHeight="1" x14ac:dyDescent="0.25">
      <c r="A433" t="s">
        <v>476</v>
      </c>
      <c r="B433" s="3" t="s">
        <v>4948</v>
      </c>
    </row>
    <row r="434" spans="1:2" ht="112" hidden="1" customHeight="1" x14ac:dyDescent="0.25">
      <c r="A434" t="s">
        <v>477</v>
      </c>
      <c r="B434" s="3" t="s">
        <v>5878</v>
      </c>
    </row>
    <row r="435" spans="1:2" ht="112" hidden="1" customHeight="1" x14ac:dyDescent="0.25">
      <c r="A435" t="s">
        <v>478</v>
      </c>
      <c r="B435" s="3" t="s">
        <v>5879</v>
      </c>
    </row>
    <row r="436" spans="1:2" ht="112" hidden="1" customHeight="1" x14ac:dyDescent="0.25">
      <c r="A436" t="s">
        <v>479</v>
      </c>
      <c r="B436" s="3" t="s">
        <v>3384</v>
      </c>
    </row>
    <row r="437" spans="1:2" ht="112" hidden="1" customHeight="1" x14ac:dyDescent="0.25">
      <c r="A437" t="s">
        <v>480</v>
      </c>
      <c r="B437" s="3" t="s">
        <v>6524</v>
      </c>
    </row>
    <row r="438" spans="1:2" ht="112" hidden="1" customHeight="1" x14ac:dyDescent="0.25">
      <c r="A438" t="s">
        <v>481</v>
      </c>
      <c r="B438" s="3" t="s">
        <v>3385</v>
      </c>
    </row>
    <row r="439" spans="1:2" ht="112" hidden="1" customHeight="1" x14ac:dyDescent="0.25">
      <c r="A439" t="s">
        <v>482</v>
      </c>
      <c r="B439" s="3" t="s">
        <v>6525</v>
      </c>
    </row>
    <row r="440" spans="1:2" ht="112" hidden="1" customHeight="1" x14ac:dyDescent="0.25">
      <c r="A440" t="s">
        <v>483</v>
      </c>
      <c r="B440" s="3" t="s">
        <v>6526</v>
      </c>
    </row>
    <row r="441" spans="1:2" ht="112" hidden="1" customHeight="1" x14ac:dyDescent="0.25">
      <c r="A441" t="s">
        <v>484</v>
      </c>
      <c r="B441" s="3" t="s">
        <v>3386</v>
      </c>
    </row>
    <row r="442" spans="1:2" ht="112" hidden="1" customHeight="1" x14ac:dyDescent="0.25">
      <c r="A442" t="s">
        <v>485</v>
      </c>
      <c r="B442" s="3" t="s">
        <v>6527</v>
      </c>
    </row>
    <row r="443" spans="1:2" ht="112" hidden="1" customHeight="1" x14ac:dyDescent="0.25">
      <c r="A443" t="s">
        <v>486</v>
      </c>
      <c r="B443" s="3" t="s">
        <v>4949</v>
      </c>
    </row>
    <row r="444" spans="1:2" ht="112" hidden="1" customHeight="1" x14ac:dyDescent="0.25">
      <c r="A444" t="s">
        <v>487</v>
      </c>
      <c r="B444" s="3" t="s">
        <v>3387</v>
      </c>
    </row>
    <row r="445" spans="1:2" ht="112" hidden="1" customHeight="1" x14ac:dyDescent="0.25">
      <c r="A445" t="s">
        <v>488</v>
      </c>
      <c r="B445" s="3" t="s">
        <v>5880</v>
      </c>
    </row>
    <row r="446" spans="1:2" ht="112" hidden="1" customHeight="1" x14ac:dyDescent="0.25">
      <c r="A446" t="s">
        <v>489</v>
      </c>
      <c r="B446" s="3" t="s">
        <v>5881</v>
      </c>
    </row>
    <row r="447" spans="1:2" ht="112" hidden="1" customHeight="1" x14ac:dyDescent="0.25">
      <c r="A447" t="s">
        <v>490</v>
      </c>
      <c r="B447" s="3" t="s">
        <v>3388</v>
      </c>
    </row>
    <row r="448" spans="1:2" ht="112" hidden="1" customHeight="1" x14ac:dyDescent="0.25">
      <c r="A448" t="s">
        <v>491</v>
      </c>
      <c r="B448" s="3" t="s">
        <v>3389</v>
      </c>
    </row>
    <row r="449" spans="1:2" ht="112" hidden="1" customHeight="1" x14ac:dyDescent="0.25">
      <c r="A449" t="s">
        <v>492</v>
      </c>
      <c r="B449" s="3" t="s">
        <v>6170</v>
      </c>
    </row>
    <row r="450" spans="1:2" ht="112" hidden="1" customHeight="1" x14ac:dyDescent="0.25">
      <c r="A450" t="s">
        <v>7820</v>
      </c>
      <c r="B450" s="3" t="s">
        <v>6485</v>
      </c>
    </row>
    <row r="451" spans="1:2" ht="112" hidden="1" customHeight="1" x14ac:dyDescent="0.25">
      <c r="A451" t="s">
        <v>493</v>
      </c>
      <c r="B451" s="3" t="s">
        <v>6486</v>
      </c>
    </row>
    <row r="452" spans="1:2" ht="112" hidden="1" customHeight="1" x14ac:dyDescent="0.25">
      <c r="A452" t="s">
        <v>494</v>
      </c>
      <c r="B452" s="3" t="s">
        <v>6487</v>
      </c>
    </row>
    <row r="453" spans="1:2" ht="112" hidden="1" customHeight="1" x14ac:dyDescent="0.25">
      <c r="A453" t="s">
        <v>495</v>
      </c>
      <c r="B453" s="3" t="s">
        <v>6488</v>
      </c>
    </row>
    <row r="454" spans="1:2" ht="112" hidden="1" customHeight="1" x14ac:dyDescent="0.25">
      <c r="A454" t="s">
        <v>496</v>
      </c>
      <c r="B454" s="3" t="s">
        <v>6489</v>
      </c>
    </row>
    <row r="455" spans="1:2" ht="112" hidden="1" customHeight="1" x14ac:dyDescent="0.25">
      <c r="A455" t="s">
        <v>497</v>
      </c>
      <c r="B455" s="3" t="s">
        <v>6490</v>
      </c>
    </row>
    <row r="456" spans="1:2" ht="112" hidden="1" customHeight="1" x14ac:dyDescent="0.25">
      <c r="A456" t="s">
        <v>498</v>
      </c>
      <c r="B456" s="3" t="s">
        <v>6491</v>
      </c>
    </row>
    <row r="457" spans="1:2" ht="112" hidden="1" customHeight="1" x14ac:dyDescent="0.25">
      <c r="A457" t="s">
        <v>499</v>
      </c>
      <c r="B457" s="3" t="s">
        <v>6492</v>
      </c>
    </row>
    <row r="458" spans="1:2" ht="112" hidden="1" customHeight="1" x14ac:dyDescent="0.25">
      <c r="A458" t="s">
        <v>500</v>
      </c>
      <c r="B458" s="3" t="s">
        <v>6493</v>
      </c>
    </row>
    <row r="459" spans="1:2" ht="112" hidden="1" customHeight="1" x14ac:dyDescent="0.25">
      <c r="A459" t="s">
        <v>501</v>
      </c>
      <c r="B459" s="3" t="s">
        <v>6494</v>
      </c>
    </row>
    <row r="460" spans="1:2" ht="112" hidden="1" customHeight="1" x14ac:dyDescent="0.25">
      <c r="A460" t="s">
        <v>502</v>
      </c>
      <c r="B460" s="3" t="s">
        <v>6495</v>
      </c>
    </row>
    <row r="461" spans="1:2" ht="112" hidden="1" customHeight="1" x14ac:dyDescent="0.25">
      <c r="A461" t="s">
        <v>503</v>
      </c>
      <c r="B461" s="3" t="s">
        <v>6496</v>
      </c>
    </row>
    <row r="462" spans="1:2" ht="112" hidden="1" customHeight="1" x14ac:dyDescent="0.25">
      <c r="A462" t="s">
        <v>504</v>
      </c>
      <c r="B462" s="3" t="s">
        <v>6528</v>
      </c>
    </row>
    <row r="463" spans="1:2" ht="112" hidden="1" customHeight="1" x14ac:dyDescent="0.25">
      <c r="A463" t="s">
        <v>505</v>
      </c>
      <c r="B463" s="3" t="s">
        <v>6171</v>
      </c>
    </row>
    <row r="464" spans="1:2" ht="112" hidden="1" customHeight="1" x14ac:dyDescent="0.25">
      <c r="A464" t="s">
        <v>506</v>
      </c>
      <c r="B464" s="3" t="s">
        <v>6359</v>
      </c>
    </row>
    <row r="465" spans="1:2" ht="112" hidden="1" customHeight="1" x14ac:dyDescent="0.25">
      <c r="A465" t="s">
        <v>507</v>
      </c>
      <c r="B465" s="3" t="s">
        <v>6529</v>
      </c>
    </row>
    <row r="466" spans="1:2" ht="112" hidden="1" customHeight="1" x14ac:dyDescent="0.25">
      <c r="A466" t="s">
        <v>508</v>
      </c>
      <c r="B466" s="3" t="s">
        <v>6530</v>
      </c>
    </row>
    <row r="467" spans="1:2" ht="112" hidden="1" customHeight="1" x14ac:dyDescent="0.25">
      <c r="A467" t="s">
        <v>509</v>
      </c>
      <c r="B467" s="3" t="s">
        <v>13452</v>
      </c>
    </row>
    <row r="468" spans="1:2" ht="112" hidden="1" customHeight="1" x14ac:dyDescent="0.25">
      <c r="A468" t="s">
        <v>510</v>
      </c>
      <c r="B468" s="3" t="s">
        <v>4950</v>
      </c>
    </row>
    <row r="469" spans="1:2" ht="112" hidden="1" customHeight="1" x14ac:dyDescent="0.25">
      <c r="A469" t="s">
        <v>511</v>
      </c>
      <c r="B469" s="3" t="s">
        <v>5882</v>
      </c>
    </row>
    <row r="470" spans="1:2" ht="112" hidden="1" customHeight="1" x14ac:dyDescent="0.25">
      <c r="A470" t="s">
        <v>512</v>
      </c>
      <c r="B470" s="3" t="s">
        <v>6360</v>
      </c>
    </row>
    <row r="471" spans="1:2" ht="112" hidden="1" customHeight="1" x14ac:dyDescent="0.25">
      <c r="A471" t="s">
        <v>513</v>
      </c>
      <c r="B471" s="3" t="s">
        <v>4951</v>
      </c>
    </row>
    <row r="472" spans="1:2" ht="112" hidden="1" customHeight="1" x14ac:dyDescent="0.25">
      <c r="A472" t="s">
        <v>514</v>
      </c>
      <c r="B472" s="3" t="s">
        <v>4952</v>
      </c>
    </row>
    <row r="473" spans="1:2" ht="112" hidden="1" customHeight="1" x14ac:dyDescent="0.25">
      <c r="A473" t="s">
        <v>515</v>
      </c>
      <c r="B473" s="3" t="s">
        <v>4953</v>
      </c>
    </row>
    <row r="474" spans="1:2" ht="112" hidden="1" customHeight="1" x14ac:dyDescent="0.25">
      <c r="A474" t="s">
        <v>516</v>
      </c>
      <c r="B474" s="3" t="s">
        <v>4954</v>
      </c>
    </row>
    <row r="475" spans="1:2" ht="112" hidden="1" customHeight="1" x14ac:dyDescent="0.25">
      <c r="A475" t="s">
        <v>517</v>
      </c>
      <c r="B475" s="3" t="s">
        <v>4955</v>
      </c>
    </row>
    <row r="476" spans="1:2" ht="112" hidden="1" customHeight="1" x14ac:dyDescent="0.25">
      <c r="A476" t="s">
        <v>518</v>
      </c>
      <c r="B476" s="3" t="s">
        <v>4956</v>
      </c>
    </row>
    <row r="477" spans="1:2" ht="112" hidden="1" customHeight="1" x14ac:dyDescent="0.25">
      <c r="A477" t="s">
        <v>519</v>
      </c>
      <c r="B477" s="3" t="s">
        <v>4957</v>
      </c>
    </row>
    <row r="478" spans="1:2" ht="112" hidden="1" customHeight="1" x14ac:dyDescent="0.25">
      <c r="A478" t="s">
        <v>520</v>
      </c>
      <c r="B478" s="3" t="s">
        <v>4958</v>
      </c>
    </row>
    <row r="479" spans="1:2" ht="112" hidden="1" customHeight="1" x14ac:dyDescent="0.25">
      <c r="A479" t="s">
        <v>521</v>
      </c>
      <c r="B479" s="3" t="s">
        <v>5883</v>
      </c>
    </row>
    <row r="480" spans="1:2" ht="112" hidden="1" customHeight="1" x14ac:dyDescent="0.25">
      <c r="A480" t="s">
        <v>522</v>
      </c>
      <c r="B480" s="3" t="s">
        <v>4959</v>
      </c>
    </row>
    <row r="481" spans="1:2" ht="112" hidden="1" customHeight="1" x14ac:dyDescent="0.25">
      <c r="A481" t="s">
        <v>523</v>
      </c>
      <c r="B481" s="3" t="s">
        <v>4960</v>
      </c>
    </row>
    <row r="482" spans="1:2" ht="112" hidden="1" customHeight="1" x14ac:dyDescent="0.25">
      <c r="A482" t="s">
        <v>524</v>
      </c>
      <c r="B482" s="3" t="s">
        <v>4961</v>
      </c>
    </row>
    <row r="483" spans="1:2" ht="112" hidden="1" customHeight="1" x14ac:dyDescent="0.25">
      <c r="A483" t="s">
        <v>525</v>
      </c>
      <c r="B483" s="3" t="s">
        <v>4962</v>
      </c>
    </row>
    <row r="484" spans="1:2" ht="112" hidden="1" customHeight="1" x14ac:dyDescent="0.25">
      <c r="A484" t="s">
        <v>526</v>
      </c>
      <c r="B484" s="3" t="s">
        <v>4963</v>
      </c>
    </row>
    <row r="485" spans="1:2" ht="112" hidden="1" customHeight="1" x14ac:dyDescent="0.25">
      <c r="A485" t="s">
        <v>527</v>
      </c>
      <c r="B485" s="3" t="s">
        <v>5884</v>
      </c>
    </row>
    <row r="486" spans="1:2" ht="112" hidden="1" customHeight="1" x14ac:dyDescent="0.25">
      <c r="A486" t="s">
        <v>528</v>
      </c>
      <c r="B486" s="3" t="s">
        <v>4964</v>
      </c>
    </row>
    <row r="487" spans="1:2" ht="112" hidden="1" customHeight="1" x14ac:dyDescent="0.25">
      <c r="A487" t="s">
        <v>529</v>
      </c>
      <c r="B487" s="3" t="s">
        <v>3390</v>
      </c>
    </row>
    <row r="488" spans="1:2" ht="112" hidden="1" customHeight="1" x14ac:dyDescent="0.25">
      <c r="A488" t="s">
        <v>530</v>
      </c>
      <c r="B488" s="3" t="s">
        <v>6172</v>
      </c>
    </row>
    <row r="489" spans="1:2" ht="112" hidden="1" customHeight="1" x14ac:dyDescent="0.25">
      <c r="A489" t="s">
        <v>531</v>
      </c>
      <c r="B489" s="3" t="s">
        <v>3391</v>
      </c>
    </row>
    <row r="490" spans="1:2" ht="112" hidden="1" customHeight="1" x14ac:dyDescent="0.25">
      <c r="A490" t="s">
        <v>532</v>
      </c>
      <c r="B490" s="3" t="s">
        <v>6173</v>
      </c>
    </row>
    <row r="491" spans="1:2" ht="112" hidden="1" customHeight="1" x14ac:dyDescent="0.25">
      <c r="A491" t="s">
        <v>533</v>
      </c>
      <c r="B491" s="3" t="s">
        <v>6531</v>
      </c>
    </row>
    <row r="492" spans="1:2" ht="112" hidden="1" customHeight="1" x14ac:dyDescent="0.25">
      <c r="A492" t="s">
        <v>534</v>
      </c>
      <c r="B492" s="3" t="s">
        <v>6532</v>
      </c>
    </row>
    <row r="493" spans="1:2" ht="112" hidden="1" customHeight="1" x14ac:dyDescent="0.25">
      <c r="A493" t="s">
        <v>535</v>
      </c>
      <c r="B493" s="3" t="s">
        <v>6174</v>
      </c>
    </row>
    <row r="494" spans="1:2" ht="112" hidden="1" customHeight="1" x14ac:dyDescent="0.25">
      <c r="A494" t="s">
        <v>536</v>
      </c>
      <c r="B494" s="3" t="s">
        <v>6175</v>
      </c>
    </row>
    <row r="495" spans="1:2" ht="112" hidden="1" customHeight="1" x14ac:dyDescent="0.25">
      <c r="A495" t="s">
        <v>537</v>
      </c>
      <c r="B495" s="3" t="s">
        <v>6176</v>
      </c>
    </row>
    <row r="496" spans="1:2" ht="112" hidden="1" customHeight="1" x14ac:dyDescent="0.25">
      <c r="A496" t="s">
        <v>538</v>
      </c>
      <c r="B496" s="3" t="s">
        <v>5885</v>
      </c>
    </row>
    <row r="497" spans="1:2" ht="112" hidden="1" customHeight="1" x14ac:dyDescent="0.25">
      <c r="A497" t="s">
        <v>539</v>
      </c>
      <c r="B497" s="3" t="s">
        <v>3392</v>
      </c>
    </row>
    <row r="498" spans="1:2" ht="112" hidden="1" customHeight="1" x14ac:dyDescent="0.25">
      <c r="A498" t="s">
        <v>540</v>
      </c>
      <c r="B498" s="3" t="s">
        <v>3393</v>
      </c>
    </row>
    <row r="499" spans="1:2" ht="112" hidden="1" customHeight="1" x14ac:dyDescent="0.25">
      <c r="A499" t="s">
        <v>541</v>
      </c>
      <c r="B499" s="3" t="s">
        <v>3394</v>
      </c>
    </row>
    <row r="500" spans="1:2" ht="112" hidden="1" customHeight="1" x14ac:dyDescent="0.25">
      <c r="A500" t="s">
        <v>542</v>
      </c>
      <c r="B500" s="3" t="s">
        <v>3395</v>
      </c>
    </row>
    <row r="501" spans="1:2" ht="112" hidden="1" customHeight="1" x14ac:dyDescent="0.25">
      <c r="A501" t="s">
        <v>543</v>
      </c>
      <c r="B501" s="3" t="s">
        <v>3396</v>
      </c>
    </row>
    <row r="502" spans="1:2" ht="112" hidden="1" customHeight="1" x14ac:dyDescent="0.25">
      <c r="A502" t="s">
        <v>544</v>
      </c>
      <c r="B502" s="3" t="s">
        <v>6533</v>
      </c>
    </row>
    <row r="503" spans="1:2" ht="112" hidden="1" customHeight="1" x14ac:dyDescent="0.25">
      <c r="A503" t="s">
        <v>545</v>
      </c>
      <c r="B503" s="3" t="s">
        <v>6177</v>
      </c>
    </row>
    <row r="504" spans="1:2" ht="112" hidden="1" customHeight="1" x14ac:dyDescent="0.25">
      <c r="A504" t="s">
        <v>546</v>
      </c>
      <c r="B504" s="3" t="s">
        <v>6534</v>
      </c>
    </row>
    <row r="505" spans="1:2" ht="112" hidden="1" customHeight="1" x14ac:dyDescent="0.25">
      <c r="A505" t="s">
        <v>547</v>
      </c>
      <c r="B505" s="3" t="s">
        <v>6178</v>
      </c>
    </row>
    <row r="506" spans="1:2" ht="112" hidden="1" customHeight="1" x14ac:dyDescent="0.25">
      <c r="A506" t="s">
        <v>548</v>
      </c>
      <c r="B506" s="3" t="s">
        <v>6179</v>
      </c>
    </row>
    <row r="507" spans="1:2" ht="112" hidden="1" customHeight="1" x14ac:dyDescent="0.25">
      <c r="A507" t="s">
        <v>549</v>
      </c>
      <c r="B507" s="3" t="s">
        <v>6180</v>
      </c>
    </row>
    <row r="508" spans="1:2" ht="112" hidden="1" customHeight="1" x14ac:dyDescent="0.25">
      <c r="A508" t="s">
        <v>550</v>
      </c>
      <c r="B508" s="3" t="s">
        <v>5886</v>
      </c>
    </row>
    <row r="509" spans="1:2" ht="112" hidden="1" customHeight="1" x14ac:dyDescent="0.25">
      <c r="A509" t="s">
        <v>551</v>
      </c>
      <c r="B509" s="3" t="s">
        <v>6181</v>
      </c>
    </row>
    <row r="510" spans="1:2" ht="112" hidden="1" customHeight="1" x14ac:dyDescent="0.25">
      <c r="A510" t="s">
        <v>552</v>
      </c>
      <c r="B510" s="3" t="s">
        <v>6497</v>
      </c>
    </row>
    <row r="511" spans="1:2" ht="112" hidden="1" customHeight="1" x14ac:dyDescent="0.25">
      <c r="A511" t="s">
        <v>553</v>
      </c>
      <c r="B511" s="3" t="s">
        <v>3397</v>
      </c>
    </row>
    <row r="512" spans="1:2" ht="112" hidden="1" customHeight="1" x14ac:dyDescent="0.25">
      <c r="A512" t="s">
        <v>554</v>
      </c>
      <c r="B512" s="3" t="s">
        <v>6361</v>
      </c>
    </row>
    <row r="513" spans="1:2" ht="112" hidden="1" customHeight="1" x14ac:dyDescent="0.25">
      <c r="A513" t="s">
        <v>555</v>
      </c>
      <c r="B513" s="3" t="s">
        <v>6362</v>
      </c>
    </row>
    <row r="514" spans="1:2" ht="112" hidden="1" customHeight="1" x14ac:dyDescent="0.25">
      <c r="A514" t="s">
        <v>556</v>
      </c>
      <c r="B514" s="3" t="s">
        <v>6363</v>
      </c>
    </row>
    <row r="515" spans="1:2" ht="112" hidden="1" customHeight="1" x14ac:dyDescent="0.25">
      <c r="A515" t="s">
        <v>557</v>
      </c>
      <c r="B515" s="3" t="s">
        <v>6182</v>
      </c>
    </row>
    <row r="516" spans="1:2" ht="112" hidden="1" customHeight="1" x14ac:dyDescent="0.25">
      <c r="A516" t="s">
        <v>558</v>
      </c>
      <c r="B516" s="3" t="s">
        <v>6183</v>
      </c>
    </row>
    <row r="517" spans="1:2" ht="112" hidden="1" customHeight="1" x14ac:dyDescent="0.25">
      <c r="A517" t="s">
        <v>559</v>
      </c>
      <c r="B517" s="3" t="s">
        <v>5887</v>
      </c>
    </row>
    <row r="518" spans="1:2" ht="112" hidden="1" customHeight="1" x14ac:dyDescent="0.25">
      <c r="A518" t="s">
        <v>561</v>
      </c>
      <c r="B518" s="3" t="s">
        <v>3398</v>
      </c>
    </row>
    <row r="519" spans="1:2" ht="112" hidden="1" customHeight="1" x14ac:dyDescent="0.25">
      <c r="A519" t="s">
        <v>562</v>
      </c>
      <c r="B519" s="3" t="s">
        <v>3399</v>
      </c>
    </row>
    <row r="520" spans="1:2" ht="112" hidden="1" customHeight="1" x14ac:dyDescent="0.25">
      <c r="A520" t="s">
        <v>563</v>
      </c>
      <c r="B520" s="3" t="s">
        <v>3400</v>
      </c>
    </row>
    <row r="521" spans="1:2" ht="112" hidden="1" customHeight="1" x14ac:dyDescent="0.25">
      <c r="A521" t="s">
        <v>564</v>
      </c>
      <c r="B521" s="3" t="s">
        <v>3401</v>
      </c>
    </row>
    <row r="522" spans="1:2" ht="112" hidden="1" customHeight="1" x14ac:dyDescent="0.25">
      <c r="A522" t="s">
        <v>565</v>
      </c>
      <c r="B522" s="3" t="s">
        <v>3402</v>
      </c>
    </row>
    <row r="523" spans="1:2" ht="112" hidden="1" customHeight="1" x14ac:dyDescent="0.25">
      <c r="A523" t="s">
        <v>566</v>
      </c>
      <c r="B523" s="3" t="s">
        <v>7463</v>
      </c>
    </row>
    <row r="524" spans="1:2" ht="112" hidden="1" customHeight="1" x14ac:dyDescent="0.25">
      <c r="A524" t="s">
        <v>568</v>
      </c>
      <c r="B524" s="3" t="s">
        <v>3403</v>
      </c>
    </row>
    <row r="525" spans="1:2" ht="112" hidden="1" customHeight="1" x14ac:dyDescent="0.25">
      <c r="A525" t="s">
        <v>569</v>
      </c>
      <c r="B525" s="3" t="s">
        <v>3404</v>
      </c>
    </row>
    <row r="526" spans="1:2" ht="112" hidden="1" customHeight="1" x14ac:dyDescent="0.25">
      <c r="A526" t="s">
        <v>570</v>
      </c>
      <c r="B526" s="3" t="s">
        <v>3405</v>
      </c>
    </row>
    <row r="527" spans="1:2" ht="112" hidden="1" customHeight="1" x14ac:dyDescent="0.25">
      <c r="A527" t="s">
        <v>571</v>
      </c>
      <c r="B527" s="3" t="s">
        <v>3406</v>
      </c>
    </row>
    <row r="528" spans="1:2" ht="112" hidden="1" customHeight="1" x14ac:dyDescent="0.25">
      <c r="A528" t="s">
        <v>572</v>
      </c>
      <c r="B528" s="3" t="s">
        <v>6535</v>
      </c>
    </row>
    <row r="529" spans="1:2" ht="112" hidden="1" customHeight="1" x14ac:dyDescent="0.25">
      <c r="A529" t="s">
        <v>573</v>
      </c>
      <c r="B529" s="3" t="s">
        <v>6536</v>
      </c>
    </row>
    <row r="530" spans="1:2" ht="112" hidden="1" customHeight="1" x14ac:dyDescent="0.25">
      <c r="A530" t="s">
        <v>574</v>
      </c>
      <c r="B530" s="3" t="s">
        <v>6537</v>
      </c>
    </row>
    <row r="531" spans="1:2" ht="112" hidden="1" customHeight="1" x14ac:dyDescent="0.25">
      <c r="A531" t="s">
        <v>575</v>
      </c>
      <c r="B531" s="3" t="s">
        <v>6538</v>
      </c>
    </row>
    <row r="532" spans="1:2" ht="112" hidden="1" customHeight="1" x14ac:dyDescent="0.25">
      <c r="A532" t="s">
        <v>576</v>
      </c>
      <c r="B532" s="3" t="s">
        <v>6539</v>
      </c>
    </row>
    <row r="533" spans="1:2" ht="112" hidden="1" customHeight="1" x14ac:dyDescent="0.25">
      <c r="A533" t="s">
        <v>577</v>
      </c>
      <c r="B533" s="3" t="s">
        <v>6184</v>
      </c>
    </row>
    <row r="534" spans="1:2" ht="112" hidden="1" customHeight="1" x14ac:dyDescent="0.25">
      <c r="A534" t="s">
        <v>578</v>
      </c>
      <c r="B534" s="3" t="s">
        <v>6185</v>
      </c>
    </row>
    <row r="535" spans="1:2" ht="112" hidden="1" customHeight="1" x14ac:dyDescent="0.25">
      <c r="A535" t="s">
        <v>579</v>
      </c>
      <c r="B535" s="3" t="s">
        <v>3407</v>
      </c>
    </row>
    <row r="536" spans="1:2" ht="112" hidden="1" customHeight="1" x14ac:dyDescent="0.25">
      <c r="A536" t="s">
        <v>580</v>
      </c>
      <c r="B536" s="3" t="s">
        <v>3408</v>
      </c>
    </row>
    <row r="537" spans="1:2" ht="112" hidden="1" customHeight="1" x14ac:dyDescent="0.25">
      <c r="A537" t="s">
        <v>581</v>
      </c>
      <c r="B537" s="3" t="s">
        <v>3409</v>
      </c>
    </row>
    <row r="538" spans="1:2" ht="112" hidden="1" customHeight="1" x14ac:dyDescent="0.25">
      <c r="A538" t="s">
        <v>582</v>
      </c>
      <c r="B538" s="3" t="s">
        <v>3410</v>
      </c>
    </row>
    <row r="539" spans="1:2" ht="112" hidden="1" customHeight="1" x14ac:dyDescent="0.25">
      <c r="A539" t="s">
        <v>583</v>
      </c>
      <c r="B539" s="3" t="s">
        <v>3411</v>
      </c>
    </row>
    <row r="540" spans="1:2" ht="112" hidden="1" customHeight="1" x14ac:dyDescent="0.25">
      <c r="A540" t="s">
        <v>584</v>
      </c>
      <c r="B540" s="3" t="s">
        <v>3412</v>
      </c>
    </row>
    <row r="541" spans="1:2" ht="112" hidden="1" customHeight="1" x14ac:dyDescent="0.25">
      <c r="A541" t="s">
        <v>585</v>
      </c>
      <c r="B541" s="3" t="s">
        <v>5888</v>
      </c>
    </row>
    <row r="542" spans="1:2" ht="112" hidden="1" customHeight="1" x14ac:dyDescent="0.25">
      <c r="A542" t="s">
        <v>586</v>
      </c>
      <c r="B542" s="3" t="s">
        <v>5889</v>
      </c>
    </row>
    <row r="543" spans="1:2" ht="112" hidden="1" customHeight="1" x14ac:dyDescent="0.25">
      <c r="A543" t="s">
        <v>587</v>
      </c>
      <c r="B543" s="3" t="s">
        <v>5890</v>
      </c>
    </row>
    <row r="544" spans="1:2" ht="112" hidden="1" customHeight="1" x14ac:dyDescent="0.25">
      <c r="A544" t="s">
        <v>588</v>
      </c>
      <c r="B544" s="3" t="s">
        <v>5891</v>
      </c>
    </row>
    <row r="545" spans="1:2" ht="112" hidden="1" customHeight="1" x14ac:dyDescent="0.25">
      <c r="A545" t="s">
        <v>589</v>
      </c>
      <c r="B545" s="3" t="s">
        <v>5892</v>
      </c>
    </row>
    <row r="546" spans="1:2" ht="112" hidden="1" customHeight="1" x14ac:dyDescent="0.25">
      <c r="A546" t="s">
        <v>590</v>
      </c>
      <c r="B546" s="3" t="s">
        <v>5893</v>
      </c>
    </row>
    <row r="547" spans="1:2" ht="112" hidden="1" customHeight="1" x14ac:dyDescent="0.25">
      <c r="A547" t="s">
        <v>591</v>
      </c>
      <c r="B547" s="3" t="s">
        <v>5894</v>
      </c>
    </row>
    <row r="548" spans="1:2" ht="112" hidden="1" customHeight="1" x14ac:dyDescent="0.25">
      <c r="A548" t="s">
        <v>592</v>
      </c>
      <c r="B548" s="3" t="s">
        <v>5895</v>
      </c>
    </row>
    <row r="549" spans="1:2" ht="112" hidden="1" customHeight="1" x14ac:dyDescent="0.25">
      <c r="A549" t="s">
        <v>593</v>
      </c>
      <c r="B549" s="3" t="s">
        <v>5896</v>
      </c>
    </row>
    <row r="550" spans="1:2" ht="112" hidden="1" customHeight="1" x14ac:dyDescent="0.25">
      <c r="A550" t="s">
        <v>594</v>
      </c>
      <c r="B550" s="3" t="s">
        <v>5897</v>
      </c>
    </row>
    <row r="551" spans="1:2" ht="112" hidden="1" customHeight="1" x14ac:dyDescent="0.25">
      <c r="A551" t="s">
        <v>595</v>
      </c>
      <c r="B551" s="3" t="s">
        <v>5898</v>
      </c>
    </row>
    <row r="552" spans="1:2" ht="112" hidden="1" customHeight="1" x14ac:dyDescent="0.25">
      <c r="A552" t="s">
        <v>596</v>
      </c>
      <c r="B552" s="3" t="s">
        <v>5899</v>
      </c>
    </row>
    <row r="553" spans="1:2" ht="112" hidden="1" customHeight="1" x14ac:dyDescent="0.25">
      <c r="A553" t="s">
        <v>597</v>
      </c>
      <c r="B553" s="3" t="s">
        <v>5900</v>
      </c>
    </row>
    <row r="554" spans="1:2" ht="112" hidden="1" customHeight="1" x14ac:dyDescent="0.25">
      <c r="A554" t="s">
        <v>598</v>
      </c>
      <c r="B554" s="3" t="s">
        <v>5901</v>
      </c>
    </row>
    <row r="555" spans="1:2" ht="112" hidden="1" customHeight="1" x14ac:dyDescent="0.25">
      <c r="A555" t="s">
        <v>599</v>
      </c>
      <c r="B555" s="3" t="s">
        <v>6540</v>
      </c>
    </row>
    <row r="556" spans="1:2" ht="112" hidden="1" customHeight="1" x14ac:dyDescent="0.25">
      <c r="A556" t="s">
        <v>600</v>
      </c>
      <c r="B556" s="3" t="s">
        <v>4965</v>
      </c>
    </row>
    <row r="557" spans="1:2" ht="112" hidden="1" customHeight="1" x14ac:dyDescent="0.25">
      <c r="A557" t="s">
        <v>601</v>
      </c>
      <c r="B557" s="3" t="s">
        <v>3413</v>
      </c>
    </row>
    <row r="558" spans="1:2" ht="112" hidden="1" customHeight="1" x14ac:dyDescent="0.25">
      <c r="A558" t="s">
        <v>602</v>
      </c>
      <c r="B558" s="3" t="s">
        <v>3414</v>
      </c>
    </row>
    <row r="559" spans="1:2" ht="112" hidden="1" customHeight="1" x14ac:dyDescent="0.25">
      <c r="A559" t="s">
        <v>603</v>
      </c>
      <c r="B559" s="3" t="s">
        <v>3415</v>
      </c>
    </row>
    <row r="560" spans="1:2" ht="112" hidden="1" customHeight="1" x14ac:dyDescent="0.25">
      <c r="A560" t="s">
        <v>604</v>
      </c>
      <c r="B560" s="3" t="s">
        <v>3416</v>
      </c>
    </row>
    <row r="561" spans="1:2" ht="112" hidden="1" customHeight="1" x14ac:dyDescent="0.25">
      <c r="A561" t="s">
        <v>605</v>
      </c>
      <c r="B561" s="3" t="s">
        <v>3417</v>
      </c>
    </row>
    <row r="562" spans="1:2" ht="112" hidden="1" customHeight="1" x14ac:dyDescent="0.25">
      <c r="A562" t="s">
        <v>606</v>
      </c>
      <c r="B562" s="3" t="s">
        <v>3418</v>
      </c>
    </row>
    <row r="563" spans="1:2" ht="112" hidden="1" customHeight="1" x14ac:dyDescent="0.25">
      <c r="A563" t="s">
        <v>607</v>
      </c>
      <c r="B563" s="3" t="s">
        <v>3419</v>
      </c>
    </row>
    <row r="564" spans="1:2" ht="112" hidden="1" customHeight="1" x14ac:dyDescent="0.25">
      <c r="A564" t="s">
        <v>608</v>
      </c>
      <c r="B564" s="3" t="s">
        <v>3420</v>
      </c>
    </row>
    <row r="565" spans="1:2" ht="112" hidden="1" customHeight="1" x14ac:dyDescent="0.25">
      <c r="A565" t="s">
        <v>609</v>
      </c>
      <c r="B565" s="3" t="s">
        <v>3421</v>
      </c>
    </row>
    <row r="566" spans="1:2" ht="112" hidden="1" customHeight="1" x14ac:dyDescent="0.25">
      <c r="A566" t="s">
        <v>610</v>
      </c>
      <c r="B566" s="3" t="s">
        <v>3422</v>
      </c>
    </row>
    <row r="567" spans="1:2" ht="112" hidden="1" customHeight="1" x14ac:dyDescent="0.25">
      <c r="A567" t="s">
        <v>611</v>
      </c>
      <c r="B567" s="3" t="s">
        <v>3423</v>
      </c>
    </row>
    <row r="568" spans="1:2" ht="112" hidden="1" customHeight="1" x14ac:dyDescent="0.25">
      <c r="A568" t="s">
        <v>612</v>
      </c>
      <c r="B568" s="3" t="s">
        <v>3424</v>
      </c>
    </row>
    <row r="569" spans="1:2" ht="112" hidden="1" customHeight="1" x14ac:dyDescent="0.25">
      <c r="A569" t="s">
        <v>613</v>
      </c>
      <c r="B569" s="3" t="s">
        <v>3425</v>
      </c>
    </row>
    <row r="570" spans="1:2" ht="112" hidden="1" customHeight="1" x14ac:dyDescent="0.25">
      <c r="A570" t="s">
        <v>614</v>
      </c>
      <c r="B570" s="3" t="s">
        <v>3426</v>
      </c>
    </row>
    <row r="571" spans="1:2" ht="112" hidden="1" customHeight="1" x14ac:dyDescent="0.25">
      <c r="A571" t="s">
        <v>615</v>
      </c>
      <c r="B571" s="3" t="s">
        <v>3427</v>
      </c>
    </row>
    <row r="572" spans="1:2" ht="112" hidden="1" customHeight="1" x14ac:dyDescent="0.25">
      <c r="A572" t="s">
        <v>616</v>
      </c>
      <c r="B572" s="3" t="s">
        <v>3428</v>
      </c>
    </row>
    <row r="573" spans="1:2" ht="112" hidden="1" customHeight="1" x14ac:dyDescent="0.25">
      <c r="A573" t="s">
        <v>617</v>
      </c>
      <c r="B573" s="3" t="s">
        <v>3429</v>
      </c>
    </row>
    <row r="574" spans="1:2" ht="112" hidden="1" customHeight="1" x14ac:dyDescent="0.25">
      <c r="A574" t="s">
        <v>618</v>
      </c>
      <c r="B574" s="3" t="s">
        <v>3430</v>
      </c>
    </row>
    <row r="575" spans="1:2" ht="112" hidden="1" customHeight="1" x14ac:dyDescent="0.25">
      <c r="A575" t="s">
        <v>619</v>
      </c>
      <c r="B575" s="3" t="s">
        <v>3431</v>
      </c>
    </row>
    <row r="576" spans="1:2" ht="112" hidden="1" customHeight="1" x14ac:dyDescent="0.25">
      <c r="A576" t="s">
        <v>620</v>
      </c>
      <c r="B576" s="3" t="s">
        <v>3432</v>
      </c>
    </row>
    <row r="577" spans="1:2" ht="112" hidden="1" customHeight="1" x14ac:dyDescent="0.25">
      <c r="A577" t="s">
        <v>621</v>
      </c>
      <c r="B577" s="3" t="s">
        <v>3433</v>
      </c>
    </row>
    <row r="578" spans="1:2" ht="112" hidden="1" customHeight="1" x14ac:dyDescent="0.25">
      <c r="A578" t="s">
        <v>622</v>
      </c>
      <c r="B578" s="3" t="s">
        <v>3434</v>
      </c>
    </row>
    <row r="579" spans="1:2" ht="112" hidden="1" customHeight="1" x14ac:dyDescent="0.25">
      <c r="A579" t="s">
        <v>623</v>
      </c>
      <c r="B579" s="3" t="s">
        <v>3435</v>
      </c>
    </row>
    <row r="580" spans="1:2" ht="112" hidden="1" customHeight="1" x14ac:dyDescent="0.25">
      <c r="A580" t="s">
        <v>624</v>
      </c>
      <c r="B580" s="3" t="s">
        <v>3436</v>
      </c>
    </row>
    <row r="581" spans="1:2" ht="112" hidden="1" customHeight="1" x14ac:dyDescent="0.25">
      <c r="A581" t="s">
        <v>625</v>
      </c>
      <c r="B581" s="3" t="s">
        <v>11120</v>
      </c>
    </row>
    <row r="582" spans="1:2" ht="112" hidden="1" customHeight="1" x14ac:dyDescent="0.25">
      <c r="A582" t="s">
        <v>626</v>
      </c>
      <c r="B582" s="3" t="s">
        <v>3437</v>
      </c>
    </row>
    <row r="583" spans="1:2" ht="112" hidden="1" customHeight="1" x14ac:dyDescent="0.25">
      <c r="A583" t="s">
        <v>627</v>
      </c>
      <c r="B583" s="3" t="s">
        <v>3438</v>
      </c>
    </row>
    <row r="584" spans="1:2" ht="112" hidden="1" customHeight="1" x14ac:dyDescent="0.25">
      <c r="A584" t="s">
        <v>628</v>
      </c>
      <c r="B584" s="3" t="s">
        <v>3439</v>
      </c>
    </row>
    <row r="585" spans="1:2" ht="112" hidden="1" customHeight="1" x14ac:dyDescent="0.25">
      <c r="A585" t="s">
        <v>629</v>
      </c>
      <c r="B585" s="3" t="s">
        <v>3440</v>
      </c>
    </row>
    <row r="586" spans="1:2" ht="112" hidden="1" customHeight="1" x14ac:dyDescent="0.25">
      <c r="A586" t="s">
        <v>630</v>
      </c>
      <c r="B586" s="3" t="s">
        <v>3441</v>
      </c>
    </row>
    <row r="587" spans="1:2" ht="112" hidden="1" customHeight="1" x14ac:dyDescent="0.25">
      <c r="A587" t="s">
        <v>631</v>
      </c>
      <c r="B587" s="3" t="s">
        <v>3442</v>
      </c>
    </row>
    <row r="588" spans="1:2" ht="112" hidden="1" customHeight="1" x14ac:dyDescent="0.25">
      <c r="A588" t="s">
        <v>632</v>
      </c>
      <c r="B588" s="3" t="s">
        <v>3443</v>
      </c>
    </row>
    <row r="589" spans="1:2" ht="112" hidden="1" customHeight="1" x14ac:dyDescent="0.25">
      <c r="A589" t="s">
        <v>633</v>
      </c>
      <c r="B589" s="3" t="s">
        <v>3444</v>
      </c>
    </row>
    <row r="590" spans="1:2" ht="112" hidden="1" customHeight="1" x14ac:dyDescent="0.25">
      <c r="A590" t="s">
        <v>634</v>
      </c>
      <c r="B590" s="3" t="s">
        <v>3445</v>
      </c>
    </row>
    <row r="591" spans="1:2" ht="112" hidden="1" customHeight="1" x14ac:dyDescent="0.25">
      <c r="A591" t="s">
        <v>635</v>
      </c>
      <c r="B591" s="3" t="s">
        <v>3446</v>
      </c>
    </row>
    <row r="592" spans="1:2" ht="112" hidden="1" customHeight="1" x14ac:dyDescent="0.25">
      <c r="A592" t="s">
        <v>636</v>
      </c>
      <c r="B592" s="3" t="s">
        <v>3447</v>
      </c>
    </row>
    <row r="593" spans="1:2" ht="112" hidden="1" customHeight="1" x14ac:dyDescent="0.25">
      <c r="A593" t="s">
        <v>637</v>
      </c>
      <c r="B593" s="3" t="s">
        <v>3448</v>
      </c>
    </row>
    <row r="594" spans="1:2" ht="112" hidden="1" customHeight="1" x14ac:dyDescent="0.25">
      <c r="A594" t="s">
        <v>638</v>
      </c>
      <c r="B594" s="3" t="s">
        <v>3449</v>
      </c>
    </row>
    <row r="595" spans="1:2" ht="112" hidden="1" customHeight="1" x14ac:dyDescent="0.25">
      <c r="A595" t="s">
        <v>639</v>
      </c>
      <c r="B595" s="3" t="s">
        <v>6541</v>
      </c>
    </row>
    <row r="596" spans="1:2" ht="112" hidden="1" customHeight="1" x14ac:dyDescent="0.25">
      <c r="A596" t="s">
        <v>640</v>
      </c>
      <c r="B596" s="3" t="s">
        <v>6542</v>
      </c>
    </row>
    <row r="597" spans="1:2" ht="112" hidden="1" customHeight="1" x14ac:dyDescent="0.25">
      <c r="A597" t="s">
        <v>641</v>
      </c>
      <c r="B597" s="3" t="s">
        <v>6543</v>
      </c>
    </row>
    <row r="598" spans="1:2" ht="112" hidden="1" customHeight="1" x14ac:dyDescent="0.25">
      <c r="A598" t="s">
        <v>642</v>
      </c>
      <c r="B598" s="3" t="s">
        <v>6544</v>
      </c>
    </row>
    <row r="599" spans="1:2" ht="112" hidden="1" customHeight="1" x14ac:dyDescent="0.25">
      <c r="A599" t="s">
        <v>643</v>
      </c>
      <c r="B599" s="3" t="s">
        <v>3450</v>
      </c>
    </row>
    <row r="600" spans="1:2" ht="112" hidden="1" customHeight="1" x14ac:dyDescent="0.25">
      <c r="A600" t="s">
        <v>644</v>
      </c>
      <c r="B600" s="3" t="s">
        <v>3451</v>
      </c>
    </row>
    <row r="601" spans="1:2" ht="112" hidden="1" customHeight="1" x14ac:dyDescent="0.25">
      <c r="A601" t="s">
        <v>645</v>
      </c>
      <c r="B601" s="3" t="s">
        <v>3452</v>
      </c>
    </row>
    <row r="602" spans="1:2" ht="112" hidden="1" customHeight="1" x14ac:dyDescent="0.25">
      <c r="A602" t="s">
        <v>646</v>
      </c>
      <c r="B602" s="3" t="s">
        <v>3453</v>
      </c>
    </row>
    <row r="603" spans="1:2" ht="112" hidden="1" customHeight="1" x14ac:dyDescent="0.25">
      <c r="A603" t="s">
        <v>647</v>
      </c>
      <c r="B603" s="3" t="s">
        <v>3454</v>
      </c>
    </row>
    <row r="604" spans="1:2" ht="112" hidden="1" customHeight="1" x14ac:dyDescent="0.25">
      <c r="A604" t="s">
        <v>648</v>
      </c>
      <c r="B604" s="3" t="s">
        <v>6545</v>
      </c>
    </row>
    <row r="605" spans="1:2" ht="112" hidden="1" customHeight="1" x14ac:dyDescent="0.25">
      <c r="A605" t="s">
        <v>649</v>
      </c>
      <c r="B605" s="3" t="s">
        <v>6546</v>
      </c>
    </row>
    <row r="606" spans="1:2" ht="112" hidden="1" customHeight="1" x14ac:dyDescent="0.25">
      <c r="A606" t="s">
        <v>650</v>
      </c>
      <c r="B606" s="3" t="s">
        <v>3455</v>
      </c>
    </row>
    <row r="607" spans="1:2" ht="112" hidden="1" customHeight="1" x14ac:dyDescent="0.25">
      <c r="A607" t="s">
        <v>651</v>
      </c>
      <c r="B607" s="3" t="s">
        <v>5902</v>
      </c>
    </row>
    <row r="608" spans="1:2" ht="112" hidden="1" customHeight="1" x14ac:dyDescent="0.25">
      <c r="A608" t="s">
        <v>652</v>
      </c>
      <c r="B608" s="3" t="s">
        <v>4966</v>
      </c>
    </row>
    <row r="609" spans="1:2" ht="112" hidden="1" customHeight="1" x14ac:dyDescent="0.25">
      <c r="A609" t="s">
        <v>653</v>
      </c>
      <c r="B609" s="3" t="s">
        <v>4967</v>
      </c>
    </row>
    <row r="610" spans="1:2" ht="112" hidden="1" customHeight="1" x14ac:dyDescent="0.25">
      <c r="A610" t="s">
        <v>654</v>
      </c>
      <c r="B610" s="3" t="s">
        <v>4968</v>
      </c>
    </row>
    <row r="611" spans="1:2" ht="112" hidden="1" customHeight="1" x14ac:dyDescent="0.25">
      <c r="A611" t="s">
        <v>655</v>
      </c>
      <c r="B611" s="3" t="s">
        <v>4969</v>
      </c>
    </row>
    <row r="612" spans="1:2" ht="112" hidden="1" customHeight="1" x14ac:dyDescent="0.25">
      <c r="A612" t="s">
        <v>657</v>
      </c>
      <c r="B612" s="3" t="s">
        <v>6364</v>
      </c>
    </row>
    <row r="613" spans="1:2" ht="112" hidden="1" customHeight="1" x14ac:dyDescent="0.25">
      <c r="A613" t="s">
        <v>658</v>
      </c>
      <c r="B613" s="3" t="s">
        <v>6547</v>
      </c>
    </row>
    <row r="614" spans="1:2" ht="112" hidden="1" customHeight="1" x14ac:dyDescent="0.25">
      <c r="A614" t="s">
        <v>659</v>
      </c>
      <c r="B614" s="3" t="s">
        <v>6548</v>
      </c>
    </row>
    <row r="615" spans="1:2" ht="112" hidden="1" customHeight="1" x14ac:dyDescent="0.25">
      <c r="A615" t="s">
        <v>660</v>
      </c>
      <c r="B615" s="3" t="s">
        <v>6549</v>
      </c>
    </row>
    <row r="616" spans="1:2" ht="112" hidden="1" customHeight="1" x14ac:dyDescent="0.25">
      <c r="A616" t="s">
        <v>661</v>
      </c>
      <c r="B616" s="3" t="s">
        <v>6186</v>
      </c>
    </row>
    <row r="617" spans="1:2" ht="112" hidden="1" customHeight="1" x14ac:dyDescent="0.25">
      <c r="A617" t="s">
        <v>662</v>
      </c>
      <c r="B617" s="3" t="s">
        <v>6187</v>
      </c>
    </row>
    <row r="618" spans="1:2" ht="112" hidden="1" customHeight="1" x14ac:dyDescent="0.25">
      <c r="A618" t="s">
        <v>663</v>
      </c>
      <c r="B618" s="3" t="s">
        <v>6550</v>
      </c>
    </row>
    <row r="619" spans="1:2" ht="112" hidden="1" customHeight="1" x14ac:dyDescent="0.25">
      <c r="A619" t="s">
        <v>664</v>
      </c>
      <c r="B619" s="3" t="s">
        <v>3456</v>
      </c>
    </row>
    <row r="620" spans="1:2" ht="112" hidden="1" customHeight="1" x14ac:dyDescent="0.25">
      <c r="A620" t="s">
        <v>665</v>
      </c>
      <c r="B620" s="3" t="s">
        <v>3457</v>
      </c>
    </row>
    <row r="621" spans="1:2" ht="112" hidden="1" customHeight="1" x14ac:dyDescent="0.25">
      <c r="A621" t="s">
        <v>666</v>
      </c>
      <c r="B621" s="3" t="s">
        <v>6551</v>
      </c>
    </row>
    <row r="622" spans="1:2" ht="112" hidden="1" customHeight="1" x14ac:dyDescent="0.25">
      <c r="A622" t="s">
        <v>667</v>
      </c>
      <c r="B622" s="3" t="s">
        <v>6188</v>
      </c>
    </row>
    <row r="623" spans="1:2" ht="112" hidden="1" customHeight="1" x14ac:dyDescent="0.25">
      <c r="A623" t="s">
        <v>668</v>
      </c>
      <c r="B623" s="3" t="s">
        <v>6552</v>
      </c>
    </row>
    <row r="624" spans="1:2" ht="112" hidden="1" customHeight="1" x14ac:dyDescent="0.25">
      <c r="A624" t="s">
        <v>669</v>
      </c>
      <c r="B624" s="3" t="s">
        <v>6553</v>
      </c>
    </row>
    <row r="625" spans="1:2" ht="112" hidden="1" customHeight="1" x14ac:dyDescent="0.25">
      <c r="A625" t="s">
        <v>670</v>
      </c>
      <c r="B625" s="3" t="s">
        <v>6554</v>
      </c>
    </row>
    <row r="626" spans="1:2" ht="112" hidden="1" customHeight="1" x14ac:dyDescent="0.25">
      <c r="A626" t="s">
        <v>671</v>
      </c>
      <c r="B626" s="3" t="s">
        <v>6555</v>
      </c>
    </row>
    <row r="627" spans="1:2" ht="112" hidden="1" customHeight="1" x14ac:dyDescent="0.25">
      <c r="A627" t="s">
        <v>672</v>
      </c>
      <c r="B627" s="3" t="s">
        <v>6556</v>
      </c>
    </row>
    <row r="628" spans="1:2" ht="112" hidden="1" customHeight="1" x14ac:dyDescent="0.25">
      <c r="A628" t="s">
        <v>673</v>
      </c>
      <c r="B628" s="3" t="s">
        <v>5903</v>
      </c>
    </row>
    <row r="629" spans="1:2" ht="112" hidden="1" customHeight="1" x14ac:dyDescent="0.25">
      <c r="A629" t="s">
        <v>674</v>
      </c>
      <c r="B629" s="3" t="s">
        <v>5904</v>
      </c>
    </row>
    <row r="630" spans="1:2" ht="112" hidden="1" customHeight="1" x14ac:dyDescent="0.25">
      <c r="A630" t="s">
        <v>675</v>
      </c>
      <c r="B630" s="3" t="s">
        <v>5770</v>
      </c>
    </row>
    <row r="631" spans="1:2" ht="112" hidden="1" customHeight="1" x14ac:dyDescent="0.25">
      <c r="A631" t="s">
        <v>676</v>
      </c>
      <c r="B631" s="3" t="s">
        <v>6365</v>
      </c>
    </row>
    <row r="632" spans="1:2" ht="112" hidden="1" customHeight="1" x14ac:dyDescent="0.25">
      <c r="A632" t="s">
        <v>677</v>
      </c>
      <c r="B632" s="3" t="s">
        <v>6366</v>
      </c>
    </row>
    <row r="633" spans="1:2" ht="112" hidden="1" customHeight="1" x14ac:dyDescent="0.25">
      <c r="A633" t="s">
        <v>678</v>
      </c>
      <c r="B633" s="3" t="s">
        <v>6367</v>
      </c>
    </row>
    <row r="634" spans="1:2" ht="112" hidden="1" customHeight="1" x14ac:dyDescent="0.25">
      <c r="A634" t="s">
        <v>679</v>
      </c>
      <c r="B634" s="3" t="s">
        <v>6368</v>
      </c>
    </row>
    <row r="635" spans="1:2" ht="112" hidden="1" customHeight="1" x14ac:dyDescent="0.25">
      <c r="A635" t="s">
        <v>680</v>
      </c>
      <c r="B635" s="3" t="s">
        <v>6557</v>
      </c>
    </row>
    <row r="636" spans="1:2" ht="112" hidden="1" customHeight="1" x14ac:dyDescent="0.25">
      <c r="A636" t="s">
        <v>681</v>
      </c>
      <c r="B636" s="3" t="s">
        <v>6558</v>
      </c>
    </row>
    <row r="637" spans="1:2" ht="112" hidden="1" customHeight="1" x14ac:dyDescent="0.25">
      <c r="A637" t="s">
        <v>682</v>
      </c>
      <c r="B637" s="3" t="s">
        <v>6189</v>
      </c>
    </row>
    <row r="638" spans="1:2" ht="112" hidden="1" customHeight="1" x14ac:dyDescent="0.25">
      <c r="A638" t="s">
        <v>683</v>
      </c>
      <c r="B638" s="3" t="s">
        <v>6559</v>
      </c>
    </row>
    <row r="639" spans="1:2" ht="112" hidden="1" customHeight="1" x14ac:dyDescent="0.25">
      <c r="A639" t="s">
        <v>684</v>
      </c>
      <c r="B639" s="3" t="s">
        <v>6369</v>
      </c>
    </row>
    <row r="640" spans="1:2" ht="112" hidden="1" customHeight="1" x14ac:dyDescent="0.25">
      <c r="A640" t="s">
        <v>686</v>
      </c>
      <c r="B640" s="3" t="s">
        <v>6370</v>
      </c>
    </row>
    <row r="641" spans="1:2" ht="112" hidden="1" customHeight="1" x14ac:dyDescent="0.25">
      <c r="A641" t="s">
        <v>687</v>
      </c>
      <c r="B641" s="3" t="s">
        <v>6560</v>
      </c>
    </row>
    <row r="642" spans="1:2" ht="112" hidden="1" customHeight="1" x14ac:dyDescent="0.25">
      <c r="A642" t="s">
        <v>688</v>
      </c>
      <c r="B642" s="3" t="s">
        <v>6561</v>
      </c>
    </row>
    <row r="643" spans="1:2" ht="112" hidden="1" customHeight="1" x14ac:dyDescent="0.25">
      <c r="A643" t="s">
        <v>689</v>
      </c>
      <c r="B643" s="3" t="s">
        <v>5419</v>
      </c>
    </row>
    <row r="644" spans="1:2" ht="112" hidden="1" customHeight="1" x14ac:dyDescent="0.25">
      <c r="A644" t="s">
        <v>690</v>
      </c>
      <c r="B644" s="3" t="s">
        <v>6562</v>
      </c>
    </row>
    <row r="645" spans="1:2" ht="112" hidden="1" customHeight="1" x14ac:dyDescent="0.25">
      <c r="A645" t="s">
        <v>691</v>
      </c>
      <c r="B645" s="3" t="s">
        <v>6190</v>
      </c>
    </row>
    <row r="646" spans="1:2" ht="112" hidden="1" customHeight="1" x14ac:dyDescent="0.25">
      <c r="A646" t="s">
        <v>692</v>
      </c>
      <c r="B646" s="3" t="s">
        <v>6498</v>
      </c>
    </row>
    <row r="647" spans="1:2" ht="112" hidden="1" customHeight="1" x14ac:dyDescent="0.25">
      <c r="A647" t="s">
        <v>693</v>
      </c>
      <c r="B647" s="3" t="s">
        <v>7464</v>
      </c>
    </row>
    <row r="648" spans="1:2" ht="112" hidden="1" customHeight="1" x14ac:dyDescent="0.25">
      <c r="A648" t="s">
        <v>694</v>
      </c>
      <c r="B648" s="3" t="s">
        <v>6563</v>
      </c>
    </row>
    <row r="649" spans="1:2" ht="112" hidden="1" customHeight="1" x14ac:dyDescent="0.25">
      <c r="A649" t="s">
        <v>695</v>
      </c>
      <c r="B649" s="3" t="s">
        <v>6564</v>
      </c>
    </row>
    <row r="650" spans="1:2" ht="112" hidden="1" customHeight="1" x14ac:dyDescent="0.25">
      <c r="A650" t="s">
        <v>696</v>
      </c>
      <c r="B650" s="3" t="s">
        <v>6565</v>
      </c>
    </row>
    <row r="651" spans="1:2" ht="112" hidden="1" customHeight="1" x14ac:dyDescent="0.25">
      <c r="A651" t="s">
        <v>697</v>
      </c>
      <c r="B651" s="3" t="s">
        <v>6566</v>
      </c>
    </row>
    <row r="652" spans="1:2" ht="112" hidden="1" customHeight="1" x14ac:dyDescent="0.25">
      <c r="A652" t="s">
        <v>698</v>
      </c>
      <c r="B652" s="3" t="s">
        <v>3458</v>
      </c>
    </row>
    <row r="653" spans="1:2" ht="112" hidden="1" customHeight="1" x14ac:dyDescent="0.25">
      <c r="A653" t="s">
        <v>699</v>
      </c>
      <c r="B653" s="3" t="s">
        <v>6567</v>
      </c>
    </row>
    <row r="654" spans="1:2" ht="112" hidden="1" customHeight="1" x14ac:dyDescent="0.25">
      <c r="A654" t="s">
        <v>700</v>
      </c>
      <c r="B654" s="3" t="s">
        <v>6191</v>
      </c>
    </row>
    <row r="655" spans="1:2" ht="112" hidden="1" customHeight="1" x14ac:dyDescent="0.25">
      <c r="A655" t="s">
        <v>701</v>
      </c>
      <c r="B655" s="3" t="s">
        <v>6192</v>
      </c>
    </row>
    <row r="656" spans="1:2" ht="112" hidden="1" customHeight="1" x14ac:dyDescent="0.25">
      <c r="A656" t="s">
        <v>702</v>
      </c>
      <c r="B656" s="3" t="s">
        <v>6193</v>
      </c>
    </row>
    <row r="657" spans="1:2" ht="112" hidden="1" customHeight="1" x14ac:dyDescent="0.25">
      <c r="A657" t="s">
        <v>703</v>
      </c>
      <c r="B657" s="3" t="s">
        <v>6194</v>
      </c>
    </row>
    <row r="658" spans="1:2" ht="112" hidden="1" customHeight="1" x14ac:dyDescent="0.25">
      <c r="A658" t="s">
        <v>704</v>
      </c>
      <c r="B658" s="3" t="s">
        <v>6195</v>
      </c>
    </row>
    <row r="659" spans="1:2" ht="112" hidden="1" customHeight="1" x14ac:dyDescent="0.25">
      <c r="A659" t="s">
        <v>705</v>
      </c>
      <c r="B659" s="3" t="s">
        <v>6568</v>
      </c>
    </row>
    <row r="660" spans="1:2" ht="112" hidden="1" customHeight="1" x14ac:dyDescent="0.25">
      <c r="A660" t="s">
        <v>706</v>
      </c>
      <c r="B660" s="3" t="s">
        <v>6196</v>
      </c>
    </row>
    <row r="661" spans="1:2" ht="112" hidden="1" customHeight="1" x14ac:dyDescent="0.25">
      <c r="A661" t="s">
        <v>707</v>
      </c>
      <c r="B661" s="3" t="s">
        <v>6197</v>
      </c>
    </row>
    <row r="662" spans="1:2" ht="112" hidden="1" customHeight="1" x14ac:dyDescent="0.25">
      <c r="A662" t="s">
        <v>708</v>
      </c>
      <c r="B662" s="3" t="s">
        <v>6198</v>
      </c>
    </row>
    <row r="663" spans="1:2" ht="112" hidden="1" customHeight="1" x14ac:dyDescent="0.25">
      <c r="A663" t="s">
        <v>709</v>
      </c>
      <c r="B663" s="3" t="s">
        <v>6199</v>
      </c>
    </row>
    <row r="664" spans="1:2" ht="112" hidden="1" customHeight="1" x14ac:dyDescent="0.25">
      <c r="A664" t="s">
        <v>710</v>
      </c>
      <c r="B664" s="3" t="s">
        <v>6569</v>
      </c>
    </row>
    <row r="665" spans="1:2" ht="112" hidden="1" customHeight="1" x14ac:dyDescent="0.25">
      <c r="A665" t="s">
        <v>711</v>
      </c>
      <c r="B665" s="3" t="s">
        <v>6570</v>
      </c>
    </row>
    <row r="666" spans="1:2" ht="112" hidden="1" customHeight="1" x14ac:dyDescent="0.25">
      <c r="A666" t="s">
        <v>712</v>
      </c>
      <c r="B666" s="3" t="s">
        <v>6571</v>
      </c>
    </row>
    <row r="667" spans="1:2" ht="112" hidden="1" customHeight="1" x14ac:dyDescent="0.25">
      <c r="A667" t="s">
        <v>713</v>
      </c>
      <c r="B667" s="3" t="s">
        <v>5420</v>
      </c>
    </row>
    <row r="668" spans="1:2" ht="112" hidden="1" customHeight="1" x14ac:dyDescent="0.25">
      <c r="A668" t="s">
        <v>714</v>
      </c>
      <c r="B668" s="3" t="s">
        <v>5905</v>
      </c>
    </row>
    <row r="669" spans="1:2" ht="112" hidden="1" customHeight="1" x14ac:dyDescent="0.25">
      <c r="A669" t="s">
        <v>715</v>
      </c>
      <c r="B669" s="3" t="s">
        <v>5906</v>
      </c>
    </row>
    <row r="670" spans="1:2" ht="112" hidden="1" customHeight="1" x14ac:dyDescent="0.25">
      <c r="A670" t="s">
        <v>716</v>
      </c>
      <c r="B670" s="3" t="s">
        <v>5907</v>
      </c>
    </row>
    <row r="671" spans="1:2" ht="112" hidden="1" customHeight="1" x14ac:dyDescent="0.25">
      <c r="A671" t="s">
        <v>717</v>
      </c>
      <c r="B671" s="3" t="s">
        <v>5908</v>
      </c>
    </row>
    <row r="672" spans="1:2" ht="112" hidden="1" customHeight="1" x14ac:dyDescent="0.25">
      <c r="A672" t="s">
        <v>718</v>
      </c>
      <c r="B672" s="3" t="s">
        <v>5909</v>
      </c>
    </row>
    <row r="673" spans="1:3" ht="112" hidden="1" customHeight="1" x14ac:dyDescent="0.25">
      <c r="A673" t="s">
        <v>719</v>
      </c>
      <c r="B673" s="3" t="s">
        <v>5910</v>
      </c>
    </row>
    <row r="674" spans="1:3" ht="112" hidden="1" customHeight="1" x14ac:dyDescent="0.25">
      <c r="A674" t="s">
        <v>720</v>
      </c>
      <c r="B674" s="3" t="s">
        <v>5911</v>
      </c>
    </row>
    <row r="675" spans="1:3" ht="112" hidden="1" customHeight="1" x14ac:dyDescent="0.25">
      <c r="A675" t="s">
        <v>721</v>
      </c>
      <c r="B675" s="3" t="s">
        <v>5912</v>
      </c>
    </row>
    <row r="676" spans="1:3" ht="112" hidden="1" customHeight="1" x14ac:dyDescent="0.25">
      <c r="A676" t="s">
        <v>722</v>
      </c>
      <c r="B676" s="3" t="s">
        <v>6572</v>
      </c>
    </row>
    <row r="677" spans="1:3" ht="112" hidden="1" customHeight="1" x14ac:dyDescent="0.25">
      <c r="A677" t="s">
        <v>723</v>
      </c>
      <c r="B677" s="3" t="s">
        <v>7465</v>
      </c>
      <c r="C677" s="64"/>
    </row>
    <row r="678" spans="1:3" ht="112" hidden="1" customHeight="1" x14ac:dyDescent="0.25">
      <c r="A678" t="s">
        <v>724</v>
      </c>
      <c r="B678" s="3" t="s">
        <v>7466</v>
      </c>
    </row>
    <row r="679" spans="1:3" ht="112" hidden="1" customHeight="1" x14ac:dyDescent="0.25">
      <c r="A679" t="s">
        <v>725</v>
      </c>
      <c r="B679" s="3" t="s">
        <v>5771</v>
      </c>
    </row>
    <row r="680" spans="1:3" ht="112" hidden="1" customHeight="1" x14ac:dyDescent="0.25">
      <c r="A680" t="s">
        <v>726</v>
      </c>
      <c r="B680" s="3" t="s">
        <v>7467</v>
      </c>
    </row>
    <row r="681" spans="1:3" ht="112" hidden="1" customHeight="1" x14ac:dyDescent="0.25">
      <c r="A681" t="s">
        <v>727</v>
      </c>
      <c r="B681" s="3" t="s">
        <v>4970</v>
      </c>
    </row>
    <row r="682" spans="1:3" ht="112" hidden="1" customHeight="1" x14ac:dyDescent="0.25">
      <c r="A682" t="s">
        <v>728</v>
      </c>
      <c r="B682" s="3" t="s">
        <v>3459</v>
      </c>
    </row>
    <row r="683" spans="1:3" ht="112" hidden="1" customHeight="1" x14ac:dyDescent="0.25">
      <c r="A683" t="s">
        <v>729</v>
      </c>
      <c r="B683" s="3" t="s">
        <v>5913</v>
      </c>
    </row>
    <row r="684" spans="1:3" ht="112" hidden="1" customHeight="1" x14ac:dyDescent="0.25">
      <c r="A684" t="s">
        <v>730</v>
      </c>
      <c r="B684" s="3" t="s">
        <v>4971</v>
      </c>
    </row>
    <row r="685" spans="1:3" ht="112" hidden="1" customHeight="1" x14ac:dyDescent="0.25">
      <c r="A685" t="s">
        <v>731</v>
      </c>
      <c r="B685" s="3" t="s">
        <v>6200</v>
      </c>
    </row>
    <row r="686" spans="1:3" ht="112" hidden="1" customHeight="1" x14ac:dyDescent="0.25">
      <c r="A686" t="s">
        <v>732</v>
      </c>
      <c r="B686" s="3" t="s">
        <v>6201</v>
      </c>
    </row>
    <row r="687" spans="1:3" ht="112" hidden="1" customHeight="1" x14ac:dyDescent="0.25">
      <c r="A687" t="s">
        <v>733</v>
      </c>
      <c r="B687" s="3" t="s">
        <v>4972</v>
      </c>
    </row>
    <row r="688" spans="1:3" ht="112" hidden="1" customHeight="1" x14ac:dyDescent="0.25">
      <c r="A688" t="s">
        <v>734</v>
      </c>
      <c r="B688" s="3" t="s">
        <v>3460</v>
      </c>
    </row>
    <row r="689" spans="1:2" ht="112" hidden="1" customHeight="1" x14ac:dyDescent="0.25">
      <c r="A689" t="s">
        <v>735</v>
      </c>
      <c r="B689" s="3" t="s">
        <v>6573</v>
      </c>
    </row>
    <row r="690" spans="1:2" ht="112" hidden="1" customHeight="1" x14ac:dyDescent="0.25">
      <c r="A690" t="s">
        <v>737</v>
      </c>
      <c r="B690" s="3" t="s">
        <v>6574</v>
      </c>
    </row>
    <row r="691" spans="1:2" ht="112" hidden="1" customHeight="1" x14ac:dyDescent="0.25">
      <c r="A691" t="s">
        <v>739</v>
      </c>
      <c r="B691" s="3" t="s">
        <v>6575</v>
      </c>
    </row>
    <row r="692" spans="1:2" ht="112" hidden="1" customHeight="1" x14ac:dyDescent="0.25">
      <c r="A692" t="s">
        <v>740</v>
      </c>
      <c r="B692" s="3" t="s">
        <v>6202</v>
      </c>
    </row>
    <row r="693" spans="1:2" ht="112" hidden="1" customHeight="1" x14ac:dyDescent="0.25">
      <c r="A693" t="s">
        <v>742</v>
      </c>
      <c r="B693" s="3" t="s">
        <v>6576</v>
      </c>
    </row>
    <row r="694" spans="1:2" ht="112" hidden="1" customHeight="1" x14ac:dyDescent="0.25">
      <c r="A694" t="s">
        <v>743</v>
      </c>
      <c r="B694" s="3" t="s">
        <v>6577</v>
      </c>
    </row>
    <row r="695" spans="1:2" ht="112" hidden="1" customHeight="1" x14ac:dyDescent="0.25">
      <c r="A695" t="s">
        <v>744</v>
      </c>
      <c r="B695" s="3" t="s">
        <v>6578</v>
      </c>
    </row>
    <row r="696" spans="1:2" ht="112" hidden="1" customHeight="1" x14ac:dyDescent="0.25">
      <c r="A696" t="s">
        <v>745</v>
      </c>
      <c r="B696" s="3" t="s">
        <v>6579</v>
      </c>
    </row>
    <row r="697" spans="1:2" ht="112" hidden="1" customHeight="1" x14ac:dyDescent="0.25">
      <c r="A697" t="s">
        <v>746</v>
      </c>
      <c r="B697" s="3" t="s">
        <v>6580</v>
      </c>
    </row>
    <row r="698" spans="1:2" ht="112" hidden="1" customHeight="1" x14ac:dyDescent="0.25">
      <c r="A698" t="s">
        <v>747</v>
      </c>
      <c r="B698" s="3" t="s">
        <v>6581</v>
      </c>
    </row>
    <row r="699" spans="1:2" ht="112" hidden="1" customHeight="1" x14ac:dyDescent="0.25">
      <c r="A699" t="s">
        <v>748</v>
      </c>
      <c r="B699" s="3" t="s">
        <v>6203</v>
      </c>
    </row>
    <row r="700" spans="1:2" ht="112" hidden="1" customHeight="1" x14ac:dyDescent="0.25">
      <c r="A700" t="s">
        <v>749</v>
      </c>
      <c r="B700" s="3" t="s">
        <v>3461</v>
      </c>
    </row>
    <row r="701" spans="1:2" ht="112" hidden="1" customHeight="1" x14ac:dyDescent="0.25">
      <c r="A701" t="s">
        <v>750</v>
      </c>
      <c r="B701" s="3" t="s">
        <v>3462</v>
      </c>
    </row>
    <row r="702" spans="1:2" ht="112" hidden="1" customHeight="1" x14ac:dyDescent="0.25">
      <c r="A702" t="s">
        <v>751</v>
      </c>
      <c r="B702" s="3" t="s">
        <v>5630</v>
      </c>
    </row>
    <row r="703" spans="1:2" ht="112" hidden="1" customHeight="1" x14ac:dyDescent="0.25">
      <c r="A703" t="s">
        <v>752</v>
      </c>
      <c r="B703" s="3" t="s">
        <v>5631</v>
      </c>
    </row>
    <row r="704" spans="1:2" ht="112" hidden="1" customHeight="1" x14ac:dyDescent="0.25">
      <c r="A704" t="s">
        <v>754</v>
      </c>
      <c r="B704" s="3" t="s">
        <v>5632</v>
      </c>
    </row>
    <row r="705" spans="1:2" ht="112" hidden="1" customHeight="1" x14ac:dyDescent="0.25">
      <c r="A705" t="s">
        <v>755</v>
      </c>
      <c r="B705" s="3" t="s">
        <v>5633</v>
      </c>
    </row>
    <row r="706" spans="1:2" ht="112" hidden="1" customHeight="1" x14ac:dyDescent="0.25">
      <c r="A706" t="s">
        <v>756</v>
      </c>
      <c r="B706" s="3" t="s">
        <v>3463</v>
      </c>
    </row>
    <row r="707" spans="1:2" ht="112" hidden="1" customHeight="1" x14ac:dyDescent="0.25">
      <c r="A707" t="s">
        <v>757</v>
      </c>
      <c r="B707" s="3" t="s">
        <v>3464</v>
      </c>
    </row>
    <row r="708" spans="1:2" ht="112" hidden="1" customHeight="1" x14ac:dyDescent="0.25">
      <c r="A708" t="s">
        <v>758</v>
      </c>
      <c r="B708" s="3" t="s">
        <v>3465</v>
      </c>
    </row>
    <row r="709" spans="1:2" ht="112" hidden="1" customHeight="1" x14ac:dyDescent="0.25">
      <c r="A709" t="s">
        <v>759</v>
      </c>
      <c r="B709" s="3" t="s">
        <v>3466</v>
      </c>
    </row>
    <row r="710" spans="1:2" ht="112" hidden="1" customHeight="1" x14ac:dyDescent="0.25">
      <c r="A710" t="s">
        <v>760</v>
      </c>
      <c r="B710" s="3" t="s">
        <v>3467</v>
      </c>
    </row>
    <row r="711" spans="1:2" ht="112" hidden="1" customHeight="1" x14ac:dyDescent="0.25">
      <c r="A711" t="s">
        <v>761</v>
      </c>
      <c r="B711" s="3" t="s">
        <v>6582</v>
      </c>
    </row>
    <row r="712" spans="1:2" ht="112" hidden="1" customHeight="1" x14ac:dyDescent="0.25">
      <c r="A712" t="s">
        <v>762</v>
      </c>
      <c r="B712" s="3" t="s">
        <v>3468</v>
      </c>
    </row>
    <row r="713" spans="1:2" ht="112" hidden="1" customHeight="1" x14ac:dyDescent="0.25">
      <c r="A713" t="s">
        <v>763</v>
      </c>
      <c r="B713" s="3" t="s">
        <v>3469</v>
      </c>
    </row>
    <row r="714" spans="1:2" ht="112" hidden="1" customHeight="1" x14ac:dyDescent="0.25">
      <c r="A714" t="s">
        <v>764</v>
      </c>
      <c r="B714" s="3" t="s">
        <v>6583</v>
      </c>
    </row>
    <row r="715" spans="1:2" ht="112" hidden="1" customHeight="1" x14ac:dyDescent="0.25">
      <c r="A715" t="s">
        <v>765</v>
      </c>
      <c r="B715" s="3" t="s">
        <v>6584</v>
      </c>
    </row>
    <row r="716" spans="1:2" ht="112" hidden="1" customHeight="1" x14ac:dyDescent="0.25">
      <c r="A716" t="s">
        <v>766</v>
      </c>
      <c r="B716" s="3" t="s">
        <v>6585</v>
      </c>
    </row>
    <row r="717" spans="1:2" ht="112" hidden="1" customHeight="1" x14ac:dyDescent="0.25">
      <c r="A717" t="s">
        <v>767</v>
      </c>
      <c r="B717" s="3" t="s">
        <v>5914</v>
      </c>
    </row>
    <row r="718" spans="1:2" ht="112" hidden="1" customHeight="1" x14ac:dyDescent="0.25">
      <c r="A718" t="s">
        <v>768</v>
      </c>
      <c r="B718" s="3" t="s">
        <v>6456</v>
      </c>
    </row>
    <row r="719" spans="1:2" ht="112" hidden="1" customHeight="1" x14ac:dyDescent="0.25">
      <c r="A719" t="s">
        <v>769</v>
      </c>
      <c r="B719" s="3" t="s">
        <v>6457</v>
      </c>
    </row>
    <row r="720" spans="1:2" ht="112" hidden="1" customHeight="1" x14ac:dyDescent="0.25">
      <c r="A720" t="s">
        <v>770</v>
      </c>
      <c r="B720" s="3" t="s">
        <v>4973</v>
      </c>
    </row>
    <row r="721" spans="1:2" ht="112" hidden="1" customHeight="1" x14ac:dyDescent="0.25">
      <c r="A721" t="s">
        <v>771</v>
      </c>
      <c r="B721" s="3" t="s">
        <v>4974</v>
      </c>
    </row>
    <row r="722" spans="1:2" ht="112" hidden="1" customHeight="1" x14ac:dyDescent="0.25">
      <c r="A722" t="s">
        <v>772</v>
      </c>
      <c r="B722" s="3" t="s">
        <v>5421</v>
      </c>
    </row>
    <row r="723" spans="1:2" ht="112" hidden="1" customHeight="1" x14ac:dyDescent="0.25">
      <c r="A723" t="s">
        <v>773</v>
      </c>
      <c r="B723" s="3" t="s">
        <v>5915</v>
      </c>
    </row>
    <row r="724" spans="1:2" ht="112" hidden="1" customHeight="1" x14ac:dyDescent="0.25">
      <c r="A724" t="s">
        <v>775</v>
      </c>
      <c r="B724" s="3" t="s">
        <v>6586</v>
      </c>
    </row>
    <row r="725" spans="1:2" ht="112" hidden="1" customHeight="1" x14ac:dyDescent="0.25">
      <c r="A725" t="s">
        <v>776</v>
      </c>
      <c r="B725" s="3" t="s">
        <v>6204</v>
      </c>
    </row>
    <row r="726" spans="1:2" ht="112" hidden="1" customHeight="1" x14ac:dyDescent="0.25">
      <c r="A726" t="s">
        <v>777</v>
      </c>
      <c r="B726" s="3" t="s">
        <v>6205</v>
      </c>
    </row>
    <row r="727" spans="1:2" ht="112" hidden="1" customHeight="1" x14ac:dyDescent="0.25">
      <c r="A727" t="s">
        <v>778</v>
      </c>
      <c r="B727" s="3" t="s">
        <v>4975</v>
      </c>
    </row>
    <row r="728" spans="1:2" ht="112" hidden="1" customHeight="1" x14ac:dyDescent="0.25">
      <c r="A728" t="s">
        <v>779</v>
      </c>
      <c r="B728" s="3" t="s">
        <v>3470</v>
      </c>
    </row>
    <row r="729" spans="1:2" ht="112" hidden="1" customHeight="1" x14ac:dyDescent="0.25">
      <c r="A729" t="s">
        <v>780</v>
      </c>
      <c r="B729" s="3" t="s">
        <v>3471</v>
      </c>
    </row>
    <row r="730" spans="1:2" ht="112" hidden="1" customHeight="1" x14ac:dyDescent="0.25">
      <c r="A730" t="s">
        <v>781</v>
      </c>
      <c r="B730" s="3" t="s">
        <v>6587</v>
      </c>
    </row>
    <row r="731" spans="1:2" ht="112" hidden="1" customHeight="1" x14ac:dyDescent="0.25">
      <c r="A731" t="s">
        <v>782</v>
      </c>
      <c r="B731" s="3" t="s">
        <v>6588</v>
      </c>
    </row>
    <row r="732" spans="1:2" ht="112" hidden="1" customHeight="1" x14ac:dyDescent="0.25">
      <c r="A732" t="s">
        <v>783</v>
      </c>
      <c r="B732" s="3" t="s">
        <v>6589</v>
      </c>
    </row>
    <row r="733" spans="1:2" ht="112" hidden="1" customHeight="1" x14ac:dyDescent="0.25">
      <c r="A733" t="s">
        <v>784</v>
      </c>
      <c r="B733" s="3" t="s">
        <v>6590</v>
      </c>
    </row>
    <row r="734" spans="1:2" ht="112" hidden="1" customHeight="1" x14ac:dyDescent="0.25">
      <c r="A734" t="s">
        <v>785</v>
      </c>
      <c r="B734" s="3" t="s">
        <v>6206</v>
      </c>
    </row>
    <row r="735" spans="1:2" ht="112" hidden="1" customHeight="1" x14ac:dyDescent="0.25">
      <c r="A735" t="s">
        <v>786</v>
      </c>
      <c r="B735" s="3" t="s">
        <v>6207</v>
      </c>
    </row>
    <row r="736" spans="1:2" ht="112" hidden="1" customHeight="1" x14ac:dyDescent="0.25">
      <c r="A736" t="s">
        <v>787</v>
      </c>
      <c r="B736" s="3" t="s">
        <v>6591</v>
      </c>
    </row>
    <row r="737" spans="1:2" ht="112" hidden="1" customHeight="1" x14ac:dyDescent="0.25">
      <c r="A737" t="s">
        <v>7821</v>
      </c>
      <c r="B737" s="3" t="s">
        <v>6208</v>
      </c>
    </row>
    <row r="738" spans="1:2" ht="112" hidden="1" customHeight="1" x14ac:dyDescent="0.25">
      <c r="A738" t="s">
        <v>788</v>
      </c>
      <c r="B738" s="3" t="s">
        <v>4976</v>
      </c>
    </row>
    <row r="739" spans="1:2" ht="112" hidden="1" customHeight="1" x14ac:dyDescent="0.25">
      <c r="A739" t="s">
        <v>789</v>
      </c>
      <c r="B739" s="3" t="s">
        <v>4977</v>
      </c>
    </row>
    <row r="740" spans="1:2" ht="112" hidden="1" customHeight="1" x14ac:dyDescent="0.25">
      <c r="A740" t="s">
        <v>790</v>
      </c>
      <c r="B740" s="3" t="s">
        <v>7468</v>
      </c>
    </row>
    <row r="741" spans="1:2" ht="112" hidden="1" customHeight="1" x14ac:dyDescent="0.25">
      <c r="A741" t="s">
        <v>791</v>
      </c>
      <c r="B741" s="3" t="s">
        <v>3472</v>
      </c>
    </row>
    <row r="742" spans="1:2" ht="112" hidden="1" customHeight="1" x14ac:dyDescent="0.25">
      <c r="A742" t="s">
        <v>792</v>
      </c>
      <c r="B742" s="3" t="s">
        <v>4978</v>
      </c>
    </row>
    <row r="743" spans="1:2" ht="112" hidden="1" customHeight="1" x14ac:dyDescent="0.25">
      <c r="A743" t="s">
        <v>795</v>
      </c>
      <c r="B743" s="3" t="s">
        <v>5836</v>
      </c>
    </row>
    <row r="744" spans="1:2" ht="112" hidden="1" customHeight="1" x14ac:dyDescent="0.25">
      <c r="A744" t="s">
        <v>796</v>
      </c>
      <c r="B744" s="3" t="s">
        <v>6592</v>
      </c>
    </row>
    <row r="745" spans="1:2" ht="112" hidden="1" customHeight="1" x14ac:dyDescent="0.25">
      <c r="A745" t="s">
        <v>797</v>
      </c>
      <c r="B745" s="3" t="s">
        <v>3473</v>
      </c>
    </row>
    <row r="746" spans="1:2" ht="112" hidden="1" customHeight="1" x14ac:dyDescent="0.25">
      <c r="A746" t="s">
        <v>799</v>
      </c>
      <c r="B746" s="3" t="s">
        <v>3474</v>
      </c>
    </row>
    <row r="747" spans="1:2" ht="112" hidden="1" customHeight="1" x14ac:dyDescent="0.25">
      <c r="A747" t="s">
        <v>800</v>
      </c>
      <c r="B747" s="3" t="s">
        <v>6209</v>
      </c>
    </row>
    <row r="748" spans="1:2" ht="112" hidden="1" customHeight="1" x14ac:dyDescent="0.25">
      <c r="A748" t="s">
        <v>801</v>
      </c>
      <c r="B748" s="3" t="s">
        <v>6210</v>
      </c>
    </row>
    <row r="749" spans="1:2" ht="112" hidden="1" customHeight="1" x14ac:dyDescent="0.25">
      <c r="A749" t="s">
        <v>805</v>
      </c>
      <c r="B749" s="3" t="s">
        <v>7469</v>
      </c>
    </row>
    <row r="750" spans="1:2" ht="112" hidden="1" customHeight="1" x14ac:dyDescent="0.25">
      <c r="A750" t="s">
        <v>806</v>
      </c>
      <c r="B750" s="3" t="s">
        <v>6211</v>
      </c>
    </row>
    <row r="751" spans="1:2" ht="112" hidden="1" customHeight="1" x14ac:dyDescent="0.25">
      <c r="A751" t="s">
        <v>807</v>
      </c>
      <c r="B751" s="3" t="s">
        <v>6212</v>
      </c>
    </row>
    <row r="752" spans="1:2" ht="112" hidden="1" customHeight="1" x14ac:dyDescent="0.25">
      <c r="A752" t="s">
        <v>809</v>
      </c>
      <c r="B752" s="3" t="s">
        <v>6213</v>
      </c>
    </row>
    <row r="753" spans="1:2" ht="112" hidden="1" customHeight="1" x14ac:dyDescent="0.25">
      <c r="A753" t="s">
        <v>810</v>
      </c>
      <c r="B753" s="3" t="s">
        <v>6214</v>
      </c>
    </row>
    <row r="754" spans="1:2" ht="112" hidden="1" customHeight="1" x14ac:dyDescent="0.25">
      <c r="A754" t="s">
        <v>812</v>
      </c>
      <c r="B754" s="3" t="s">
        <v>6215</v>
      </c>
    </row>
    <row r="755" spans="1:2" ht="112" hidden="1" customHeight="1" x14ac:dyDescent="0.25">
      <c r="A755" t="s">
        <v>813</v>
      </c>
      <c r="B755" s="3" t="s">
        <v>3475</v>
      </c>
    </row>
    <row r="756" spans="1:2" ht="112" hidden="1" customHeight="1" x14ac:dyDescent="0.25">
      <c r="A756" t="s">
        <v>814</v>
      </c>
      <c r="B756" s="3" t="s">
        <v>6593</v>
      </c>
    </row>
    <row r="757" spans="1:2" ht="112" hidden="1" customHeight="1" x14ac:dyDescent="0.25">
      <c r="A757" t="s">
        <v>815</v>
      </c>
      <c r="B757" s="3" t="s">
        <v>5422</v>
      </c>
    </row>
    <row r="758" spans="1:2" ht="112" hidden="1" customHeight="1" x14ac:dyDescent="0.25">
      <c r="A758" t="s">
        <v>816</v>
      </c>
      <c r="B758" s="3" t="s">
        <v>6594</v>
      </c>
    </row>
    <row r="759" spans="1:2" ht="112" hidden="1" customHeight="1" x14ac:dyDescent="0.25">
      <c r="A759" t="s">
        <v>817</v>
      </c>
      <c r="B759" s="3" t="s">
        <v>6595</v>
      </c>
    </row>
    <row r="760" spans="1:2" ht="112" hidden="1" customHeight="1" x14ac:dyDescent="0.25">
      <c r="A760" t="s">
        <v>818</v>
      </c>
      <c r="B760" s="3" t="s">
        <v>6596</v>
      </c>
    </row>
    <row r="761" spans="1:2" ht="112" hidden="1" customHeight="1" x14ac:dyDescent="0.25">
      <c r="A761" t="s">
        <v>819</v>
      </c>
      <c r="B761" s="3" t="s">
        <v>6597</v>
      </c>
    </row>
    <row r="762" spans="1:2" ht="112" hidden="1" customHeight="1" x14ac:dyDescent="0.25">
      <c r="A762" t="s">
        <v>820</v>
      </c>
      <c r="B762" s="3" t="s">
        <v>6371</v>
      </c>
    </row>
    <row r="763" spans="1:2" ht="112" hidden="1" customHeight="1" x14ac:dyDescent="0.25">
      <c r="A763" t="s">
        <v>821</v>
      </c>
      <c r="B763" s="3" t="s">
        <v>6372</v>
      </c>
    </row>
    <row r="764" spans="1:2" ht="112" hidden="1" customHeight="1" x14ac:dyDescent="0.25">
      <c r="A764" t="s">
        <v>822</v>
      </c>
      <c r="B764" s="3" t="s">
        <v>6216</v>
      </c>
    </row>
    <row r="765" spans="1:2" ht="112" hidden="1" customHeight="1" x14ac:dyDescent="0.25">
      <c r="A765" t="s">
        <v>823</v>
      </c>
      <c r="B765" s="3" t="s">
        <v>6598</v>
      </c>
    </row>
    <row r="766" spans="1:2" ht="112" hidden="1" customHeight="1" x14ac:dyDescent="0.25">
      <c r="A766" t="s">
        <v>824</v>
      </c>
      <c r="B766" s="3" t="s">
        <v>6599</v>
      </c>
    </row>
    <row r="767" spans="1:2" ht="112" hidden="1" customHeight="1" x14ac:dyDescent="0.25">
      <c r="A767" t="s">
        <v>825</v>
      </c>
      <c r="B767" s="3" t="s">
        <v>6600</v>
      </c>
    </row>
    <row r="768" spans="1:2" ht="112" hidden="1" customHeight="1" x14ac:dyDescent="0.25">
      <c r="A768" t="s">
        <v>826</v>
      </c>
      <c r="B768" s="3" t="s">
        <v>6601</v>
      </c>
    </row>
    <row r="769" spans="1:2" ht="112" hidden="1" customHeight="1" x14ac:dyDescent="0.25">
      <c r="A769" t="s">
        <v>827</v>
      </c>
      <c r="B769" s="3" t="s">
        <v>7470</v>
      </c>
    </row>
    <row r="770" spans="1:2" ht="112" hidden="1" customHeight="1" x14ac:dyDescent="0.25">
      <c r="A770" t="s">
        <v>830</v>
      </c>
      <c r="B770" s="3" t="s">
        <v>5916</v>
      </c>
    </row>
    <row r="771" spans="1:2" ht="112" hidden="1" customHeight="1" x14ac:dyDescent="0.25">
      <c r="A771" t="s">
        <v>831</v>
      </c>
      <c r="B771" s="3" t="s">
        <v>5917</v>
      </c>
    </row>
    <row r="772" spans="1:2" ht="112" hidden="1" customHeight="1" x14ac:dyDescent="0.25">
      <c r="A772" t="s">
        <v>832</v>
      </c>
      <c r="B772" s="3" t="s">
        <v>5918</v>
      </c>
    </row>
    <row r="773" spans="1:2" ht="112" hidden="1" customHeight="1" x14ac:dyDescent="0.25">
      <c r="A773" t="s">
        <v>833</v>
      </c>
      <c r="B773" s="3" t="s">
        <v>3476</v>
      </c>
    </row>
    <row r="774" spans="1:2" ht="112" hidden="1" customHeight="1" x14ac:dyDescent="0.25">
      <c r="A774" t="s">
        <v>834</v>
      </c>
      <c r="B774" s="3" t="s">
        <v>3477</v>
      </c>
    </row>
    <row r="775" spans="1:2" ht="112" hidden="1" customHeight="1" x14ac:dyDescent="0.25">
      <c r="A775" t="s">
        <v>835</v>
      </c>
      <c r="B775" s="3" t="s">
        <v>6217</v>
      </c>
    </row>
    <row r="776" spans="1:2" ht="112" hidden="1" customHeight="1" x14ac:dyDescent="0.25">
      <c r="A776" t="s">
        <v>836</v>
      </c>
      <c r="B776" s="3" t="s">
        <v>5919</v>
      </c>
    </row>
    <row r="777" spans="1:2" ht="112" hidden="1" customHeight="1" x14ac:dyDescent="0.25">
      <c r="A777" t="s">
        <v>837</v>
      </c>
      <c r="B777" s="3" t="s">
        <v>6602</v>
      </c>
    </row>
    <row r="778" spans="1:2" ht="112" hidden="1" customHeight="1" x14ac:dyDescent="0.25">
      <c r="A778" t="s">
        <v>839</v>
      </c>
      <c r="B778" s="3" t="s">
        <v>6603</v>
      </c>
    </row>
    <row r="779" spans="1:2" ht="112" hidden="1" customHeight="1" x14ac:dyDescent="0.25">
      <c r="A779" t="s">
        <v>841</v>
      </c>
      <c r="B779" s="3" t="s">
        <v>9126</v>
      </c>
    </row>
    <row r="780" spans="1:2" ht="112" hidden="1" customHeight="1" x14ac:dyDescent="0.25">
      <c r="A780" t="s">
        <v>842</v>
      </c>
      <c r="B780" s="3" t="s">
        <v>6604</v>
      </c>
    </row>
    <row r="781" spans="1:2" ht="112" hidden="1" customHeight="1" x14ac:dyDescent="0.25">
      <c r="A781" t="s">
        <v>843</v>
      </c>
      <c r="B781" s="3" t="s">
        <v>6605</v>
      </c>
    </row>
    <row r="782" spans="1:2" ht="112" hidden="1" customHeight="1" x14ac:dyDescent="0.25">
      <c r="A782" t="s">
        <v>844</v>
      </c>
      <c r="B782" s="3" t="s">
        <v>4979</v>
      </c>
    </row>
    <row r="783" spans="1:2" ht="112" hidden="1" customHeight="1" x14ac:dyDescent="0.25">
      <c r="A783" t="s">
        <v>845</v>
      </c>
      <c r="B783" s="3" t="s">
        <v>4980</v>
      </c>
    </row>
    <row r="784" spans="1:2" ht="112" hidden="1" customHeight="1" x14ac:dyDescent="0.25">
      <c r="A784" t="s">
        <v>846</v>
      </c>
      <c r="B784" s="3" t="s">
        <v>4981</v>
      </c>
    </row>
    <row r="785" spans="1:2" ht="112" hidden="1" customHeight="1" x14ac:dyDescent="0.25">
      <c r="A785" t="s">
        <v>847</v>
      </c>
      <c r="B785" s="3" t="s">
        <v>3478</v>
      </c>
    </row>
    <row r="786" spans="1:2" ht="112" hidden="1" customHeight="1" x14ac:dyDescent="0.25">
      <c r="A786" t="s">
        <v>848</v>
      </c>
      <c r="B786" s="3" t="s">
        <v>3479</v>
      </c>
    </row>
    <row r="787" spans="1:2" ht="112" hidden="1" customHeight="1" x14ac:dyDescent="0.25">
      <c r="A787" t="s">
        <v>849</v>
      </c>
      <c r="B787" s="3" t="s">
        <v>3480</v>
      </c>
    </row>
    <row r="788" spans="1:2" ht="112" hidden="1" customHeight="1" x14ac:dyDescent="0.25">
      <c r="A788" t="s">
        <v>850</v>
      </c>
      <c r="B788" s="3" t="s">
        <v>3481</v>
      </c>
    </row>
    <row r="789" spans="1:2" ht="112" hidden="1" customHeight="1" x14ac:dyDescent="0.25">
      <c r="A789" t="s">
        <v>851</v>
      </c>
      <c r="B789" s="3" t="s">
        <v>3482</v>
      </c>
    </row>
    <row r="790" spans="1:2" ht="112" hidden="1" customHeight="1" x14ac:dyDescent="0.25">
      <c r="A790" t="s">
        <v>852</v>
      </c>
      <c r="B790" s="3" t="s">
        <v>6606</v>
      </c>
    </row>
    <row r="791" spans="1:2" ht="112" hidden="1" customHeight="1" x14ac:dyDescent="0.25">
      <c r="A791" t="s">
        <v>853</v>
      </c>
      <c r="B791" s="3" t="s">
        <v>6607</v>
      </c>
    </row>
    <row r="792" spans="1:2" ht="112" hidden="1" customHeight="1" x14ac:dyDescent="0.25">
      <c r="A792" t="s">
        <v>854</v>
      </c>
      <c r="B792" s="3" t="s">
        <v>3483</v>
      </c>
    </row>
    <row r="793" spans="1:2" ht="112" hidden="1" customHeight="1" x14ac:dyDescent="0.25">
      <c r="A793" t="s">
        <v>855</v>
      </c>
      <c r="B793" s="3" t="s">
        <v>3484</v>
      </c>
    </row>
    <row r="794" spans="1:2" ht="112" hidden="1" customHeight="1" x14ac:dyDescent="0.25">
      <c r="A794" t="s">
        <v>856</v>
      </c>
      <c r="B794" s="3" t="s">
        <v>3485</v>
      </c>
    </row>
    <row r="795" spans="1:2" ht="112" hidden="1" customHeight="1" x14ac:dyDescent="0.25">
      <c r="A795" t="s">
        <v>857</v>
      </c>
      <c r="B795" s="3" t="s">
        <v>3486</v>
      </c>
    </row>
    <row r="796" spans="1:2" ht="112" hidden="1" customHeight="1" x14ac:dyDescent="0.25">
      <c r="A796" t="s">
        <v>858</v>
      </c>
      <c r="B796" s="3" t="s">
        <v>3487</v>
      </c>
    </row>
    <row r="797" spans="1:2" ht="112" hidden="1" customHeight="1" x14ac:dyDescent="0.25">
      <c r="A797" t="s">
        <v>859</v>
      </c>
      <c r="B797" s="3" t="s">
        <v>3488</v>
      </c>
    </row>
    <row r="798" spans="1:2" ht="112" hidden="1" customHeight="1" x14ac:dyDescent="0.25">
      <c r="A798" t="s">
        <v>860</v>
      </c>
      <c r="B798" s="3" t="s">
        <v>3489</v>
      </c>
    </row>
    <row r="799" spans="1:2" ht="112" hidden="1" customHeight="1" x14ac:dyDescent="0.25">
      <c r="A799" t="s">
        <v>861</v>
      </c>
      <c r="B799" s="3" t="s">
        <v>3490</v>
      </c>
    </row>
    <row r="800" spans="1:2" ht="112" hidden="1" customHeight="1" x14ac:dyDescent="0.25">
      <c r="A800" t="s">
        <v>862</v>
      </c>
      <c r="B800" s="3" t="s">
        <v>3491</v>
      </c>
    </row>
    <row r="801" spans="1:2" ht="112" hidden="1" customHeight="1" x14ac:dyDescent="0.25">
      <c r="A801" t="s">
        <v>863</v>
      </c>
      <c r="B801" s="3" t="s">
        <v>4982</v>
      </c>
    </row>
    <row r="802" spans="1:2" ht="112" hidden="1" customHeight="1" x14ac:dyDescent="0.25">
      <c r="A802" t="s">
        <v>864</v>
      </c>
      <c r="B802" s="3" t="s">
        <v>4983</v>
      </c>
    </row>
    <row r="803" spans="1:2" ht="112" hidden="1" customHeight="1" x14ac:dyDescent="0.25">
      <c r="A803" t="s">
        <v>865</v>
      </c>
      <c r="B803" s="3" t="s">
        <v>3492</v>
      </c>
    </row>
    <row r="804" spans="1:2" ht="112" hidden="1" customHeight="1" x14ac:dyDescent="0.25">
      <c r="A804" t="s">
        <v>866</v>
      </c>
      <c r="B804" s="3" t="s">
        <v>3493</v>
      </c>
    </row>
    <row r="805" spans="1:2" ht="112" hidden="1" customHeight="1" x14ac:dyDescent="0.25">
      <c r="A805" t="s">
        <v>867</v>
      </c>
      <c r="B805" s="3" t="s">
        <v>3494</v>
      </c>
    </row>
    <row r="806" spans="1:2" ht="112" hidden="1" customHeight="1" x14ac:dyDescent="0.25">
      <c r="A806" t="s">
        <v>868</v>
      </c>
      <c r="B806" s="3" t="s">
        <v>3495</v>
      </c>
    </row>
    <row r="807" spans="1:2" ht="112" hidden="1" customHeight="1" x14ac:dyDescent="0.25">
      <c r="A807" t="s">
        <v>869</v>
      </c>
      <c r="B807" s="3" t="s">
        <v>4984</v>
      </c>
    </row>
    <row r="808" spans="1:2" ht="112" hidden="1" customHeight="1" x14ac:dyDescent="0.25">
      <c r="A808" t="s">
        <v>870</v>
      </c>
      <c r="B808" s="3" t="s">
        <v>4985</v>
      </c>
    </row>
    <row r="809" spans="1:2" ht="112" hidden="1" customHeight="1" x14ac:dyDescent="0.25">
      <c r="A809" t="s">
        <v>871</v>
      </c>
      <c r="B809" s="3" t="s">
        <v>4986</v>
      </c>
    </row>
    <row r="810" spans="1:2" ht="112" hidden="1" customHeight="1" x14ac:dyDescent="0.25">
      <c r="A810" t="s">
        <v>872</v>
      </c>
      <c r="B810" s="3" t="s">
        <v>5920</v>
      </c>
    </row>
    <row r="811" spans="1:2" ht="112" hidden="1" customHeight="1" x14ac:dyDescent="0.25">
      <c r="A811" t="s">
        <v>873</v>
      </c>
      <c r="B811" s="3" t="s">
        <v>5921</v>
      </c>
    </row>
    <row r="812" spans="1:2" ht="112" hidden="1" customHeight="1" x14ac:dyDescent="0.25">
      <c r="A812" t="s">
        <v>874</v>
      </c>
      <c r="B812" s="3" t="s">
        <v>5922</v>
      </c>
    </row>
    <row r="813" spans="1:2" ht="112" hidden="1" customHeight="1" x14ac:dyDescent="0.25">
      <c r="A813" t="s">
        <v>875</v>
      </c>
      <c r="B813" s="3" t="s">
        <v>5923</v>
      </c>
    </row>
    <row r="814" spans="1:2" ht="112" hidden="1" customHeight="1" x14ac:dyDescent="0.25">
      <c r="A814" t="s">
        <v>876</v>
      </c>
      <c r="B814" s="3" t="s">
        <v>6218</v>
      </c>
    </row>
    <row r="815" spans="1:2" ht="112" hidden="1" customHeight="1" x14ac:dyDescent="0.25">
      <c r="A815" t="s">
        <v>877</v>
      </c>
      <c r="B815" s="3" t="s">
        <v>5924</v>
      </c>
    </row>
    <row r="816" spans="1:2" ht="112" hidden="1" customHeight="1" x14ac:dyDescent="0.25">
      <c r="A816" t="s">
        <v>878</v>
      </c>
      <c r="B816" s="3" t="s">
        <v>5925</v>
      </c>
    </row>
    <row r="817" spans="1:2" ht="112" hidden="1" customHeight="1" x14ac:dyDescent="0.25">
      <c r="A817" t="s">
        <v>879</v>
      </c>
      <c r="B817" s="3" t="s">
        <v>5926</v>
      </c>
    </row>
    <row r="818" spans="1:2" ht="112" hidden="1" customHeight="1" x14ac:dyDescent="0.25">
      <c r="A818" t="s">
        <v>880</v>
      </c>
      <c r="B818" s="3" t="s">
        <v>5927</v>
      </c>
    </row>
    <row r="819" spans="1:2" ht="112" hidden="1" customHeight="1" x14ac:dyDescent="0.25">
      <c r="A819" t="s">
        <v>881</v>
      </c>
      <c r="B819" s="3" t="s">
        <v>5928</v>
      </c>
    </row>
    <row r="820" spans="1:2" ht="112" hidden="1" customHeight="1" x14ac:dyDescent="0.25">
      <c r="A820" t="s">
        <v>882</v>
      </c>
      <c r="B820" s="3" t="s">
        <v>5929</v>
      </c>
    </row>
    <row r="821" spans="1:2" ht="112" hidden="1" customHeight="1" x14ac:dyDescent="0.25">
      <c r="A821" t="s">
        <v>883</v>
      </c>
      <c r="B821" s="3" t="s">
        <v>5930</v>
      </c>
    </row>
    <row r="822" spans="1:2" ht="112" hidden="1" customHeight="1" x14ac:dyDescent="0.25">
      <c r="A822" t="s">
        <v>884</v>
      </c>
      <c r="B822" s="3" t="s">
        <v>5931</v>
      </c>
    </row>
    <row r="823" spans="1:2" ht="112" hidden="1" customHeight="1" x14ac:dyDescent="0.25">
      <c r="A823" t="s">
        <v>885</v>
      </c>
      <c r="B823" s="3" t="s">
        <v>5932</v>
      </c>
    </row>
    <row r="824" spans="1:2" ht="112" hidden="1" customHeight="1" x14ac:dyDescent="0.25">
      <c r="A824" t="s">
        <v>888</v>
      </c>
      <c r="B824" s="3" t="s">
        <v>3496</v>
      </c>
    </row>
    <row r="825" spans="1:2" ht="112" hidden="1" customHeight="1" x14ac:dyDescent="0.25">
      <c r="A825" t="s">
        <v>889</v>
      </c>
      <c r="B825" s="3" t="s">
        <v>6373</v>
      </c>
    </row>
    <row r="826" spans="1:2" ht="112" hidden="1" customHeight="1" x14ac:dyDescent="0.25">
      <c r="A826" t="s">
        <v>890</v>
      </c>
      <c r="B826" s="3" t="s">
        <v>3497</v>
      </c>
    </row>
    <row r="827" spans="1:2" ht="112" hidden="1" customHeight="1" x14ac:dyDescent="0.25">
      <c r="A827" t="s">
        <v>891</v>
      </c>
      <c r="B827" s="3" t="s">
        <v>4987</v>
      </c>
    </row>
    <row r="828" spans="1:2" ht="112" hidden="1" customHeight="1" x14ac:dyDescent="0.25">
      <c r="A828" t="s">
        <v>892</v>
      </c>
      <c r="B828" s="3" t="s">
        <v>5933</v>
      </c>
    </row>
    <row r="829" spans="1:2" ht="112" hidden="1" customHeight="1" x14ac:dyDescent="0.25">
      <c r="A829" t="s">
        <v>893</v>
      </c>
      <c r="B829" s="3" t="s">
        <v>5934</v>
      </c>
    </row>
    <row r="830" spans="1:2" ht="112" hidden="1" customHeight="1" x14ac:dyDescent="0.25">
      <c r="A830" t="s">
        <v>894</v>
      </c>
      <c r="B830" s="3" t="s">
        <v>5935</v>
      </c>
    </row>
    <row r="831" spans="1:2" ht="112" hidden="1" customHeight="1" x14ac:dyDescent="0.25">
      <c r="A831" t="s">
        <v>895</v>
      </c>
      <c r="B831" s="3" t="s">
        <v>4988</v>
      </c>
    </row>
    <row r="832" spans="1:2" ht="112" hidden="1" customHeight="1" x14ac:dyDescent="0.25">
      <c r="A832" t="s">
        <v>896</v>
      </c>
      <c r="B832" s="3" t="s">
        <v>4989</v>
      </c>
    </row>
    <row r="833" spans="1:2" ht="112" hidden="1" customHeight="1" x14ac:dyDescent="0.25">
      <c r="A833" t="s">
        <v>897</v>
      </c>
      <c r="B833" s="3" t="s">
        <v>6219</v>
      </c>
    </row>
    <row r="834" spans="1:2" ht="112" hidden="1" customHeight="1" x14ac:dyDescent="0.25">
      <c r="A834" t="s">
        <v>898</v>
      </c>
      <c r="B834" s="3" t="s">
        <v>4990</v>
      </c>
    </row>
    <row r="835" spans="1:2" ht="112" hidden="1" customHeight="1" x14ac:dyDescent="0.25">
      <c r="A835" t="s">
        <v>899</v>
      </c>
      <c r="B835" s="3" t="s">
        <v>3498</v>
      </c>
    </row>
    <row r="836" spans="1:2" ht="112" hidden="1" customHeight="1" x14ac:dyDescent="0.25">
      <c r="A836" t="s">
        <v>900</v>
      </c>
      <c r="B836" s="3" t="s">
        <v>3499</v>
      </c>
    </row>
    <row r="837" spans="1:2" ht="112" hidden="1" customHeight="1" x14ac:dyDescent="0.25">
      <c r="A837" t="s">
        <v>901</v>
      </c>
      <c r="B837" s="3" t="s">
        <v>3500</v>
      </c>
    </row>
    <row r="838" spans="1:2" ht="112" hidden="1" customHeight="1" x14ac:dyDescent="0.25">
      <c r="A838" t="s">
        <v>902</v>
      </c>
      <c r="B838" s="3" t="s">
        <v>3501</v>
      </c>
    </row>
    <row r="839" spans="1:2" ht="112" hidden="1" customHeight="1" x14ac:dyDescent="0.25">
      <c r="A839" t="s">
        <v>903</v>
      </c>
      <c r="B839" s="3" t="s">
        <v>3502</v>
      </c>
    </row>
    <row r="840" spans="1:2" ht="112" hidden="1" customHeight="1" x14ac:dyDescent="0.25">
      <c r="A840" t="s">
        <v>904</v>
      </c>
      <c r="B840" s="3" t="s">
        <v>3503</v>
      </c>
    </row>
    <row r="841" spans="1:2" ht="112" hidden="1" customHeight="1" x14ac:dyDescent="0.25">
      <c r="A841" t="s">
        <v>905</v>
      </c>
      <c r="B841" s="3" t="s">
        <v>3504</v>
      </c>
    </row>
    <row r="842" spans="1:2" ht="112" hidden="1" customHeight="1" x14ac:dyDescent="0.25">
      <c r="A842" t="s">
        <v>906</v>
      </c>
      <c r="B842" s="3" t="s">
        <v>6608</v>
      </c>
    </row>
    <row r="843" spans="1:2" ht="112" hidden="1" customHeight="1" x14ac:dyDescent="0.25">
      <c r="A843" t="s">
        <v>907</v>
      </c>
      <c r="B843" s="3" t="s">
        <v>6609</v>
      </c>
    </row>
    <row r="844" spans="1:2" ht="112" hidden="1" customHeight="1" x14ac:dyDescent="0.25">
      <c r="A844" t="s">
        <v>908</v>
      </c>
      <c r="B844" s="3" t="s">
        <v>3505</v>
      </c>
    </row>
    <row r="845" spans="1:2" ht="112" hidden="1" customHeight="1" x14ac:dyDescent="0.25">
      <c r="A845" t="s">
        <v>909</v>
      </c>
      <c r="B845" s="3" t="s">
        <v>3506</v>
      </c>
    </row>
    <row r="846" spans="1:2" ht="112" hidden="1" customHeight="1" x14ac:dyDescent="0.25">
      <c r="A846" t="s">
        <v>910</v>
      </c>
      <c r="B846" s="3" t="s">
        <v>3507</v>
      </c>
    </row>
    <row r="847" spans="1:2" ht="112" hidden="1" customHeight="1" x14ac:dyDescent="0.25">
      <c r="A847" t="s">
        <v>911</v>
      </c>
      <c r="B847" s="3" t="s">
        <v>3508</v>
      </c>
    </row>
    <row r="848" spans="1:2" ht="112" hidden="1" customHeight="1" x14ac:dyDescent="0.25">
      <c r="A848" t="s">
        <v>912</v>
      </c>
      <c r="B848" s="3" t="s">
        <v>3509</v>
      </c>
    </row>
    <row r="849" spans="1:2" ht="112" hidden="1" customHeight="1" x14ac:dyDescent="0.25">
      <c r="A849" t="s">
        <v>913</v>
      </c>
      <c r="B849" s="3" t="s">
        <v>3510</v>
      </c>
    </row>
    <row r="850" spans="1:2" ht="112" hidden="1" customHeight="1" x14ac:dyDescent="0.25">
      <c r="A850" t="s">
        <v>914</v>
      </c>
      <c r="B850" s="3" t="s">
        <v>3511</v>
      </c>
    </row>
    <row r="851" spans="1:2" ht="112" hidden="1" customHeight="1" x14ac:dyDescent="0.25">
      <c r="A851" t="s">
        <v>915</v>
      </c>
      <c r="B851" s="3" t="s">
        <v>3512</v>
      </c>
    </row>
    <row r="852" spans="1:2" ht="112" hidden="1" customHeight="1" x14ac:dyDescent="0.25">
      <c r="A852" t="s">
        <v>916</v>
      </c>
      <c r="B852" s="3" t="s">
        <v>3513</v>
      </c>
    </row>
    <row r="853" spans="1:2" ht="112" hidden="1" customHeight="1" x14ac:dyDescent="0.25">
      <c r="A853" t="s">
        <v>917</v>
      </c>
      <c r="B853" s="3" t="s">
        <v>3514</v>
      </c>
    </row>
    <row r="854" spans="1:2" ht="112" hidden="1" customHeight="1" x14ac:dyDescent="0.25">
      <c r="A854" t="s">
        <v>918</v>
      </c>
      <c r="B854" s="3" t="s">
        <v>3515</v>
      </c>
    </row>
    <row r="855" spans="1:2" ht="112" hidden="1" customHeight="1" x14ac:dyDescent="0.25">
      <c r="A855" t="s">
        <v>919</v>
      </c>
      <c r="B855" s="3" t="s">
        <v>3516</v>
      </c>
    </row>
    <row r="856" spans="1:2" ht="112" hidden="1" customHeight="1" x14ac:dyDescent="0.25">
      <c r="A856" t="s">
        <v>920</v>
      </c>
      <c r="B856" s="3" t="s">
        <v>3517</v>
      </c>
    </row>
    <row r="857" spans="1:2" ht="112" hidden="1" customHeight="1" x14ac:dyDescent="0.25">
      <c r="A857" t="s">
        <v>921</v>
      </c>
      <c r="B857" s="3" t="s">
        <v>3518</v>
      </c>
    </row>
    <row r="858" spans="1:2" ht="112" hidden="1" customHeight="1" x14ac:dyDescent="0.25">
      <c r="A858" t="s">
        <v>922</v>
      </c>
      <c r="B858" s="3" t="s">
        <v>6610</v>
      </c>
    </row>
    <row r="859" spans="1:2" ht="112" hidden="1" customHeight="1" x14ac:dyDescent="0.25">
      <c r="A859" t="s">
        <v>923</v>
      </c>
      <c r="B859" s="3" t="s">
        <v>3519</v>
      </c>
    </row>
    <row r="860" spans="1:2" ht="112" hidden="1" customHeight="1" x14ac:dyDescent="0.25">
      <c r="A860" t="s">
        <v>924</v>
      </c>
      <c r="B860" s="3" t="s">
        <v>3520</v>
      </c>
    </row>
    <row r="861" spans="1:2" ht="112" hidden="1" customHeight="1" x14ac:dyDescent="0.25">
      <c r="A861" t="s">
        <v>925</v>
      </c>
      <c r="B861" s="3" t="s">
        <v>3521</v>
      </c>
    </row>
    <row r="862" spans="1:2" ht="112" hidden="1" customHeight="1" x14ac:dyDescent="0.25">
      <c r="A862" t="s">
        <v>926</v>
      </c>
      <c r="B862" s="3" t="s">
        <v>3522</v>
      </c>
    </row>
    <row r="863" spans="1:2" ht="112" hidden="1" customHeight="1" x14ac:dyDescent="0.25">
      <c r="A863" t="s">
        <v>927</v>
      </c>
      <c r="B863" s="3" t="s">
        <v>3523</v>
      </c>
    </row>
    <row r="864" spans="1:2" ht="112" hidden="1" customHeight="1" x14ac:dyDescent="0.25">
      <c r="A864" t="s">
        <v>928</v>
      </c>
      <c r="B864" s="3" t="s">
        <v>3524</v>
      </c>
    </row>
    <row r="865" spans="1:2" ht="112" hidden="1" customHeight="1" x14ac:dyDescent="0.25">
      <c r="A865" t="s">
        <v>929</v>
      </c>
      <c r="B865" s="3" t="s">
        <v>6220</v>
      </c>
    </row>
    <row r="866" spans="1:2" ht="112" hidden="1" customHeight="1" x14ac:dyDescent="0.25">
      <c r="A866" t="s">
        <v>931</v>
      </c>
      <c r="B866" s="3" t="s">
        <v>3525</v>
      </c>
    </row>
    <row r="867" spans="1:2" ht="112" hidden="1" customHeight="1" x14ac:dyDescent="0.25">
      <c r="A867" t="s">
        <v>932</v>
      </c>
      <c r="B867" s="3" t="s">
        <v>3526</v>
      </c>
    </row>
    <row r="868" spans="1:2" ht="112" hidden="1" customHeight="1" x14ac:dyDescent="0.25">
      <c r="A868" t="s">
        <v>933</v>
      </c>
      <c r="B868" s="3" t="s">
        <v>3527</v>
      </c>
    </row>
    <row r="869" spans="1:2" ht="112" hidden="1" customHeight="1" x14ac:dyDescent="0.25">
      <c r="A869" t="s">
        <v>934</v>
      </c>
      <c r="B869" s="3" t="s">
        <v>3528</v>
      </c>
    </row>
    <row r="870" spans="1:2" ht="112" hidden="1" customHeight="1" x14ac:dyDescent="0.25">
      <c r="A870" t="s">
        <v>935</v>
      </c>
      <c r="B870" s="3" t="s">
        <v>3529</v>
      </c>
    </row>
    <row r="871" spans="1:2" ht="112" hidden="1" customHeight="1" x14ac:dyDescent="0.25">
      <c r="A871" t="s">
        <v>936</v>
      </c>
      <c r="B871" s="3" t="s">
        <v>3530</v>
      </c>
    </row>
    <row r="872" spans="1:2" ht="112" hidden="1" customHeight="1" x14ac:dyDescent="0.25">
      <c r="A872" t="s">
        <v>937</v>
      </c>
      <c r="B872" s="3" t="s">
        <v>3531</v>
      </c>
    </row>
    <row r="873" spans="1:2" ht="112" hidden="1" customHeight="1" x14ac:dyDescent="0.25">
      <c r="A873" t="s">
        <v>938</v>
      </c>
      <c r="B873" s="3" t="s">
        <v>3532</v>
      </c>
    </row>
    <row r="874" spans="1:2" ht="112" hidden="1" customHeight="1" x14ac:dyDescent="0.25">
      <c r="A874" t="s">
        <v>939</v>
      </c>
      <c r="B874" s="3" t="s">
        <v>3533</v>
      </c>
    </row>
    <row r="875" spans="1:2" ht="112" hidden="1" customHeight="1" x14ac:dyDescent="0.25">
      <c r="A875" t="s">
        <v>940</v>
      </c>
      <c r="B875" s="3" t="s">
        <v>6611</v>
      </c>
    </row>
    <row r="876" spans="1:2" ht="112" hidden="1" customHeight="1" x14ac:dyDescent="0.25">
      <c r="A876" t="s">
        <v>941</v>
      </c>
      <c r="B876" s="3" t="s">
        <v>6612</v>
      </c>
    </row>
    <row r="877" spans="1:2" ht="112" hidden="1" customHeight="1" x14ac:dyDescent="0.25">
      <c r="A877" t="s">
        <v>942</v>
      </c>
      <c r="B877" s="3" t="s">
        <v>6613</v>
      </c>
    </row>
    <row r="878" spans="1:2" ht="112" hidden="1" customHeight="1" x14ac:dyDescent="0.25">
      <c r="A878" t="s">
        <v>943</v>
      </c>
      <c r="B878" s="3" t="s">
        <v>4991</v>
      </c>
    </row>
    <row r="879" spans="1:2" ht="112" hidden="1" customHeight="1" x14ac:dyDescent="0.25">
      <c r="A879" t="s">
        <v>944</v>
      </c>
      <c r="B879" s="3" t="s">
        <v>4992</v>
      </c>
    </row>
    <row r="880" spans="1:2" ht="112" hidden="1" customHeight="1" x14ac:dyDescent="0.25">
      <c r="A880" t="s">
        <v>945</v>
      </c>
      <c r="B880" s="3" t="s">
        <v>4993</v>
      </c>
    </row>
    <row r="881" spans="1:2" ht="112" hidden="1" customHeight="1" x14ac:dyDescent="0.25">
      <c r="A881" t="s">
        <v>946</v>
      </c>
      <c r="B881" s="3" t="s">
        <v>4994</v>
      </c>
    </row>
    <row r="882" spans="1:2" ht="112" hidden="1" customHeight="1" x14ac:dyDescent="0.25">
      <c r="A882" t="s">
        <v>947</v>
      </c>
      <c r="B882" s="3" t="s">
        <v>4995</v>
      </c>
    </row>
    <row r="883" spans="1:2" ht="112" hidden="1" customHeight="1" x14ac:dyDescent="0.25">
      <c r="A883" t="s">
        <v>948</v>
      </c>
      <c r="B883" s="3" t="s">
        <v>4996</v>
      </c>
    </row>
    <row r="884" spans="1:2" ht="112" hidden="1" customHeight="1" x14ac:dyDescent="0.25">
      <c r="A884" t="s">
        <v>949</v>
      </c>
      <c r="B884" s="3" t="s">
        <v>6614</v>
      </c>
    </row>
    <row r="885" spans="1:2" ht="112" hidden="1" customHeight="1" x14ac:dyDescent="0.25">
      <c r="A885" t="s">
        <v>950</v>
      </c>
      <c r="B885" s="3" t="s">
        <v>3534</v>
      </c>
    </row>
    <row r="886" spans="1:2" ht="112" hidden="1" customHeight="1" x14ac:dyDescent="0.25">
      <c r="A886" t="s">
        <v>951</v>
      </c>
      <c r="B886" s="3" t="s">
        <v>4997</v>
      </c>
    </row>
    <row r="887" spans="1:2" ht="112" hidden="1" customHeight="1" x14ac:dyDescent="0.25">
      <c r="A887" t="s">
        <v>955</v>
      </c>
      <c r="B887" s="3" t="s">
        <v>4998</v>
      </c>
    </row>
    <row r="888" spans="1:2" ht="112" hidden="1" customHeight="1" x14ac:dyDescent="0.25">
      <c r="A888" t="s">
        <v>956</v>
      </c>
      <c r="B888" s="3" t="s">
        <v>4999</v>
      </c>
    </row>
    <row r="889" spans="1:2" ht="112" hidden="1" customHeight="1" x14ac:dyDescent="0.25">
      <c r="A889" t="s">
        <v>957</v>
      </c>
      <c r="B889" s="3" t="s">
        <v>5000</v>
      </c>
    </row>
    <row r="890" spans="1:2" ht="112" hidden="1" customHeight="1" x14ac:dyDescent="0.25">
      <c r="A890" t="s">
        <v>958</v>
      </c>
      <c r="B890" s="3" t="s">
        <v>5001</v>
      </c>
    </row>
    <row r="891" spans="1:2" ht="112" hidden="1" customHeight="1" x14ac:dyDescent="0.25">
      <c r="A891" t="s">
        <v>959</v>
      </c>
      <c r="B891" s="3" t="s">
        <v>5002</v>
      </c>
    </row>
    <row r="892" spans="1:2" ht="112" hidden="1" customHeight="1" x14ac:dyDescent="0.25">
      <c r="A892" t="s">
        <v>960</v>
      </c>
      <c r="B892" s="3" t="s">
        <v>5003</v>
      </c>
    </row>
    <row r="893" spans="1:2" ht="112" hidden="1" customHeight="1" x14ac:dyDescent="0.25">
      <c r="A893" t="s">
        <v>961</v>
      </c>
      <c r="B893" s="3" t="s">
        <v>5004</v>
      </c>
    </row>
    <row r="894" spans="1:2" ht="112" hidden="1" customHeight="1" x14ac:dyDescent="0.25">
      <c r="A894" t="s">
        <v>962</v>
      </c>
      <c r="B894" s="3" t="s">
        <v>5005</v>
      </c>
    </row>
    <row r="895" spans="1:2" ht="112" hidden="1" customHeight="1" x14ac:dyDescent="0.25">
      <c r="A895" t="s">
        <v>963</v>
      </c>
      <c r="B895" s="3" t="s">
        <v>5006</v>
      </c>
    </row>
    <row r="896" spans="1:2" ht="112" hidden="1" customHeight="1" x14ac:dyDescent="0.25">
      <c r="A896" t="s">
        <v>964</v>
      </c>
      <c r="B896" s="3" t="s">
        <v>5007</v>
      </c>
    </row>
    <row r="897" spans="1:2" ht="112" hidden="1" customHeight="1" x14ac:dyDescent="0.25">
      <c r="A897" t="s">
        <v>965</v>
      </c>
      <c r="B897" s="3" t="s">
        <v>5008</v>
      </c>
    </row>
    <row r="898" spans="1:2" ht="112" hidden="1" customHeight="1" x14ac:dyDescent="0.25">
      <c r="A898" t="s">
        <v>966</v>
      </c>
      <c r="B898" s="3" t="s">
        <v>5009</v>
      </c>
    </row>
    <row r="899" spans="1:2" ht="112" hidden="1" customHeight="1" x14ac:dyDescent="0.25">
      <c r="A899" t="s">
        <v>968</v>
      </c>
      <c r="B899" s="3" t="s">
        <v>6615</v>
      </c>
    </row>
    <row r="900" spans="1:2" ht="112" hidden="1" customHeight="1" x14ac:dyDescent="0.25">
      <c r="A900" t="s">
        <v>969</v>
      </c>
      <c r="B900" s="3" t="s">
        <v>6616</v>
      </c>
    </row>
    <row r="901" spans="1:2" ht="112" hidden="1" customHeight="1" x14ac:dyDescent="0.25">
      <c r="A901" t="s">
        <v>971</v>
      </c>
      <c r="B901" s="3" t="s">
        <v>6617</v>
      </c>
    </row>
    <row r="902" spans="1:2" ht="112" hidden="1" customHeight="1" x14ac:dyDescent="0.25">
      <c r="A902" t="s">
        <v>972</v>
      </c>
      <c r="B902" s="3" t="s">
        <v>6618</v>
      </c>
    </row>
    <row r="903" spans="1:2" ht="112" hidden="1" customHeight="1" x14ac:dyDescent="0.25">
      <c r="A903" t="s">
        <v>974</v>
      </c>
      <c r="B903" s="3" t="s">
        <v>3535</v>
      </c>
    </row>
    <row r="904" spans="1:2" ht="112" hidden="1" customHeight="1" x14ac:dyDescent="0.25">
      <c r="A904" t="s">
        <v>975</v>
      </c>
      <c r="B904" s="3" t="s">
        <v>3536</v>
      </c>
    </row>
    <row r="905" spans="1:2" ht="112" hidden="1" customHeight="1" x14ac:dyDescent="0.25">
      <c r="A905" t="s">
        <v>976</v>
      </c>
      <c r="B905" s="3" t="s">
        <v>3537</v>
      </c>
    </row>
    <row r="906" spans="1:2" ht="112" hidden="1" customHeight="1" x14ac:dyDescent="0.25">
      <c r="A906" t="s">
        <v>977</v>
      </c>
      <c r="B906" s="3" t="s">
        <v>5010</v>
      </c>
    </row>
    <row r="907" spans="1:2" ht="112" hidden="1" customHeight="1" x14ac:dyDescent="0.25">
      <c r="A907" t="s">
        <v>978</v>
      </c>
      <c r="B907" s="3" t="s">
        <v>5011</v>
      </c>
    </row>
    <row r="908" spans="1:2" ht="112" hidden="1" customHeight="1" x14ac:dyDescent="0.25">
      <c r="A908" t="s">
        <v>979</v>
      </c>
      <c r="B908" s="3" t="s">
        <v>5012</v>
      </c>
    </row>
    <row r="909" spans="1:2" ht="112" hidden="1" customHeight="1" x14ac:dyDescent="0.25">
      <c r="A909" t="s">
        <v>980</v>
      </c>
      <c r="B909" s="3" t="s">
        <v>5013</v>
      </c>
    </row>
    <row r="910" spans="1:2" ht="112" hidden="1" customHeight="1" x14ac:dyDescent="0.25">
      <c r="A910" t="s">
        <v>981</v>
      </c>
      <c r="B910" s="3" t="s">
        <v>7670</v>
      </c>
    </row>
    <row r="911" spans="1:2" ht="112" hidden="1" customHeight="1" x14ac:dyDescent="0.25">
      <c r="A911" t="s">
        <v>983</v>
      </c>
      <c r="B911" s="3" t="s">
        <v>7471</v>
      </c>
    </row>
    <row r="912" spans="1:2" ht="112" hidden="1" customHeight="1" x14ac:dyDescent="0.25">
      <c r="A912" t="s">
        <v>7822</v>
      </c>
      <c r="B912" s="3" t="s">
        <v>6221</v>
      </c>
    </row>
    <row r="913" spans="1:2" ht="112" hidden="1" customHeight="1" x14ac:dyDescent="0.25">
      <c r="A913" t="s">
        <v>984</v>
      </c>
      <c r="B913" s="3" t="s">
        <v>7472</v>
      </c>
    </row>
    <row r="914" spans="1:2" ht="112" hidden="1" customHeight="1" x14ac:dyDescent="0.25">
      <c r="A914" t="s">
        <v>985</v>
      </c>
      <c r="B914" s="3" t="s">
        <v>6374</v>
      </c>
    </row>
    <row r="915" spans="1:2" ht="112" hidden="1" customHeight="1" x14ac:dyDescent="0.25">
      <c r="A915" t="s">
        <v>986</v>
      </c>
      <c r="B915" s="3" t="s">
        <v>7473</v>
      </c>
    </row>
    <row r="916" spans="1:2" ht="112" hidden="1" customHeight="1" x14ac:dyDescent="0.25">
      <c r="A916" t="s">
        <v>987</v>
      </c>
      <c r="B916" s="3" t="s">
        <v>3538</v>
      </c>
    </row>
    <row r="917" spans="1:2" ht="112" hidden="1" customHeight="1" x14ac:dyDescent="0.25">
      <c r="A917" t="s">
        <v>988</v>
      </c>
      <c r="B917" s="3" t="s">
        <v>3539</v>
      </c>
    </row>
    <row r="918" spans="1:2" ht="112" hidden="1" customHeight="1" x14ac:dyDescent="0.25">
      <c r="A918" t="s">
        <v>989</v>
      </c>
      <c r="B918" s="3" t="s">
        <v>3540</v>
      </c>
    </row>
    <row r="919" spans="1:2" ht="112" hidden="1" customHeight="1" x14ac:dyDescent="0.25">
      <c r="A919" t="s">
        <v>990</v>
      </c>
      <c r="B919" s="3" t="s">
        <v>3541</v>
      </c>
    </row>
    <row r="920" spans="1:2" ht="112" hidden="1" customHeight="1" x14ac:dyDescent="0.25">
      <c r="A920" t="s">
        <v>991</v>
      </c>
      <c r="B920" s="3" t="s">
        <v>3542</v>
      </c>
    </row>
    <row r="921" spans="1:2" ht="112" hidden="1" customHeight="1" x14ac:dyDescent="0.25">
      <c r="A921" t="s">
        <v>992</v>
      </c>
      <c r="B921" s="3" t="s">
        <v>3543</v>
      </c>
    </row>
    <row r="922" spans="1:2" ht="112" hidden="1" customHeight="1" x14ac:dyDescent="0.25">
      <c r="A922" t="s">
        <v>993</v>
      </c>
      <c r="B922" s="3" t="s">
        <v>6619</v>
      </c>
    </row>
    <row r="923" spans="1:2" ht="112" hidden="1" customHeight="1" x14ac:dyDescent="0.25">
      <c r="A923" t="s">
        <v>995</v>
      </c>
      <c r="B923" s="3" t="s">
        <v>3544</v>
      </c>
    </row>
    <row r="924" spans="1:2" ht="112" hidden="1" customHeight="1" x14ac:dyDescent="0.25">
      <c r="A924" t="s">
        <v>996</v>
      </c>
      <c r="B924" s="3" t="s">
        <v>3545</v>
      </c>
    </row>
    <row r="925" spans="1:2" ht="112" hidden="1" customHeight="1" x14ac:dyDescent="0.25">
      <c r="A925" t="s">
        <v>997</v>
      </c>
      <c r="B925" s="3" t="s">
        <v>5014</v>
      </c>
    </row>
    <row r="926" spans="1:2" ht="112" hidden="1" customHeight="1" x14ac:dyDescent="0.25">
      <c r="A926" t="s">
        <v>998</v>
      </c>
      <c r="B926" s="3" t="s">
        <v>5015</v>
      </c>
    </row>
    <row r="927" spans="1:2" ht="112" hidden="1" customHeight="1" x14ac:dyDescent="0.25">
      <c r="A927" t="s">
        <v>999</v>
      </c>
      <c r="B927" s="3" t="s">
        <v>5016</v>
      </c>
    </row>
    <row r="928" spans="1:2" ht="112" hidden="1" customHeight="1" x14ac:dyDescent="0.25">
      <c r="A928" t="s">
        <v>1000</v>
      </c>
      <c r="B928" s="3" t="s">
        <v>5017</v>
      </c>
    </row>
    <row r="929" spans="1:2" ht="112" hidden="1" customHeight="1" x14ac:dyDescent="0.25">
      <c r="A929" t="s">
        <v>1002</v>
      </c>
      <c r="B929" s="3" t="s">
        <v>5018</v>
      </c>
    </row>
    <row r="930" spans="1:2" ht="112" hidden="1" customHeight="1" x14ac:dyDescent="0.25">
      <c r="A930" t="s">
        <v>1003</v>
      </c>
      <c r="B930" s="3" t="s">
        <v>5019</v>
      </c>
    </row>
    <row r="931" spans="1:2" ht="112" hidden="1" customHeight="1" x14ac:dyDescent="0.25">
      <c r="A931" t="s">
        <v>1004</v>
      </c>
      <c r="B931" s="3" t="s">
        <v>3546</v>
      </c>
    </row>
    <row r="932" spans="1:2" ht="112" hidden="1" customHeight="1" x14ac:dyDescent="0.25">
      <c r="A932" t="s">
        <v>1005</v>
      </c>
      <c r="B932" s="3" t="s">
        <v>3547</v>
      </c>
    </row>
    <row r="933" spans="1:2" ht="112" hidden="1" customHeight="1" x14ac:dyDescent="0.25">
      <c r="A933" t="s">
        <v>1007</v>
      </c>
      <c r="B933" s="3" t="s">
        <v>6375</v>
      </c>
    </row>
    <row r="934" spans="1:2" ht="112" hidden="1" customHeight="1" x14ac:dyDescent="0.25">
      <c r="A934" t="s">
        <v>1008</v>
      </c>
      <c r="B934" s="3" t="s">
        <v>6620</v>
      </c>
    </row>
    <row r="935" spans="1:2" ht="112" hidden="1" customHeight="1" x14ac:dyDescent="0.25">
      <c r="A935" t="s">
        <v>1009</v>
      </c>
      <c r="B935" s="3" t="s">
        <v>3548</v>
      </c>
    </row>
    <row r="936" spans="1:2" ht="112" hidden="1" customHeight="1" x14ac:dyDescent="0.25">
      <c r="A936" t="s">
        <v>1010</v>
      </c>
      <c r="B936" s="3" t="s">
        <v>6621</v>
      </c>
    </row>
    <row r="937" spans="1:2" ht="112" hidden="1" customHeight="1" x14ac:dyDescent="0.25">
      <c r="A937" t="s">
        <v>1012</v>
      </c>
      <c r="B937" s="3" t="s">
        <v>6622</v>
      </c>
    </row>
    <row r="938" spans="1:2" ht="112" hidden="1" customHeight="1" x14ac:dyDescent="0.25">
      <c r="A938" t="s">
        <v>1013</v>
      </c>
      <c r="B938" s="3" t="s">
        <v>6376</v>
      </c>
    </row>
    <row r="939" spans="1:2" ht="112" hidden="1" customHeight="1" x14ac:dyDescent="0.25">
      <c r="A939" t="s">
        <v>1015</v>
      </c>
      <c r="B939" s="3" t="s">
        <v>6377</v>
      </c>
    </row>
    <row r="940" spans="1:2" ht="112" hidden="1" customHeight="1" x14ac:dyDescent="0.25">
      <c r="A940" t="s">
        <v>1016</v>
      </c>
      <c r="B940" s="3" t="s">
        <v>6378</v>
      </c>
    </row>
    <row r="941" spans="1:2" ht="112" hidden="1" customHeight="1" x14ac:dyDescent="0.25">
      <c r="A941" t="s">
        <v>1017</v>
      </c>
      <c r="B941" s="3" t="s">
        <v>3549</v>
      </c>
    </row>
    <row r="942" spans="1:2" ht="112" hidden="1" customHeight="1" x14ac:dyDescent="0.25">
      <c r="A942" t="s">
        <v>1018</v>
      </c>
      <c r="B942" s="3" t="s">
        <v>6379</v>
      </c>
    </row>
    <row r="943" spans="1:2" ht="112" hidden="1" customHeight="1" x14ac:dyDescent="0.25">
      <c r="A943" t="s">
        <v>1019</v>
      </c>
      <c r="B943" s="3" t="s">
        <v>6623</v>
      </c>
    </row>
    <row r="944" spans="1:2" ht="112" hidden="1" customHeight="1" x14ac:dyDescent="0.25">
      <c r="A944" t="s">
        <v>1020</v>
      </c>
      <c r="B944" s="3" t="s">
        <v>6222</v>
      </c>
    </row>
    <row r="945" spans="1:2" ht="112" hidden="1" customHeight="1" x14ac:dyDescent="0.25">
      <c r="A945" t="s">
        <v>1021</v>
      </c>
      <c r="B945" s="3" t="s">
        <v>5936</v>
      </c>
    </row>
    <row r="946" spans="1:2" ht="112" hidden="1" customHeight="1" x14ac:dyDescent="0.25">
      <c r="A946" t="s">
        <v>1022</v>
      </c>
      <c r="B946" s="3" t="s">
        <v>5937</v>
      </c>
    </row>
    <row r="947" spans="1:2" ht="112" hidden="1" customHeight="1" x14ac:dyDescent="0.25">
      <c r="A947" t="s">
        <v>1023</v>
      </c>
      <c r="B947" s="3" t="s">
        <v>6624</v>
      </c>
    </row>
    <row r="948" spans="1:2" ht="112" hidden="1" customHeight="1" x14ac:dyDescent="0.25">
      <c r="A948" t="s">
        <v>1024</v>
      </c>
      <c r="B948" s="3" t="s">
        <v>6625</v>
      </c>
    </row>
    <row r="949" spans="1:2" ht="112" hidden="1" customHeight="1" x14ac:dyDescent="0.25">
      <c r="A949" t="s">
        <v>1027</v>
      </c>
      <c r="B949" s="3" t="s">
        <v>6626</v>
      </c>
    </row>
    <row r="950" spans="1:2" ht="112" hidden="1" customHeight="1" x14ac:dyDescent="0.25">
      <c r="A950" t="s">
        <v>1028</v>
      </c>
      <c r="B950" s="3" t="s">
        <v>6627</v>
      </c>
    </row>
    <row r="951" spans="1:2" ht="112" hidden="1" customHeight="1" x14ac:dyDescent="0.25">
      <c r="A951" t="s">
        <v>1029</v>
      </c>
      <c r="B951" s="3" t="s">
        <v>6628</v>
      </c>
    </row>
    <row r="952" spans="1:2" ht="112" hidden="1" customHeight="1" x14ac:dyDescent="0.25">
      <c r="A952" t="s">
        <v>1030</v>
      </c>
      <c r="B952" s="3" t="s">
        <v>6629</v>
      </c>
    </row>
    <row r="953" spans="1:2" ht="112" hidden="1" customHeight="1" x14ac:dyDescent="0.25">
      <c r="A953" t="s">
        <v>1031</v>
      </c>
      <c r="B953" s="3" t="s">
        <v>6630</v>
      </c>
    </row>
    <row r="954" spans="1:2" ht="112" hidden="1" customHeight="1" x14ac:dyDescent="0.25">
      <c r="A954" t="s">
        <v>1032</v>
      </c>
      <c r="B954" s="3" t="s">
        <v>6631</v>
      </c>
    </row>
    <row r="955" spans="1:2" ht="112" hidden="1" customHeight="1" x14ac:dyDescent="0.25">
      <c r="A955" t="s">
        <v>1033</v>
      </c>
      <c r="B955" s="3" t="s">
        <v>6632</v>
      </c>
    </row>
    <row r="956" spans="1:2" ht="112" hidden="1" customHeight="1" x14ac:dyDescent="0.25">
      <c r="A956" t="s">
        <v>1035</v>
      </c>
      <c r="B956" s="3" t="s">
        <v>6633</v>
      </c>
    </row>
    <row r="957" spans="1:2" ht="112" hidden="1" customHeight="1" x14ac:dyDescent="0.25">
      <c r="A957" t="s">
        <v>1036</v>
      </c>
      <c r="B957" s="3" t="s">
        <v>6634</v>
      </c>
    </row>
    <row r="958" spans="1:2" ht="112" hidden="1" customHeight="1" x14ac:dyDescent="0.25">
      <c r="A958" t="s">
        <v>1037</v>
      </c>
      <c r="B958" s="3" t="s">
        <v>6635</v>
      </c>
    </row>
    <row r="959" spans="1:2" ht="112" hidden="1" customHeight="1" x14ac:dyDescent="0.25">
      <c r="A959" t="s">
        <v>1038</v>
      </c>
      <c r="B959" s="3" t="s">
        <v>6636</v>
      </c>
    </row>
    <row r="960" spans="1:2" ht="112" hidden="1" customHeight="1" x14ac:dyDescent="0.25">
      <c r="A960" t="s">
        <v>1039</v>
      </c>
      <c r="B960" s="3" t="s">
        <v>6637</v>
      </c>
    </row>
    <row r="961" spans="1:2" ht="112" hidden="1" customHeight="1" x14ac:dyDescent="0.25">
      <c r="A961" t="s">
        <v>1040</v>
      </c>
      <c r="B961" s="3" t="s">
        <v>5938</v>
      </c>
    </row>
    <row r="962" spans="1:2" ht="112" hidden="1" customHeight="1" x14ac:dyDescent="0.25">
      <c r="A962" t="s">
        <v>1041</v>
      </c>
      <c r="B962" s="3" t="s">
        <v>6223</v>
      </c>
    </row>
    <row r="963" spans="1:2" ht="112" hidden="1" customHeight="1" x14ac:dyDescent="0.25">
      <c r="A963" t="s">
        <v>1042</v>
      </c>
      <c r="B963" s="3" t="s">
        <v>5939</v>
      </c>
    </row>
    <row r="964" spans="1:2" ht="112" hidden="1" customHeight="1" x14ac:dyDescent="0.25">
      <c r="A964" t="s">
        <v>1043</v>
      </c>
      <c r="B964" s="3" t="s">
        <v>6224</v>
      </c>
    </row>
    <row r="965" spans="1:2" ht="112" hidden="1" customHeight="1" x14ac:dyDescent="0.25">
      <c r="A965" t="s">
        <v>1044</v>
      </c>
      <c r="B965" s="3" t="s">
        <v>3550</v>
      </c>
    </row>
    <row r="966" spans="1:2" ht="112" hidden="1" customHeight="1" x14ac:dyDescent="0.25">
      <c r="A966" t="s">
        <v>1045</v>
      </c>
      <c r="B966" s="3" t="s">
        <v>3551</v>
      </c>
    </row>
    <row r="967" spans="1:2" ht="112" hidden="1" customHeight="1" x14ac:dyDescent="0.25">
      <c r="A967" t="s">
        <v>1048</v>
      </c>
      <c r="B967" s="3" t="s">
        <v>5772</v>
      </c>
    </row>
    <row r="968" spans="1:2" ht="112" hidden="1" customHeight="1" x14ac:dyDescent="0.25">
      <c r="A968" t="s">
        <v>1049</v>
      </c>
      <c r="B968" s="3" t="s">
        <v>3552</v>
      </c>
    </row>
    <row r="969" spans="1:2" ht="112" hidden="1" customHeight="1" x14ac:dyDescent="0.25">
      <c r="A969" t="s">
        <v>1050</v>
      </c>
      <c r="B969" s="3" t="s">
        <v>5773</v>
      </c>
    </row>
    <row r="970" spans="1:2" ht="112" hidden="1" customHeight="1" x14ac:dyDescent="0.25">
      <c r="A970" t="s">
        <v>1051</v>
      </c>
      <c r="B970" s="3" t="s">
        <v>5774</v>
      </c>
    </row>
    <row r="971" spans="1:2" ht="112" hidden="1" customHeight="1" x14ac:dyDescent="0.25">
      <c r="A971" t="s">
        <v>1052</v>
      </c>
      <c r="B971" s="3" t="s">
        <v>5775</v>
      </c>
    </row>
    <row r="972" spans="1:2" ht="112" hidden="1" customHeight="1" x14ac:dyDescent="0.25">
      <c r="A972" t="s">
        <v>1053</v>
      </c>
      <c r="B972" s="3" t="s">
        <v>3553</v>
      </c>
    </row>
    <row r="973" spans="1:2" ht="112" hidden="1" customHeight="1" x14ac:dyDescent="0.25">
      <c r="A973" t="s">
        <v>1054</v>
      </c>
      <c r="B973" s="3" t="s">
        <v>5020</v>
      </c>
    </row>
    <row r="974" spans="1:2" ht="112" hidden="1" customHeight="1" x14ac:dyDescent="0.25">
      <c r="A974" t="s">
        <v>1055</v>
      </c>
      <c r="B974" s="3" t="s">
        <v>5776</v>
      </c>
    </row>
    <row r="975" spans="1:2" ht="112" hidden="1" customHeight="1" x14ac:dyDescent="0.25">
      <c r="A975" t="s">
        <v>1056</v>
      </c>
      <c r="B975" s="3" t="s">
        <v>6458</v>
      </c>
    </row>
    <row r="976" spans="1:2" ht="112" hidden="1" customHeight="1" x14ac:dyDescent="0.25">
      <c r="A976" t="s">
        <v>1057</v>
      </c>
      <c r="B976" s="3" t="s">
        <v>3554</v>
      </c>
    </row>
    <row r="977" spans="1:2" ht="112" hidden="1" customHeight="1" x14ac:dyDescent="0.25">
      <c r="A977" t="s">
        <v>1058</v>
      </c>
      <c r="B977" s="3" t="s">
        <v>6638</v>
      </c>
    </row>
    <row r="978" spans="1:2" ht="112" hidden="1" customHeight="1" x14ac:dyDescent="0.25">
      <c r="A978" t="s">
        <v>1059</v>
      </c>
      <c r="B978" s="3" t="s">
        <v>3555</v>
      </c>
    </row>
    <row r="979" spans="1:2" ht="112" hidden="1" customHeight="1" x14ac:dyDescent="0.25">
      <c r="A979" t="s">
        <v>1060</v>
      </c>
      <c r="B979" s="3" t="s">
        <v>5423</v>
      </c>
    </row>
    <row r="980" spans="1:2" ht="112" hidden="1" customHeight="1" x14ac:dyDescent="0.25">
      <c r="A980" t="s">
        <v>1061</v>
      </c>
      <c r="B980" s="3" t="s">
        <v>9173</v>
      </c>
    </row>
    <row r="981" spans="1:2" ht="112" hidden="1" customHeight="1" x14ac:dyDescent="0.25">
      <c r="A981" t="s">
        <v>1062</v>
      </c>
      <c r="B981" s="3" t="s">
        <v>5777</v>
      </c>
    </row>
    <row r="982" spans="1:2" ht="112" hidden="1" customHeight="1" x14ac:dyDescent="0.25">
      <c r="A982" t="s">
        <v>1063</v>
      </c>
      <c r="B982" s="3" t="s">
        <v>3556</v>
      </c>
    </row>
    <row r="983" spans="1:2" ht="112" hidden="1" customHeight="1" x14ac:dyDescent="0.25">
      <c r="A983" t="s">
        <v>1064</v>
      </c>
      <c r="B983" s="3" t="s">
        <v>3557</v>
      </c>
    </row>
    <row r="984" spans="1:2" ht="112" hidden="1" customHeight="1" x14ac:dyDescent="0.25">
      <c r="A984" t="s">
        <v>1065</v>
      </c>
      <c r="B984" s="3" t="s">
        <v>6380</v>
      </c>
    </row>
    <row r="985" spans="1:2" ht="112" hidden="1" customHeight="1" x14ac:dyDescent="0.25">
      <c r="A985" t="s">
        <v>1066</v>
      </c>
      <c r="B985" s="3" t="s">
        <v>6225</v>
      </c>
    </row>
    <row r="986" spans="1:2" ht="112" hidden="1" customHeight="1" x14ac:dyDescent="0.25">
      <c r="A986" t="s">
        <v>1067</v>
      </c>
      <c r="B986" s="3" t="s">
        <v>6226</v>
      </c>
    </row>
    <row r="987" spans="1:2" ht="112" hidden="1" customHeight="1" x14ac:dyDescent="0.25">
      <c r="A987" t="s">
        <v>1068</v>
      </c>
      <c r="B987" s="3" t="s">
        <v>6227</v>
      </c>
    </row>
    <row r="988" spans="1:2" ht="112" hidden="1" customHeight="1" x14ac:dyDescent="0.25">
      <c r="A988" t="s">
        <v>1069</v>
      </c>
      <c r="B988" s="3" t="s">
        <v>3558</v>
      </c>
    </row>
    <row r="989" spans="1:2" ht="112" hidden="1" customHeight="1" x14ac:dyDescent="0.25">
      <c r="A989" t="s">
        <v>1070</v>
      </c>
      <c r="B989" s="3" t="s">
        <v>3559</v>
      </c>
    </row>
    <row r="990" spans="1:2" ht="112" hidden="1" customHeight="1" x14ac:dyDescent="0.25">
      <c r="A990" t="s">
        <v>1071</v>
      </c>
      <c r="B990" s="3" t="s">
        <v>3560</v>
      </c>
    </row>
    <row r="991" spans="1:2" ht="112" hidden="1" customHeight="1" x14ac:dyDescent="0.25">
      <c r="A991" t="s">
        <v>1076</v>
      </c>
      <c r="B991" s="3" t="s">
        <v>3561</v>
      </c>
    </row>
    <row r="992" spans="1:2" ht="112" hidden="1" customHeight="1" x14ac:dyDescent="0.25">
      <c r="A992" t="s">
        <v>1077</v>
      </c>
      <c r="B992" s="3" t="s">
        <v>3562</v>
      </c>
    </row>
    <row r="993" spans="1:2" ht="112" hidden="1" customHeight="1" x14ac:dyDescent="0.25">
      <c r="A993" t="s">
        <v>1078</v>
      </c>
      <c r="B993" s="3" t="s">
        <v>3563</v>
      </c>
    </row>
    <row r="994" spans="1:2" ht="112" hidden="1" customHeight="1" x14ac:dyDescent="0.25">
      <c r="A994" t="s">
        <v>1079</v>
      </c>
      <c r="B994" s="3" t="s">
        <v>3564</v>
      </c>
    </row>
    <row r="995" spans="1:2" ht="112" hidden="1" customHeight="1" x14ac:dyDescent="0.25">
      <c r="A995" t="s">
        <v>1080</v>
      </c>
      <c r="B995" s="3" t="s">
        <v>3565</v>
      </c>
    </row>
    <row r="996" spans="1:2" ht="112" hidden="1" customHeight="1" x14ac:dyDescent="0.25">
      <c r="A996" t="s">
        <v>1081</v>
      </c>
      <c r="B996" s="3" t="s">
        <v>3566</v>
      </c>
    </row>
    <row r="997" spans="1:2" ht="112" hidden="1" customHeight="1" x14ac:dyDescent="0.25">
      <c r="A997" t="s">
        <v>1082</v>
      </c>
      <c r="B997" s="3" t="s">
        <v>3567</v>
      </c>
    </row>
    <row r="998" spans="1:2" ht="112" hidden="1" customHeight="1" x14ac:dyDescent="0.25">
      <c r="A998" t="s">
        <v>1083</v>
      </c>
      <c r="B998" s="3" t="s">
        <v>3568</v>
      </c>
    </row>
    <row r="999" spans="1:2" ht="112" hidden="1" customHeight="1" x14ac:dyDescent="0.25">
      <c r="A999" t="s">
        <v>1084</v>
      </c>
      <c r="B999" s="3" t="s">
        <v>3569</v>
      </c>
    </row>
    <row r="1000" spans="1:2" ht="112" hidden="1" customHeight="1" x14ac:dyDescent="0.25">
      <c r="A1000" t="s">
        <v>1085</v>
      </c>
      <c r="B1000" s="3" t="s">
        <v>3570</v>
      </c>
    </row>
    <row r="1001" spans="1:2" ht="112" hidden="1" customHeight="1" x14ac:dyDescent="0.25">
      <c r="A1001" t="s">
        <v>1086</v>
      </c>
      <c r="B1001" s="3" t="s">
        <v>3571</v>
      </c>
    </row>
    <row r="1002" spans="1:2" ht="112" hidden="1" customHeight="1" x14ac:dyDescent="0.25">
      <c r="A1002" t="s">
        <v>1087</v>
      </c>
      <c r="B1002" s="3" t="s">
        <v>3572</v>
      </c>
    </row>
    <row r="1003" spans="1:2" ht="112" hidden="1" customHeight="1" x14ac:dyDescent="0.25">
      <c r="A1003" t="s">
        <v>1088</v>
      </c>
      <c r="B1003" s="3" t="s">
        <v>3573</v>
      </c>
    </row>
    <row r="1004" spans="1:2" ht="112" hidden="1" customHeight="1" x14ac:dyDescent="0.25">
      <c r="A1004" t="s">
        <v>1089</v>
      </c>
      <c r="B1004" s="3" t="s">
        <v>3574</v>
      </c>
    </row>
    <row r="1005" spans="1:2" ht="112" hidden="1" customHeight="1" x14ac:dyDescent="0.25">
      <c r="A1005" t="s">
        <v>1090</v>
      </c>
      <c r="B1005" s="3" t="s">
        <v>3575</v>
      </c>
    </row>
    <row r="1006" spans="1:2" ht="112" hidden="1" customHeight="1" x14ac:dyDescent="0.25">
      <c r="A1006" t="s">
        <v>1091</v>
      </c>
      <c r="B1006" s="3" t="s">
        <v>5940</v>
      </c>
    </row>
    <row r="1007" spans="1:2" ht="112" hidden="1" customHeight="1" x14ac:dyDescent="0.25">
      <c r="A1007" t="s">
        <v>1092</v>
      </c>
      <c r="B1007" s="3" t="s">
        <v>3576</v>
      </c>
    </row>
    <row r="1008" spans="1:2" ht="112" hidden="1" customHeight="1" x14ac:dyDescent="0.25">
      <c r="A1008" t="s">
        <v>1093</v>
      </c>
      <c r="B1008" s="3" t="s">
        <v>6451</v>
      </c>
    </row>
    <row r="1009" spans="1:2" ht="112" hidden="1" customHeight="1" x14ac:dyDescent="0.25">
      <c r="A1009" t="s">
        <v>1094</v>
      </c>
      <c r="B1009" s="3" t="s">
        <v>6452</v>
      </c>
    </row>
    <row r="1010" spans="1:2" ht="112" hidden="1" customHeight="1" x14ac:dyDescent="0.25">
      <c r="A1010" t="s">
        <v>1095</v>
      </c>
      <c r="B1010" s="3" t="s">
        <v>3577</v>
      </c>
    </row>
    <row r="1011" spans="1:2" ht="112" hidden="1" customHeight="1" x14ac:dyDescent="0.25">
      <c r="A1011" t="s">
        <v>1096</v>
      </c>
      <c r="B1011" s="3" t="s">
        <v>3578</v>
      </c>
    </row>
    <row r="1012" spans="1:2" ht="112" hidden="1" customHeight="1" x14ac:dyDescent="0.25">
      <c r="A1012" t="s">
        <v>1097</v>
      </c>
      <c r="B1012" s="3" t="s">
        <v>3579</v>
      </c>
    </row>
    <row r="1013" spans="1:2" ht="112" hidden="1" customHeight="1" x14ac:dyDescent="0.25">
      <c r="A1013" t="s">
        <v>1098</v>
      </c>
      <c r="B1013" s="3" t="s">
        <v>3580</v>
      </c>
    </row>
    <row r="1014" spans="1:2" ht="112" hidden="1" customHeight="1" x14ac:dyDescent="0.25">
      <c r="A1014" t="s">
        <v>1099</v>
      </c>
      <c r="B1014" s="3" t="s">
        <v>6453</v>
      </c>
    </row>
    <row r="1015" spans="1:2" ht="112" hidden="1" customHeight="1" x14ac:dyDescent="0.25">
      <c r="A1015" t="s">
        <v>1100</v>
      </c>
      <c r="B1015" s="3" t="s">
        <v>6454</v>
      </c>
    </row>
    <row r="1016" spans="1:2" ht="112" hidden="1" customHeight="1" x14ac:dyDescent="0.25">
      <c r="A1016" t="s">
        <v>1101</v>
      </c>
      <c r="B1016" s="3" t="s">
        <v>6455</v>
      </c>
    </row>
    <row r="1017" spans="1:2" ht="112" hidden="1" customHeight="1" x14ac:dyDescent="0.25">
      <c r="A1017" t="s">
        <v>1102</v>
      </c>
      <c r="B1017" s="3" t="s">
        <v>3581</v>
      </c>
    </row>
    <row r="1018" spans="1:2" ht="112" hidden="1" customHeight="1" x14ac:dyDescent="0.25">
      <c r="A1018" t="s">
        <v>1103</v>
      </c>
      <c r="B1018" s="3" t="s">
        <v>5021</v>
      </c>
    </row>
    <row r="1019" spans="1:2" ht="112" hidden="1" customHeight="1" x14ac:dyDescent="0.25">
      <c r="A1019" t="s">
        <v>1104</v>
      </c>
      <c r="B1019" s="3" t="s">
        <v>5022</v>
      </c>
    </row>
    <row r="1020" spans="1:2" ht="112" hidden="1" customHeight="1" x14ac:dyDescent="0.25">
      <c r="A1020" t="s">
        <v>1105</v>
      </c>
      <c r="B1020" s="3" t="s">
        <v>5023</v>
      </c>
    </row>
    <row r="1021" spans="1:2" ht="112" hidden="1" customHeight="1" x14ac:dyDescent="0.25">
      <c r="A1021" t="s">
        <v>1106</v>
      </c>
      <c r="B1021" s="3" t="s">
        <v>5024</v>
      </c>
    </row>
    <row r="1022" spans="1:2" ht="112" hidden="1" customHeight="1" x14ac:dyDescent="0.25">
      <c r="A1022" t="s">
        <v>1107</v>
      </c>
      <c r="B1022" s="3" t="s">
        <v>5025</v>
      </c>
    </row>
    <row r="1023" spans="1:2" ht="112" hidden="1" customHeight="1" x14ac:dyDescent="0.25">
      <c r="A1023" t="s">
        <v>1108</v>
      </c>
      <c r="B1023" s="3" t="s">
        <v>5837</v>
      </c>
    </row>
    <row r="1024" spans="1:2" ht="112" hidden="1" customHeight="1" x14ac:dyDescent="0.25">
      <c r="A1024" t="s">
        <v>1109</v>
      </c>
      <c r="B1024" s="3" t="s">
        <v>3582</v>
      </c>
    </row>
    <row r="1025" spans="1:2" ht="112" hidden="1" customHeight="1" x14ac:dyDescent="0.25">
      <c r="A1025" t="s">
        <v>1110</v>
      </c>
      <c r="B1025" s="3" t="s">
        <v>5838</v>
      </c>
    </row>
    <row r="1026" spans="1:2" ht="112" hidden="1" customHeight="1" x14ac:dyDescent="0.25">
      <c r="A1026" t="s">
        <v>1111</v>
      </c>
      <c r="B1026" s="3" t="s">
        <v>5833</v>
      </c>
    </row>
    <row r="1027" spans="1:2" ht="112" hidden="1" customHeight="1" x14ac:dyDescent="0.25">
      <c r="A1027" t="s">
        <v>1112</v>
      </c>
      <c r="B1027" s="3" t="s">
        <v>5839</v>
      </c>
    </row>
    <row r="1028" spans="1:2" ht="112" hidden="1" customHeight="1" x14ac:dyDescent="0.25">
      <c r="A1028" t="s">
        <v>1113</v>
      </c>
      <c r="B1028" s="3" t="s">
        <v>5840</v>
      </c>
    </row>
    <row r="1029" spans="1:2" ht="112" hidden="1" customHeight="1" x14ac:dyDescent="0.25">
      <c r="A1029" t="s">
        <v>1114</v>
      </c>
      <c r="B1029" s="3" t="s">
        <v>5841</v>
      </c>
    </row>
    <row r="1030" spans="1:2" ht="112" hidden="1" customHeight="1" x14ac:dyDescent="0.25">
      <c r="A1030" t="s">
        <v>1115</v>
      </c>
      <c r="B1030" s="3" t="s">
        <v>3583</v>
      </c>
    </row>
    <row r="1031" spans="1:2" ht="112" hidden="1" customHeight="1" x14ac:dyDescent="0.25">
      <c r="A1031" t="s">
        <v>1116</v>
      </c>
      <c r="B1031" s="3" t="s">
        <v>5842</v>
      </c>
    </row>
    <row r="1032" spans="1:2" ht="112" hidden="1" customHeight="1" x14ac:dyDescent="0.25">
      <c r="A1032" t="s">
        <v>1117</v>
      </c>
      <c r="B1032" s="3" t="s">
        <v>3584</v>
      </c>
    </row>
    <row r="1033" spans="1:2" ht="112" hidden="1" customHeight="1" x14ac:dyDescent="0.25">
      <c r="A1033" t="s">
        <v>1118</v>
      </c>
      <c r="B1033" s="3" t="s">
        <v>3585</v>
      </c>
    </row>
    <row r="1034" spans="1:2" ht="112" hidden="1" customHeight="1" x14ac:dyDescent="0.25">
      <c r="A1034" t="s">
        <v>1119</v>
      </c>
      <c r="B1034" s="3" t="s">
        <v>3586</v>
      </c>
    </row>
    <row r="1035" spans="1:2" ht="112" hidden="1" customHeight="1" x14ac:dyDescent="0.25">
      <c r="A1035" t="s">
        <v>1120</v>
      </c>
      <c r="B1035" s="3" t="s">
        <v>3587</v>
      </c>
    </row>
    <row r="1036" spans="1:2" ht="112" hidden="1" customHeight="1" x14ac:dyDescent="0.25">
      <c r="A1036" t="s">
        <v>1121</v>
      </c>
      <c r="B1036" s="3" t="s">
        <v>6459</v>
      </c>
    </row>
    <row r="1037" spans="1:2" ht="112" hidden="1" customHeight="1" x14ac:dyDescent="0.25">
      <c r="A1037" t="s">
        <v>1122</v>
      </c>
      <c r="B1037" s="3" t="s">
        <v>3588</v>
      </c>
    </row>
    <row r="1038" spans="1:2" ht="112" hidden="1" customHeight="1" x14ac:dyDescent="0.25">
      <c r="A1038" t="s">
        <v>1123</v>
      </c>
      <c r="B1038" s="3" t="s">
        <v>3589</v>
      </c>
    </row>
    <row r="1039" spans="1:2" ht="112" hidden="1" customHeight="1" x14ac:dyDescent="0.25">
      <c r="A1039" t="s">
        <v>1124</v>
      </c>
      <c r="B1039" s="3" t="s">
        <v>3590</v>
      </c>
    </row>
    <row r="1040" spans="1:2" ht="112" hidden="1" customHeight="1" x14ac:dyDescent="0.25">
      <c r="A1040" t="s">
        <v>1126</v>
      </c>
      <c r="B1040" s="3" t="s">
        <v>3591</v>
      </c>
    </row>
    <row r="1041" spans="1:2" ht="112" hidden="1" customHeight="1" x14ac:dyDescent="0.25">
      <c r="A1041" t="s">
        <v>1129</v>
      </c>
      <c r="B1041" s="3" t="s">
        <v>3592</v>
      </c>
    </row>
    <row r="1042" spans="1:2" ht="112" hidden="1" customHeight="1" x14ac:dyDescent="0.25">
      <c r="A1042" t="s">
        <v>1130</v>
      </c>
      <c r="B1042" s="3" t="s">
        <v>6639</v>
      </c>
    </row>
    <row r="1043" spans="1:2" ht="112" hidden="1" customHeight="1" x14ac:dyDescent="0.25">
      <c r="A1043" t="s">
        <v>1131</v>
      </c>
      <c r="B1043" s="3" t="s">
        <v>6640</v>
      </c>
    </row>
    <row r="1044" spans="1:2" ht="112" hidden="1" customHeight="1" x14ac:dyDescent="0.25">
      <c r="A1044" t="s">
        <v>1134</v>
      </c>
      <c r="B1044" s="3" t="s">
        <v>6381</v>
      </c>
    </row>
    <row r="1045" spans="1:2" ht="112" hidden="1" customHeight="1" x14ac:dyDescent="0.25">
      <c r="A1045" t="s">
        <v>1135</v>
      </c>
      <c r="B1045" s="3" t="s">
        <v>5778</v>
      </c>
    </row>
    <row r="1046" spans="1:2" ht="112" hidden="1" customHeight="1" x14ac:dyDescent="0.25">
      <c r="A1046" t="s">
        <v>1136</v>
      </c>
      <c r="B1046" s="3" t="s">
        <v>3593</v>
      </c>
    </row>
    <row r="1047" spans="1:2" ht="112" hidden="1" customHeight="1" x14ac:dyDescent="0.25">
      <c r="A1047" t="s">
        <v>1137</v>
      </c>
      <c r="B1047" s="3" t="s">
        <v>3594</v>
      </c>
    </row>
    <row r="1048" spans="1:2" ht="112" hidden="1" customHeight="1" x14ac:dyDescent="0.25">
      <c r="A1048" t="s">
        <v>1138</v>
      </c>
      <c r="B1048" s="3" t="s">
        <v>7474</v>
      </c>
    </row>
    <row r="1049" spans="1:2" ht="112" hidden="1" customHeight="1" x14ac:dyDescent="0.25">
      <c r="A1049" t="s">
        <v>1139</v>
      </c>
      <c r="B1049" s="3" t="s">
        <v>5424</v>
      </c>
    </row>
    <row r="1050" spans="1:2" ht="112" hidden="1" customHeight="1" x14ac:dyDescent="0.25">
      <c r="A1050" t="s">
        <v>1140</v>
      </c>
      <c r="B1050" s="3" t="s">
        <v>5425</v>
      </c>
    </row>
    <row r="1051" spans="1:2" ht="112" hidden="1" customHeight="1" x14ac:dyDescent="0.25">
      <c r="A1051" t="s">
        <v>1141</v>
      </c>
      <c r="B1051" s="3" t="s">
        <v>3595</v>
      </c>
    </row>
    <row r="1052" spans="1:2" ht="112" hidden="1" customHeight="1" x14ac:dyDescent="0.25">
      <c r="A1052" t="s">
        <v>1142</v>
      </c>
      <c r="B1052" s="3" t="s">
        <v>5426</v>
      </c>
    </row>
    <row r="1053" spans="1:2" ht="112" hidden="1" customHeight="1" x14ac:dyDescent="0.25">
      <c r="A1053" t="s">
        <v>1143</v>
      </c>
      <c r="B1053" s="3" t="s">
        <v>3596</v>
      </c>
    </row>
    <row r="1054" spans="1:2" ht="112" hidden="1" customHeight="1" x14ac:dyDescent="0.25">
      <c r="A1054" t="s">
        <v>1144</v>
      </c>
      <c r="B1054" s="3" t="s">
        <v>5941</v>
      </c>
    </row>
    <row r="1055" spans="1:2" ht="112" hidden="1" customHeight="1" x14ac:dyDescent="0.25">
      <c r="A1055" t="s">
        <v>1145</v>
      </c>
      <c r="B1055" s="3" t="s">
        <v>5026</v>
      </c>
    </row>
    <row r="1056" spans="1:2" ht="112" hidden="1" customHeight="1" x14ac:dyDescent="0.25">
      <c r="A1056" t="s">
        <v>1146</v>
      </c>
      <c r="B1056" s="3" t="s">
        <v>5027</v>
      </c>
    </row>
    <row r="1057" spans="1:2" ht="112" hidden="1" customHeight="1" x14ac:dyDescent="0.25">
      <c r="A1057" t="s">
        <v>1147</v>
      </c>
      <c r="B1057" s="3" t="s">
        <v>5942</v>
      </c>
    </row>
    <row r="1058" spans="1:2" ht="112" hidden="1" customHeight="1" x14ac:dyDescent="0.25">
      <c r="A1058" t="s">
        <v>1148</v>
      </c>
      <c r="B1058" s="3" t="s">
        <v>5028</v>
      </c>
    </row>
    <row r="1059" spans="1:2" ht="112" hidden="1" customHeight="1" x14ac:dyDescent="0.25">
      <c r="A1059" t="s">
        <v>1149</v>
      </c>
      <c r="B1059" s="3" t="s">
        <v>5029</v>
      </c>
    </row>
    <row r="1060" spans="1:2" ht="112" hidden="1" customHeight="1" x14ac:dyDescent="0.25">
      <c r="A1060" t="s">
        <v>1150</v>
      </c>
      <c r="B1060" s="3" t="s">
        <v>5943</v>
      </c>
    </row>
    <row r="1061" spans="1:2" ht="112" hidden="1" customHeight="1" x14ac:dyDescent="0.25">
      <c r="A1061" t="s">
        <v>1151</v>
      </c>
      <c r="B1061" s="3" t="s">
        <v>5030</v>
      </c>
    </row>
    <row r="1062" spans="1:2" ht="112" hidden="1" customHeight="1" x14ac:dyDescent="0.25">
      <c r="A1062" t="s">
        <v>1152</v>
      </c>
      <c r="B1062" s="3" t="s">
        <v>5031</v>
      </c>
    </row>
    <row r="1063" spans="1:2" ht="112" hidden="1" customHeight="1" x14ac:dyDescent="0.25">
      <c r="A1063" t="s">
        <v>1153</v>
      </c>
      <c r="B1063" s="3" t="s">
        <v>5032</v>
      </c>
    </row>
    <row r="1064" spans="1:2" ht="112" hidden="1" customHeight="1" x14ac:dyDescent="0.25">
      <c r="A1064" t="s">
        <v>1154</v>
      </c>
      <c r="B1064" s="3" t="s">
        <v>5033</v>
      </c>
    </row>
    <row r="1065" spans="1:2" ht="112" hidden="1" customHeight="1" x14ac:dyDescent="0.25">
      <c r="A1065" t="s">
        <v>1155</v>
      </c>
      <c r="B1065" s="3" t="s">
        <v>7475</v>
      </c>
    </row>
    <row r="1066" spans="1:2" ht="112" hidden="1" customHeight="1" x14ac:dyDescent="0.25">
      <c r="A1066" t="s">
        <v>1156</v>
      </c>
      <c r="B1066" s="3" t="s">
        <v>5427</v>
      </c>
    </row>
    <row r="1067" spans="1:2" ht="112" hidden="1" customHeight="1" x14ac:dyDescent="0.25">
      <c r="A1067" t="s">
        <v>1157</v>
      </c>
      <c r="B1067" s="3" t="s">
        <v>5428</v>
      </c>
    </row>
    <row r="1068" spans="1:2" ht="112" hidden="1" customHeight="1" x14ac:dyDescent="0.25">
      <c r="A1068" t="s">
        <v>1158</v>
      </c>
      <c r="B1068" s="3" t="s">
        <v>3597</v>
      </c>
    </row>
    <row r="1069" spans="1:2" ht="112" hidden="1" customHeight="1" x14ac:dyDescent="0.25">
      <c r="A1069" t="s">
        <v>1159</v>
      </c>
      <c r="B1069" s="3" t="s">
        <v>3598</v>
      </c>
    </row>
    <row r="1070" spans="1:2" ht="112" hidden="1" customHeight="1" x14ac:dyDescent="0.25">
      <c r="A1070" t="s">
        <v>1160</v>
      </c>
      <c r="B1070" s="3" t="s">
        <v>3599</v>
      </c>
    </row>
    <row r="1071" spans="1:2" ht="112" hidden="1" customHeight="1" x14ac:dyDescent="0.25">
      <c r="A1071" t="s">
        <v>1161</v>
      </c>
      <c r="B1071" s="3" t="s">
        <v>3600</v>
      </c>
    </row>
    <row r="1072" spans="1:2" ht="112" hidden="1" customHeight="1" x14ac:dyDescent="0.25">
      <c r="A1072" t="s">
        <v>1162</v>
      </c>
      <c r="B1072" s="3" t="s">
        <v>6228</v>
      </c>
    </row>
    <row r="1073" spans="1:2" ht="112" hidden="1" customHeight="1" x14ac:dyDescent="0.25">
      <c r="A1073" t="s">
        <v>1163</v>
      </c>
      <c r="B1073" s="3" t="s">
        <v>5779</v>
      </c>
    </row>
    <row r="1074" spans="1:2" ht="112" hidden="1" customHeight="1" x14ac:dyDescent="0.25">
      <c r="A1074" t="s">
        <v>1164</v>
      </c>
      <c r="B1074" s="3" t="s">
        <v>5780</v>
      </c>
    </row>
    <row r="1075" spans="1:2" ht="112" hidden="1" customHeight="1" x14ac:dyDescent="0.25">
      <c r="A1075" t="s">
        <v>1165</v>
      </c>
      <c r="B1075" s="3" t="s">
        <v>5944</v>
      </c>
    </row>
    <row r="1076" spans="1:2" ht="112" hidden="1" customHeight="1" x14ac:dyDescent="0.25">
      <c r="A1076" t="s">
        <v>1166</v>
      </c>
      <c r="B1076" s="3" t="s">
        <v>5781</v>
      </c>
    </row>
    <row r="1077" spans="1:2" ht="112" hidden="1" customHeight="1" x14ac:dyDescent="0.25">
      <c r="A1077" t="s">
        <v>1167</v>
      </c>
      <c r="B1077" s="3" t="s">
        <v>5945</v>
      </c>
    </row>
    <row r="1078" spans="1:2" ht="112" hidden="1" customHeight="1" x14ac:dyDescent="0.25">
      <c r="A1078" t="s">
        <v>1169</v>
      </c>
      <c r="B1078" s="3" t="s">
        <v>5782</v>
      </c>
    </row>
    <row r="1079" spans="1:2" ht="112" hidden="1" customHeight="1" x14ac:dyDescent="0.25">
      <c r="A1079" t="s">
        <v>1170</v>
      </c>
      <c r="B1079" s="3" t="s">
        <v>5783</v>
      </c>
    </row>
    <row r="1080" spans="1:2" ht="112" hidden="1" customHeight="1" x14ac:dyDescent="0.25">
      <c r="A1080" t="s">
        <v>1172</v>
      </c>
      <c r="B1080" s="3" t="s">
        <v>5784</v>
      </c>
    </row>
    <row r="1081" spans="1:2" ht="112" hidden="1" customHeight="1" x14ac:dyDescent="0.25">
      <c r="A1081" t="s">
        <v>1173</v>
      </c>
      <c r="B1081" s="3" t="s">
        <v>5785</v>
      </c>
    </row>
    <row r="1082" spans="1:2" ht="112" hidden="1" customHeight="1" x14ac:dyDescent="0.25">
      <c r="A1082" t="s">
        <v>1174</v>
      </c>
      <c r="B1082" s="3" t="s">
        <v>5786</v>
      </c>
    </row>
    <row r="1083" spans="1:2" ht="112" hidden="1" customHeight="1" x14ac:dyDescent="0.25">
      <c r="A1083" t="s">
        <v>1175</v>
      </c>
      <c r="B1083" s="3" t="s">
        <v>5787</v>
      </c>
    </row>
    <row r="1084" spans="1:2" ht="112" hidden="1" customHeight="1" x14ac:dyDescent="0.25">
      <c r="A1084" t="s">
        <v>1176</v>
      </c>
      <c r="B1084" s="3" t="s">
        <v>5034</v>
      </c>
    </row>
    <row r="1085" spans="1:2" ht="112" hidden="1" customHeight="1" x14ac:dyDescent="0.25">
      <c r="A1085" t="s">
        <v>1177</v>
      </c>
      <c r="B1085" s="3" t="s">
        <v>5946</v>
      </c>
    </row>
    <row r="1086" spans="1:2" ht="112" hidden="1" customHeight="1" x14ac:dyDescent="0.25">
      <c r="A1086" t="s">
        <v>1178</v>
      </c>
      <c r="B1086" s="3" t="s">
        <v>5788</v>
      </c>
    </row>
    <row r="1087" spans="1:2" ht="112" hidden="1" customHeight="1" x14ac:dyDescent="0.25">
      <c r="A1087" t="s">
        <v>1179</v>
      </c>
      <c r="B1087" s="3" t="s">
        <v>5789</v>
      </c>
    </row>
    <row r="1088" spans="1:2" ht="112" hidden="1" customHeight="1" x14ac:dyDescent="0.25">
      <c r="A1088" t="s">
        <v>1180</v>
      </c>
      <c r="B1088" s="3" t="s">
        <v>6382</v>
      </c>
    </row>
    <row r="1089" spans="1:2" ht="112" hidden="1" customHeight="1" x14ac:dyDescent="0.25">
      <c r="A1089" t="s">
        <v>1181</v>
      </c>
      <c r="B1089" s="3" t="s">
        <v>5790</v>
      </c>
    </row>
    <row r="1090" spans="1:2" ht="112" hidden="1" customHeight="1" x14ac:dyDescent="0.25">
      <c r="A1090" t="s">
        <v>1182</v>
      </c>
      <c r="B1090" s="3" t="s">
        <v>3601</v>
      </c>
    </row>
    <row r="1091" spans="1:2" ht="112" hidden="1" customHeight="1" x14ac:dyDescent="0.25">
      <c r="A1091" t="s">
        <v>1183</v>
      </c>
      <c r="B1091" s="3" t="s">
        <v>3602</v>
      </c>
    </row>
    <row r="1092" spans="1:2" ht="112" hidden="1" customHeight="1" x14ac:dyDescent="0.25">
      <c r="A1092" t="s">
        <v>1184</v>
      </c>
      <c r="B1092" s="3" t="s">
        <v>3603</v>
      </c>
    </row>
    <row r="1093" spans="1:2" ht="112" hidden="1" customHeight="1" x14ac:dyDescent="0.25">
      <c r="A1093" t="s">
        <v>1185</v>
      </c>
      <c r="B1093" s="3" t="s">
        <v>3604</v>
      </c>
    </row>
    <row r="1094" spans="1:2" ht="112" hidden="1" customHeight="1" x14ac:dyDescent="0.25">
      <c r="A1094" t="s">
        <v>1186</v>
      </c>
      <c r="B1094" s="3" t="s">
        <v>5947</v>
      </c>
    </row>
    <row r="1095" spans="1:2" ht="112" hidden="1" customHeight="1" x14ac:dyDescent="0.25">
      <c r="A1095" t="s">
        <v>1187</v>
      </c>
      <c r="B1095" s="3" t="s">
        <v>3605</v>
      </c>
    </row>
    <row r="1096" spans="1:2" ht="112" hidden="1" customHeight="1" x14ac:dyDescent="0.25">
      <c r="A1096" t="s">
        <v>1188</v>
      </c>
      <c r="B1096" s="3" t="s">
        <v>3606</v>
      </c>
    </row>
    <row r="1097" spans="1:2" ht="112" hidden="1" customHeight="1" x14ac:dyDescent="0.25">
      <c r="A1097" t="s">
        <v>1189</v>
      </c>
      <c r="B1097" s="3" t="s">
        <v>3607</v>
      </c>
    </row>
    <row r="1098" spans="1:2" ht="112" hidden="1" customHeight="1" x14ac:dyDescent="0.25">
      <c r="A1098" t="s">
        <v>1190</v>
      </c>
      <c r="B1098" s="3" t="s">
        <v>3608</v>
      </c>
    </row>
    <row r="1099" spans="1:2" ht="112" hidden="1" customHeight="1" x14ac:dyDescent="0.25">
      <c r="A1099" t="s">
        <v>1191</v>
      </c>
      <c r="B1099" s="3" t="s">
        <v>3609</v>
      </c>
    </row>
    <row r="1100" spans="1:2" ht="112" hidden="1" customHeight="1" x14ac:dyDescent="0.25">
      <c r="A1100" t="s">
        <v>1192</v>
      </c>
      <c r="B1100" s="3" t="s">
        <v>3610</v>
      </c>
    </row>
    <row r="1101" spans="1:2" ht="112" hidden="1" customHeight="1" x14ac:dyDescent="0.25">
      <c r="A1101" t="s">
        <v>1193</v>
      </c>
      <c r="B1101" s="3" t="s">
        <v>3611</v>
      </c>
    </row>
    <row r="1102" spans="1:2" ht="112" hidden="1" customHeight="1" x14ac:dyDescent="0.25">
      <c r="A1102" t="s">
        <v>1194</v>
      </c>
      <c r="B1102" s="3" t="s">
        <v>3612</v>
      </c>
    </row>
    <row r="1103" spans="1:2" ht="112" hidden="1" customHeight="1" x14ac:dyDescent="0.25">
      <c r="A1103" t="s">
        <v>1195</v>
      </c>
      <c r="B1103" s="3" t="s">
        <v>3613</v>
      </c>
    </row>
    <row r="1104" spans="1:2" ht="112" hidden="1" customHeight="1" x14ac:dyDescent="0.25">
      <c r="A1104" t="s">
        <v>1196</v>
      </c>
      <c r="B1104" s="3" t="s">
        <v>3614</v>
      </c>
    </row>
    <row r="1105" spans="1:2" ht="112" hidden="1" customHeight="1" x14ac:dyDescent="0.25">
      <c r="A1105" t="s">
        <v>1197</v>
      </c>
      <c r="B1105" s="3" t="s">
        <v>3615</v>
      </c>
    </row>
    <row r="1106" spans="1:2" ht="112" hidden="1" customHeight="1" x14ac:dyDescent="0.25">
      <c r="A1106" t="s">
        <v>1198</v>
      </c>
      <c r="B1106" s="3" t="s">
        <v>3616</v>
      </c>
    </row>
    <row r="1107" spans="1:2" ht="112" hidden="1" customHeight="1" x14ac:dyDescent="0.25">
      <c r="A1107" t="s">
        <v>1199</v>
      </c>
      <c r="B1107" s="3" t="s">
        <v>3617</v>
      </c>
    </row>
    <row r="1108" spans="1:2" ht="112" hidden="1" customHeight="1" x14ac:dyDescent="0.25">
      <c r="A1108" t="s">
        <v>1200</v>
      </c>
      <c r="B1108" s="3" t="s">
        <v>3618</v>
      </c>
    </row>
    <row r="1109" spans="1:2" ht="112" hidden="1" customHeight="1" x14ac:dyDescent="0.25">
      <c r="A1109" t="s">
        <v>1201</v>
      </c>
      <c r="B1109" s="3" t="s">
        <v>3619</v>
      </c>
    </row>
    <row r="1110" spans="1:2" ht="112" hidden="1" customHeight="1" x14ac:dyDescent="0.25">
      <c r="A1110" t="s">
        <v>1202</v>
      </c>
      <c r="B1110" s="3" t="s">
        <v>3620</v>
      </c>
    </row>
    <row r="1111" spans="1:2" ht="112" hidden="1" customHeight="1" x14ac:dyDescent="0.25">
      <c r="A1111" t="s">
        <v>1203</v>
      </c>
      <c r="B1111" s="3" t="s">
        <v>3621</v>
      </c>
    </row>
    <row r="1112" spans="1:2" ht="112" hidden="1" customHeight="1" x14ac:dyDescent="0.25">
      <c r="A1112" t="s">
        <v>1204</v>
      </c>
      <c r="B1112" s="3" t="s">
        <v>3622</v>
      </c>
    </row>
    <row r="1113" spans="1:2" ht="112" hidden="1" customHeight="1" x14ac:dyDescent="0.25">
      <c r="A1113" t="s">
        <v>1205</v>
      </c>
      <c r="B1113" s="3" t="s">
        <v>3623</v>
      </c>
    </row>
    <row r="1114" spans="1:2" ht="112" hidden="1" customHeight="1" x14ac:dyDescent="0.25">
      <c r="A1114" t="s">
        <v>1206</v>
      </c>
      <c r="B1114" s="3" t="s">
        <v>3624</v>
      </c>
    </row>
    <row r="1115" spans="1:2" ht="112" hidden="1" customHeight="1" x14ac:dyDescent="0.25">
      <c r="A1115" t="s">
        <v>1207</v>
      </c>
      <c r="B1115" s="3" t="s">
        <v>5035</v>
      </c>
    </row>
    <row r="1116" spans="1:2" ht="112" hidden="1" customHeight="1" x14ac:dyDescent="0.25">
      <c r="A1116" t="s">
        <v>1209</v>
      </c>
      <c r="B1116" s="3" t="s">
        <v>5036</v>
      </c>
    </row>
    <row r="1117" spans="1:2" ht="112" hidden="1" customHeight="1" x14ac:dyDescent="0.25">
      <c r="A1117" t="s">
        <v>1210</v>
      </c>
      <c r="B1117" s="3" t="s">
        <v>5037</v>
      </c>
    </row>
    <row r="1118" spans="1:2" ht="112" hidden="1" customHeight="1" x14ac:dyDescent="0.25">
      <c r="A1118" t="s">
        <v>1211</v>
      </c>
      <c r="B1118" s="3" t="s">
        <v>5038</v>
      </c>
    </row>
    <row r="1119" spans="1:2" ht="112" hidden="1" customHeight="1" x14ac:dyDescent="0.25">
      <c r="A1119" t="s">
        <v>1212</v>
      </c>
      <c r="B1119" s="3" t="s">
        <v>5039</v>
      </c>
    </row>
    <row r="1120" spans="1:2" ht="112" hidden="1" customHeight="1" x14ac:dyDescent="0.25">
      <c r="A1120" t="s">
        <v>1213</v>
      </c>
      <c r="B1120" s="3" t="s">
        <v>5040</v>
      </c>
    </row>
    <row r="1121" spans="1:2" ht="112" hidden="1" customHeight="1" x14ac:dyDescent="0.25">
      <c r="A1121" t="s">
        <v>1214</v>
      </c>
      <c r="B1121" s="3" t="s">
        <v>5041</v>
      </c>
    </row>
    <row r="1122" spans="1:2" ht="112" hidden="1" customHeight="1" x14ac:dyDescent="0.25">
      <c r="A1122" t="s">
        <v>1215</v>
      </c>
      <c r="B1122" s="3" t="s">
        <v>5042</v>
      </c>
    </row>
    <row r="1123" spans="1:2" ht="112" hidden="1" customHeight="1" x14ac:dyDescent="0.25">
      <c r="A1123" t="s">
        <v>1216</v>
      </c>
      <c r="B1123" s="3" t="s">
        <v>5043</v>
      </c>
    </row>
    <row r="1124" spans="1:2" ht="112" hidden="1" customHeight="1" x14ac:dyDescent="0.25">
      <c r="A1124" t="s">
        <v>1217</v>
      </c>
      <c r="B1124" s="3" t="s">
        <v>5044</v>
      </c>
    </row>
    <row r="1125" spans="1:2" ht="112" hidden="1" customHeight="1" x14ac:dyDescent="0.25">
      <c r="A1125" t="s">
        <v>1218</v>
      </c>
      <c r="B1125" s="3" t="s">
        <v>5045</v>
      </c>
    </row>
    <row r="1126" spans="1:2" ht="112" hidden="1" customHeight="1" x14ac:dyDescent="0.25">
      <c r="A1126" t="s">
        <v>1219</v>
      </c>
      <c r="B1126" s="3" t="s">
        <v>5046</v>
      </c>
    </row>
    <row r="1127" spans="1:2" ht="112" hidden="1" customHeight="1" x14ac:dyDescent="0.25">
      <c r="A1127" t="s">
        <v>1220</v>
      </c>
      <c r="B1127" s="3" t="s">
        <v>5047</v>
      </c>
    </row>
    <row r="1128" spans="1:2" ht="112" hidden="1" customHeight="1" x14ac:dyDescent="0.25">
      <c r="A1128" t="s">
        <v>1221</v>
      </c>
      <c r="B1128" s="3" t="s">
        <v>5048</v>
      </c>
    </row>
    <row r="1129" spans="1:2" ht="112" hidden="1" customHeight="1" x14ac:dyDescent="0.25">
      <c r="A1129" t="s">
        <v>1222</v>
      </c>
      <c r="B1129" s="3" t="s">
        <v>5049</v>
      </c>
    </row>
    <row r="1130" spans="1:2" ht="112" hidden="1" customHeight="1" x14ac:dyDescent="0.25">
      <c r="A1130" t="s">
        <v>1223</v>
      </c>
      <c r="B1130" s="3" t="s">
        <v>5050</v>
      </c>
    </row>
    <row r="1131" spans="1:2" ht="112" hidden="1" customHeight="1" x14ac:dyDescent="0.25">
      <c r="A1131" t="s">
        <v>1224</v>
      </c>
      <c r="B1131" s="3" t="s">
        <v>5051</v>
      </c>
    </row>
    <row r="1132" spans="1:2" ht="112" hidden="1" customHeight="1" x14ac:dyDescent="0.25">
      <c r="A1132" t="s">
        <v>1225</v>
      </c>
      <c r="B1132" s="3" t="s">
        <v>5052</v>
      </c>
    </row>
    <row r="1133" spans="1:2" ht="112" hidden="1" customHeight="1" x14ac:dyDescent="0.25">
      <c r="A1133" t="s">
        <v>1226</v>
      </c>
      <c r="B1133" s="3" t="s">
        <v>5053</v>
      </c>
    </row>
    <row r="1134" spans="1:2" ht="112" hidden="1" customHeight="1" x14ac:dyDescent="0.25">
      <c r="A1134" t="s">
        <v>1227</v>
      </c>
      <c r="B1134" s="3" t="s">
        <v>3625</v>
      </c>
    </row>
    <row r="1135" spans="1:2" ht="112" hidden="1" customHeight="1" x14ac:dyDescent="0.25">
      <c r="A1135" t="s">
        <v>1230</v>
      </c>
      <c r="B1135" s="3" t="s">
        <v>5054</v>
      </c>
    </row>
    <row r="1136" spans="1:2" ht="112" hidden="1" customHeight="1" x14ac:dyDescent="0.25">
      <c r="A1136" t="s">
        <v>1236</v>
      </c>
      <c r="B1136" s="3" t="s">
        <v>4758</v>
      </c>
    </row>
    <row r="1137" spans="1:2" ht="112" hidden="1" customHeight="1" x14ac:dyDescent="0.25">
      <c r="A1137" t="s">
        <v>1237</v>
      </c>
      <c r="B1137" s="3" t="s">
        <v>5055</v>
      </c>
    </row>
    <row r="1138" spans="1:2" ht="112" hidden="1" customHeight="1" x14ac:dyDescent="0.25">
      <c r="A1138" t="s">
        <v>1238</v>
      </c>
      <c r="B1138" s="3" t="s">
        <v>5056</v>
      </c>
    </row>
    <row r="1139" spans="1:2" ht="112" hidden="1" customHeight="1" x14ac:dyDescent="0.25">
      <c r="A1139" t="s">
        <v>1240</v>
      </c>
      <c r="B1139" s="3" t="s">
        <v>5057</v>
      </c>
    </row>
    <row r="1140" spans="1:2" ht="112" hidden="1" customHeight="1" x14ac:dyDescent="0.25">
      <c r="A1140" t="s">
        <v>1241</v>
      </c>
      <c r="B1140" s="3" t="s">
        <v>5058</v>
      </c>
    </row>
    <row r="1141" spans="1:2" ht="112" hidden="1" customHeight="1" x14ac:dyDescent="0.25">
      <c r="A1141" t="s">
        <v>1242</v>
      </c>
      <c r="B1141" s="3" t="s">
        <v>5059</v>
      </c>
    </row>
    <row r="1142" spans="1:2" ht="112" hidden="1" customHeight="1" x14ac:dyDescent="0.25">
      <c r="A1142" t="s">
        <v>1243</v>
      </c>
      <c r="B1142" s="3" t="s">
        <v>5060</v>
      </c>
    </row>
    <row r="1143" spans="1:2" ht="112" hidden="1" customHeight="1" x14ac:dyDescent="0.25">
      <c r="A1143" t="s">
        <v>1244</v>
      </c>
      <c r="B1143" s="3" t="s">
        <v>3626</v>
      </c>
    </row>
    <row r="1144" spans="1:2" ht="112" hidden="1" customHeight="1" x14ac:dyDescent="0.25">
      <c r="A1144" t="s">
        <v>1245</v>
      </c>
      <c r="B1144" s="3" t="s">
        <v>3627</v>
      </c>
    </row>
    <row r="1145" spans="1:2" ht="112" hidden="1" customHeight="1" x14ac:dyDescent="0.25">
      <c r="A1145" t="s">
        <v>1246</v>
      </c>
      <c r="B1145" s="3" t="s">
        <v>5061</v>
      </c>
    </row>
    <row r="1146" spans="1:2" ht="112" hidden="1" customHeight="1" x14ac:dyDescent="0.25">
      <c r="A1146" t="s">
        <v>1247</v>
      </c>
      <c r="B1146" s="3" t="s">
        <v>3628</v>
      </c>
    </row>
    <row r="1147" spans="1:2" ht="112" hidden="1" customHeight="1" x14ac:dyDescent="0.25">
      <c r="A1147" t="s">
        <v>1248</v>
      </c>
      <c r="B1147" s="3" t="s">
        <v>5062</v>
      </c>
    </row>
    <row r="1148" spans="1:2" ht="112" hidden="1" customHeight="1" x14ac:dyDescent="0.25">
      <c r="A1148" t="s">
        <v>1249</v>
      </c>
      <c r="B1148" s="3" t="s">
        <v>5063</v>
      </c>
    </row>
    <row r="1149" spans="1:2" ht="112" hidden="1" customHeight="1" x14ac:dyDescent="0.25">
      <c r="A1149" t="s">
        <v>1250</v>
      </c>
      <c r="B1149" s="3" t="s">
        <v>5064</v>
      </c>
    </row>
    <row r="1150" spans="1:2" ht="112" hidden="1" customHeight="1" x14ac:dyDescent="0.25">
      <c r="A1150" t="s">
        <v>1251</v>
      </c>
      <c r="B1150" s="3" t="s">
        <v>5065</v>
      </c>
    </row>
    <row r="1151" spans="1:2" ht="112" hidden="1" customHeight="1" x14ac:dyDescent="0.25">
      <c r="A1151" t="s">
        <v>1252</v>
      </c>
      <c r="B1151" s="3" t="s">
        <v>5066</v>
      </c>
    </row>
    <row r="1152" spans="1:2" ht="112" hidden="1" customHeight="1" x14ac:dyDescent="0.25">
      <c r="A1152" t="s">
        <v>1253</v>
      </c>
      <c r="B1152" s="3" t="s">
        <v>5067</v>
      </c>
    </row>
    <row r="1153" spans="1:2" ht="112" hidden="1" customHeight="1" x14ac:dyDescent="0.25">
      <c r="A1153" t="s">
        <v>1254</v>
      </c>
      <c r="B1153" s="3" t="s">
        <v>5068</v>
      </c>
    </row>
    <row r="1154" spans="1:2" ht="112" hidden="1" customHeight="1" x14ac:dyDescent="0.25">
      <c r="A1154" t="s">
        <v>1256</v>
      </c>
      <c r="B1154" s="3" t="s">
        <v>5069</v>
      </c>
    </row>
    <row r="1155" spans="1:2" ht="112" hidden="1" customHeight="1" x14ac:dyDescent="0.25">
      <c r="A1155" t="s">
        <v>1257</v>
      </c>
      <c r="B1155" s="3" t="s">
        <v>5070</v>
      </c>
    </row>
    <row r="1156" spans="1:2" ht="112" hidden="1" customHeight="1" x14ac:dyDescent="0.25">
      <c r="A1156" t="s">
        <v>1258</v>
      </c>
      <c r="B1156" s="3" t="s">
        <v>5071</v>
      </c>
    </row>
    <row r="1157" spans="1:2" ht="112" hidden="1" customHeight="1" x14ac:dyDescent="0.25">
      <c r="A1157" t="s">
        <v>1259</v>
      </c>
      <c r="B1157" s="3" t="s">
        <v>5072</v>
      </c>
    </row>
    <row r="1158" spans="1:2" ht="112" hidden="1" customHeight="1" x14ac:dyDescent="0.25">
      <c r="A1158" t="s">
        <v>1261</v>
      </c>
      <c r="B1158" s="3" t="s">
        <v>3629</v>
      </c>
    </row>
    <row r="1159" spans="1:2" ht="112" hidden="1" customHeight="1" x14ac:dyDescent="0.25">
      <c r="A1159" t="s">
        <v>1262</v>
      </c>
      <c r="B1159" s="3" t="s">
        <v>3630</v>
      </c>
    </row>
    <row r="1160" spans="1:2" ht="112" hidden="1" customHeight="1" x14ac:dyDescent="0.25">
      <c r="A1160" t="s">
        <v>1263</v>
      </c>
      <c r="B1160" s="3" t="s">
        <v>5073</v>
      </c>
    </row>
    <row r="1161" spans="1:2" ht="112" hidden="1" customHeight="1" x14ac:dyDescent="0.25">
      <c r="A1161" t="s">
        <v>1264</v>
      </c>
      <c r="B1161" s="3" t="s">
        <v>3631</v>
      </c>
    </row>
    <row r="1162" spans="1:2" ht="112" hidden="1" customHeight="1" x14ac:dyDescent="0.25">
      <c r="A1162" t="s">
        <v>1265</v>
      </c>
      <c r="B1162" s="3" t="s">
        <v>5948</v>
      </c>
    </row>
    <row r="1163" spans="1:2" ht="112" hidden="1" customHeight="1" x14ac:dyDescent="0.25">
      <c r="A1163" t="s">
        <v>1266</v>
      </c>
      <c r="B1163" s="3" t="s">
        <v>6460</v>
      </c>
    </row>
    <row r="1164" spans="1:2" ht="112" hidden="1" customHeight="1" x14ac:dyDescent="0.25">
      <c r="A1164" t="s">
        <v>1267</v>
      </c>
      <c r="B1164" s="3" t="s">
        <v>5429</v>
      </c>
    </row>
    <row r="1165" spans="1:2" ht="112" hidden="1" customHeight="1" x14ac:dyDescent="0.25">
      <c r="A1165" t="s">
        <v>1268</v>
      </c>
      <c r="B1165" s="3" t="s">
        <v>5430</v>
      </c>
    </row>
    <row r="1166" spans="1:2" ht="112" hidden="1" customHeight="1" x14ac:dyDescent="0.25">
      <c r="A1166" t="s">
        <v>1269</v>
      </c>
      <c r="B1166" s="3" t="s">
        <v>5074</v>
      </c>
    </row>
    <row r="1167" spans="1:2" ht="112" hidden="1" customHeight="1" x14ac:dyDescent="0.25">
      <c r="A1167" t="s">
        <v>1270</v>
      </c>
      <c r="B1167" s="3" t="s">
        <v>5431</v>
      </c>
    </row>
    <row r="1168" spans="1:2" ht="112" hidden="1" customHeight="1" x14ac:dyDescent="0.25">
      <c r="A1168" t="s">
        <v>1271</v>
      </c>
      <c r="B1168" s="3" t="s">
        <v>3632</v>
      </c>
    </row>
    <row r="1169" spans="1:2" ht="112" hidden="1" customHeight="1" x14ac:dyDescent="0.25">
      <c r="A1169" t="s">
        <v>1273</v>
      </c>
      <c r="B1169" s="3" t="s">
        <v>5843</v>
      </c>
    </row>
    <row r="1170" spans="1:2" ht="112" hidden="1" customHeight="1" x14ac:dyDescent="0.25">
      <c r="A1170" t="s">
        <v>1274</v>
      </c>
      <c r="B1170" s="3" t="s">
        <v>5075</v>
      </c>
    </row>
    <row r="1171" spans="1:2" ht="112" hidden="1" customHeight="1" x14ac:dyDescent="0.25">
      <c r="A1171" t="s">
        <v>1275</v>
      </c>
      <c r="B1171" s="3" t="s">
        <v>5076</v>
      </c>
    </row>
    <row r="1172" spans="1:2" ht="112" hidden="1" customHeight="1" x14ac:dyDescent="0.25">
      <c r="A1172" t="s">
        <v>1276</v>
      </c>
      <c r="B1172" s="3" t="s">
        <v>6383</v>
      </c>
    </row>
    <row r="1173" spans="1:2" ht="112" hidden="1" customHeight="1" x14ac:dyDescent="0.25">
      <c r="A1173" t="s">
        <v>1277</v>
      </c>
      <c r="B1173" s="3" t="s">
        <v>5791</v>
      </c>
    </row>
    <row r="1174" spans="1:2" ht="112" hidden="1" customHeight="1" x14ac:dyDescent="0.25">
      <c r="A1174" t="s">
        <v>1278</v>
      </c>
      <c r="B1174" s="3" t="s">
        <v>5792</v>
      </c>
    </row>
    <row r="1175" spans="1:2" ht="112" hidden="1" customHeight="1" x14ac:dyDescent="0.25">
      <c r="A1175" t="s">
        <v>1279</v>
      </c>
      <c r="B1175" s="3" t="s">
        <v>5077</v>
      </c>
    </row>
    <row r="1176" spans="1:2" ht="112" hidden="1" customHeight="1" x14ac:dyDescent="0.25">
      <c r="A1176" t="s">
        <v>1280</v>
      </c>
      <c r="B1176" s="3" t="s">
        <v>5078</v>
      </c>
    </row>
    <row r="1177" spans="1:2" ht="112" hidden="1" customHeight="1" x14ac:dyDescent="0.25">
      <c r="A1177" t="s">
        <v>1281</v>
      </c>
      <c r="B1177" s="3" t="s">
        <v>3633</v>
      </c>
    </row>
    <row r="1178" spans="1:2" ht="112" hidden="1" customHeight="1" x14ac:dyDescent="0.25">
      <c r="A1178" t="s">
        <v>1282</v>
      </c>
      <c r="B1178" s="3" t="s">
        <v>5079</v>
      </c>
    </row>
    <row r="1179" spans="1:2" ht="112" hidden="1" customHeight="1" x14ac:dyDescent="0.25">
      <c r="A1179" t="s">
        <v>1283</v>
      </c>
      <c r="B1179" s="3" t="s">
        <v>5080</v>
      </c>
    </row>
    <row r="1180" spans="1:2" ht="112" hidden="1" customHeight="1" x14ac:dyDescent="0.25">
      <c r="A1180" t="s">
        <v>1285</v>
      </c>
      <c r="B1180" s="3" t="s">
        <v>5081</v>
      </c>
    </row>
    <row r="1181" spans="1:2" ht="112" hidden="1" customHeight="1" x14ac:dyDescent="0.25">
      <c r="A1181" t="s">
        <v>1286</v>
      </c>
      <c r="B1181" s="3" t="s">
        <v>5082</v>
      </c>
    </row>
    <row r="1182" spans="1:2" ht="112" hidden="1" customHeight="1" x14ac:dyDescent="0.25">
      <c r="A1182" t="s">
        <v>1287</v>
      </c>
      <c r="B1182" s="3" t="s">
        <v>5083</v>
      </c>
    </row>
    <row r="1183" spans="1:2" ht="112" hidden="1" customHeight="1" x14ac:dyDescent="0.25">
      <c r="A1183" t="s">
        <v>1289</v>
      </c>
      <c r="B1183" s="3" t="s">
        <v>5084</v>
      </c>
    </row>
    <row r="1184" spans="1:2" ht="112" hidden="1" customHeight="1" x14ac:dyDescent="0.25">
      <c r="A1184" t="s">
        <v>1290</v>
      </c>
      <c r="B1184" s="3" t="s">
        <v>5844</v>
      </c>
    </row>
    <row r="1185" spans="1:2" ht="112" hidden="1" customHeight="1" x14ac:dyDescent="0.25">
      <c r="A1185" t="s">
        <v>1291</v>
      </c>
      <c r="B1185" s="3" t="s">
        <v>5085</v>
      </c>
    </row>
    <row r="1186" spans="1:2" ht="112" hidden="1" customHeight="1" x14ac:dyDescent="0.25">
      <c r="A1186" t="s">
        <v>1292</v>
      </c>
      <c r="B1186" s="3" t="s">
        <v>5086</v>
      </c>
    </row>
    <row r="1187" spans="1:2" ht="112" hidden="1" customHeight="1" x14ac:dyDescent="0.25">
      <c r="A1187" t="s">
        <v>1293</v>
      </c>
      <c r="B1187" s="3" t="s">
        <v>5087</v>
      </c>
    </row>
    <row r="1188" spans="1:2" ht="112" hidden="1" customHeight="1" x14ac:dyDescent="0.25">
      <c r="A1188" t="s">
        <v>1294</v>
      </c>
      <c r="B1188" s="3" t="s">
        <v>5088</v>
      </c>
    </row>
    <row r="1189" spans="1:2" ht="112" hidden="1" customHeight="1" x14ac:dyDescent="0.25">
      <c r="A1189" t="s">
        <v>1295</v>
      </c>
      <c r="B1189" s="3" t="s">
        <v>5089</v>
      </c>
    </row>
    <row r="1190" spans="1:2" ht="112" hidden="1" customHeight="1" x14ac:dyDescent="0.25">
      <c r="A1190" t="s">
        <v>1296</v>
      </c>
      <c r="B1190" s="3" t="s">
        <v>5949</v>
      </c>
    </row>
    <row r="1191" spans="1:2" ht="112" hidden="1" customHeight="1" x14ac:dyDescent="0.25">
      <c r="A1191" t="s">
        <v>1298</v>
      </c>
      <c r="B1191" s="3" t="s">
        <v>3634</v>
      </c>
    </row>
    <row r="1192" spans="1:2" ht="112" hidden="1" customHeight="1" x14ac:dyDescent="0.25">
      <c r="A1192" t="s">
        <v>1299</v>
      </c>
      <c r="B1192" s="3" t="s">
        <v>5090</v>
      </c>
    </row>
    <row r="1193" spans="1:2" ht="112" hidden="1" customHeight="1" x14ac:dyDescent="0.25">
      <c r="A1193" t="s">
        <v>1300</v>
      </c>
      <c r="B1193" s="3" t="s">
        <v>5091</v>
      </c>
    </row>
    <row r="1194" spans="1:2" ht="112" hidden="1" customHeight="1" x14ac:dyDescent="0.25">
      <c r="A1194" t="s">
        <v>1301</v>
      </c>
      <c r="B1194" s="3" t="s">
        <v>5092</v>
      </c>
    </row>
    <row r="1195" spans="1:2" ht="112" hidden="1" customHeight="1" x14ac:dyDescent="0.25">
      <c r="A1195" t="s">
        <v>1302</v>
      </c>
      <c r="B1195" s="3" t="s">
        <v>5093</v>
      </c>
    </row>
    <row r="1196" spans="1:2" ht="112" hidden="1" customHeight="1" x14ac:dyDescent="0.25">
      <c r="A1196" t="s">
        <v>1303</v>
      </c>
      <c r="B1196" s="3" t="s">
        <v>5094</v>
      </c>
    </row>
    <row r="1197" spans="1:2" ht="112" hidden="1" customHeight="1" x14ac:dyDescent="0.25">
      <c r="A1197" t="s">
        <v>1304</v>
      </c>
      <c r="B1197" s="3" t="s">
        <v>5095</v>
      </c>
    </row>
    <row r="1198" spans="1:2" ht="112" hidden="1" customHeight="1" x14ac:dyDescent="0.25">
      <c r="A1198" t="s">
        <v>1305</v>
      </c>
      <c r="B1198" s="3" t="s">
        <v>5096</v>
      </c>
    </row>
    <row r="1199" spans="1:2" ht="112" hidden="1" customHeight="1" x14ac:dyDescent="0.25">
      <c r="A1199" t="s">
        <v>1306</v>
      </c>
      <c r="B1199" s="3" t="s">
        <v>5097</v>
      </c>
    </row>
    <row r="1200" spans="1:2" ht="112" hidden="1" customHeight="1" x14ac:dyDescent="0.25">
      <c r="A1200" t="s">
        <v>1307</v>
      </c>
      <c r="B1200" s="3" t="s">
        <v>5098</v>
      </c>
    </row>
    <row r="1201" spans="1:2" ht="112" hidden="1" customHeight="1" x14ac:dyDescent="0.25">
      <c r="A1201" t="s">
        <v>1308</v>
      </c>
      <c r="B1201" s="3" t="s">
        <v>5099</v>
      </c>
    </row>
    <row r="1202" spans="1:2" ht="112" hidden="1" customHeight="1" x14ac:dyDescent="0.25">
      <c r="A1202" t="s">
        <v>1309</v>
      </c>
      <c r="B1202" s="3" t="s">
        <v>5100</v>
      </c>
    </row>
    <row r="1203" spans="1:2" ht="112" hidden="1" customHeight="1" x14ac:dyDescent="0.25">
      <c r="A1203" t="s">
        <v>1310</v>
      </c>
      <c r="B1203" s="3" t="s">
        <v>5101</v>
      </c>
    </row>
    <row r="1204" spans="1:2" ht="112" hidden="1" customHeight="1" x14ac:dyDescent="0.25">
      <c r="A1204" t="s">
        <v>1311</v>
      </c>
      <c r="B1204" s="3" t="s">
        <v>3635</v>
      </c>
    </row>
    <row r="1205" spans="1:2" ht="112" hidden="1" customHeight="1" x14ac:dyDescent="0.25">
      <c r="A1205" t="s">
        <v>1312</v>
      </c>
      <c r="B1205" s="3" t="s">
        <v>5102</v>
      </c>
    </row>
    <row r="1206" spans="1:2" ht="112" hidden="1" customHeight="1" x14ac:dyDescent="0.25">
      <c r="A1206" t="s">
        <v>1437</v>
      </c>
      <c r="B1206" s="3" t="s">
        <v>6384</v>
      </c>
    </row>
    <row r="1207" spans="1:2" ht="112" hidden="1" customHeight="1" x14ac:dyDescent="0.25">
      <c r="A1207" t="s">
        <v>1315</v>
      </c>
      <c r="B1207" s="3" t="s">
        <v>4759</v>
      </c>
    </row>
    <row r="1208" spans="1:2" ht="112" hidden="1" customHeight="1" x14ac:dyDescent="0.25">
      <c r="A1208" t="s">
        <v>1318</v>
      </c>
      <c r="B1208" s="3" t="s">
        <v>3636</v>
      </c>
    </row>
    <row r="1209" spans="1:2" ht="112" hidden="1" customHeight="1" x14ac:dyDescent="0.25">
      <c r="A1209" t="s">
        <v>1319</v>
      </c>
      <c r="B1209" s="3" t="s">
        <v>3637</v>
      </c>
    </row>
    <row r="1210" spans="1:2" ht="112" hidden="1" customHeight="1" x14ac:dyDescent="0.25">
      <c r="A1210" t="s">
        <v>1320</v>
      </c>
      <c r="B1210" s="3" t="s">
        <v>3638</v>
      </c>
    </row>
    <row r="1211" spans="1:2" ht="112" hidden="1" customHeight="1" x14ac:dyDescent="0.25">
      <c r="A1211" t="s">
        <v>1321</v>
      </c>
      <c r="B1211" s="3" t="s">
        <v>3639</v>
      </c>
    </row>
    <row r="1212" spans="1:2" ht="112" hidden="1" customHeight="1" x14ac:dyDescent="0.25">
      <c r="A1212" t="s">
        <v>1322</v>
      </c>
      <c r="B1212" s="3" t="s">
        <v>3640</v>
      </c>
    </row>
    <row r="1213" spans="1:2" ht="112" hidden="1" customHeight="1" x14ac:dyDescent="0.25">
      <c r="A1213" t="s">
        <v>1323</v>
      </c>
      <c r="B1213" s="3" t="s">
        <v>3641</v>
      </c>
    </row>
    <row r="1214" spans="1:2" ht="112" hidden="1" customHeight="1" x14ac:dyDescent="0.25">
      <c r="A1214" t="s">
        <v>1324</v>
      </c>
      <c r="B1214" s="3" t="s">
        <v>3642</v>
      </c>
    </row>
    <row r="1215" spans="1:2" ht="112" hidden="1" customHeight="1" x14ac:dyDescent="0.25">
      <c r="A1215" t="s">
        <v>1435</v>
      </c>
      <c r="B1215" s="3" t="s">
        <v>5432</v>
      </c>
    </row>
    <row r="1216" spans="1:2" ht="112" hidden="1" customHeight="1" x14ac:dyDescent="0.25">
      <c r="A1216" t="s">
        <v>1441</v>
      </c>
      <c r="B1216" s="3" t="s">
        <v>7980</v>
      </c>
    </row>
    <row r="1217" spans="1:2" ht="112" hidden="1" customHeight="1" x14ac:dyDescent="0.25">
      <c r="A1217" s="56" t="s">
        <v>7981</v>
      </c>
      <c r="B1217" s="3" t="s">
        <v>7982</v>
      </c>
    </row>
    <row r="1218" spans="1:2" ht="112" hidden="1" customHeight="1" x14ac:dyDescent="0.25">
      <c r="A1218" t="s">
        <v>1440</v>
      </c>
      <c r="B1218" s="3" t="s">
        <v>5433</v>
      </c>
    </row>
    <row r="1219" spans="1:2" ht="112" hidden="1" customHeight="1" x14ac:dyDescent="0.25">
      <c r="A1219" t="s">
        <v>1439</v>
      </c>
      <c r="B1219" s="3" t="s">
        <v>8000</v>
      </c>
    </row>
    <row r="1220" spans="1:2" ht="112" hidden="1" customHeight="1" x14ac:dyDescent="0.25">
      <c r="A1220" t="s">
        <v>1436</v>
      </c>
      <c r="B1220" s="3" t="s">
        <v>5434</v>
      </c>
    </row>
    <row r="1221" spans="1:2" ht="112" hidden="1" customHeight="1" x14ac:dyDescent="0.25">
      <c r="A1221" t="s">
        <v>1327</v>
      </c>
      <c r="B1221" s="3" t="s">
        <v>7476</v>
      </c>
    </row>
    <row r="1222" spans="1:2" ht="112" hidden="1" customHeight="1" x14ac:dyDescent="0.25">
      <c r="A1222" t="s">
        <v>1328</v>
      </c>
      <c r="B1222" s="3" t="s">
        <v>5435</v>
      </c>
    </row>
    <row r="1223" spans="1:2" ht="112" hidden="1" customHeight="1" x14ac:dyDescent="0.25">
      <c r="A1223" t="s">
        <v>1329</v>
      </c>
      <c r="B1223" s="3" t="s">
        <v>6641</v>
      </c>
    </row>
    <row r="1224" spans="1:2" ht="112" hidden="1" customHeight="1" x14ac:dyDescent="0.25">
      <c r="A1224" t="s">
        <v>1333</v>
      </c>
      <c r="B1224" s="3" t="s">
        <v>5436</v>
      </c>
    </row>
    <row r="1225" spans="1:2" ht="112" hidden="1" customHeight="1" x14ac:dyDescent="0.25">
      <c r="A1225" t="s">
        <v>1334</v>
      </c>
      <c r="B1225" s="3" t="s">
        <v>5950</v>
      </c>
    </row>
    <row r="1226" spans="1:2" ht="112" hidden="1" customHeight="1" x14ac:dyDescent="0.25">
      <c r="A1226" t="s">
        <v>1335</v>
      </c>
      <c r="B1226" s="3" t="s">
        <v>5951</v>
      </c>
    </row>
    <row r="1227" spans="1:2" ht="112" hidden="1" customHeight="1" x14ac:dyDescent="0.25">
      <c r="A1227" t="s">
        <v>1336</v>
      </c>
      <c r="B1227" s="3" t="s">
        <v>5952</v>
      </c>
    </row>
    <row r="1228" spans="1:2" ht="112" hidden="1" customHeight="1" x14ac:dyDescent="0.25">
      <c r="A1228" t="s">
        <v>1337</v>
      </c>
      <c r="B1228" s="3" t="s">
        <v>5953</v>
      </c>
    </row>
    <row r="1229" spans="1:2" ht="112" hidden="1" customHeight="1" x14ac:dyDescent="0.25">
      <c r="A1229" t="s">
        <v>1338</v>
      </c>
      <c r="B1229" s="3" t="s">
        <v>5103</v>
      </c>
    </row>
    <row r="1230" spans="1:2" ht="112" hidden="1" customHeight="1" x14ac:dyDescent="0.25">
      <c r="A1230" t="s">
        <v>1339</v>
      </c>
      <c r="B1230" s="3" t="s">
        <v>5104</v>
      </c>
    </row>
    <row r="1231" spans="1:2" ht="112" hidden="1" customHeight="1" x14ac:dyDescent="0.25">
      <c r="A1231" t="s">
        <v>1340</v>
      </c>
      <c r="B1231" s="3" t="s">
        <v>7477</v>
      </c>
    </row>
    <row r="1232" spans="1:2" ht="112" hidden="1" customHeight="1" x14ac:dyDescent="0.25">
      <c r="A1232" t="s">
        <v>1342</v>
      </c>
      <c r="B1232" s="3" t="s">
        <v>5954</v>
      </c>
    </row>
    <row r="1233" spans="1:2" ht="112" hidden="1" customHeight="1" x14ac:dyDescent="0.25">
      <c r="A1233" t="s">
        <v>1343</v>
      </c>
      <c r="B1233" s="3" t="s">
        <v>3643</v>
      </c>
    </row>
    <row r="1234" spans="1:2" ht="112" hidden="1" customHeight="1" x14ac:dyDescent="0.25">
      <c r="A1234" t="s">
        <v>1344</v>
      </c>
      <c r="B1234" s="3" t="s">
        <v>7478</v>
      </c>
    </row>
    <row r="1235" spans="1:2" ht="112" hidden="1" customHeight="1" x14ac:dyDescent="0.25">
      <c r="A1235" t="s">
        <v>1346</v>
      </c>
      <c r="B1235" s="3" t="s">
        <v>3644</v>
      </c>
    </row>
    <row r="1236" spans="1:2" ht="112" hidden="1" customHeight="1" x14ac:dyDescent="0.25">
      <c r="A1236" t="s">
        <v>1347</v>
      </c>
      <c r="B1236" s="3" t="s">
        <v>3645</v>
      </c>
    </row>
    <row r="1237" spans="1:2" ht="112" hidden="1" customHeight="1" x14ac:dyDescent="0.25">
      <c r="A1237" t="s">
        <v>1348</v>
      </c>
      <c r="B1237" s="3" t="s">
        <v>3646</v>
      </c>
    </row>
    <row r="1238" spans="1:2" ht="112" hidden="1" customHeight="1" x14ac:dyDescent="0.25">
      <c r="A1238" t="s">
        <v>1349</v>
      </c>
      <c r="B1238" s="3" t="s">
        <v>3647</v>
      </c>
    </row>
    <row r="1239" spans="1:2" ht="112" hidden="1" customHeight="1" x14ac:dyDescent="0.25">
      <c r="A1239" t="s">
        <v>1350</v>
      </c>
      <c r="B1239" s="3" t="s">
        <v>3648</v>
      </c>
    </row>
    <row r="1240" spans="1:2" ht="112" hidden="1" customHeight="1" x14ac:dyDescent="0.25">
      <c r="A1240" t="s">
        <v>1351</v>
      </c>
      <c r="B1240" s="3" t="s">
        <v>3649</v>
      </c>
    </row>
    <row r="1241" spans="1:2" ht="112" hidden="1" customHeight="1" x14ac:dyDescent="0.25">
      <c r="A1241" t="s">
        <v>1352</v>
      </c>
      <c r="B1241" s="3" t="s">
        <v>3650</v>
      </c>
    </row>
    <row r="1242" spans="1:2" ht="112" hidden="1" customHeight="1" x14ac:dyDescent="0.25">
      <c r="A1242" t="s">
        <v>1353</v>
      </c>
      <c r="B1242" s="3" t="s">
        <v>3651</v>
      </c>
    </row>
    <row r="1243" spans="1:2" ht="112" hidden="1" customHeight="1" x14ac:dyDescent="0.25">
      <c r="A1243" t="s">
        <v>1354</v>
      </c>
      <c r="B1243" s="3" t="s">
        <v>3652</v>
      </c>
    </row>
    <row r="1244" spans="1:2" ht="112" hidden="1" customHeight="1" x14ac:dyDescent="0.25">
      <c r="A1244" t="s">
        <v>1355</v>
      </c>
      <c r="B1244" s="3" t="s">
        <v>3653</v>
      </c>
    </row>
    <row r="1245" spans="1:2" ht="112" hidden="1" customHeight="1" x14ac:dyDescent="0.25">
      <c r="A1245" t="s">
        <v>1356</v>
      </c>
      <c r="B1245" s="3" t="s">
        <v>3654</v>
      </c>
    </row>
    <row r="1246" spans="1:2" ht="112" hidden="1" customHeight="1" x14ac:dyDescent="0.25">
      <c r="A1246" t="s">
        <v>1357</v>
      </c>
      <c r="B1246" s="3" t="s">
        <v>3655</v>
      </c>
    </row>
    <row r="1247" spans="1:2" ht="112" hidden="1" customHeight="1" x14ac:dyDescent="0.25">
      <c r="A1247" t="s">
        <v>1358</v>
      </c>
      <c r="B1247" s="3" t="s">
        <v>6642</v>
      </c>
    </row>
    <row r="1248" spans="1:2" ht="112" hidden="1" customHeight="1" x14ac:dyDescent="0.25">
      <c r="A1248" t="s">
        <v>1359</v>
      </c>
      <c r="B1248" s="3" t="s">
        <v>6643</v>
      </c>
    </row>
    <row r="1249" spans="1:2" ht="112" hidden="1" customHeight="1" x14ac:dyDescent="0.25">
      <c r="A1249" t="s">
        <v>1360</v>
      </c>
      <c r="B1249" s="3" t="s">
        <v>6229</v>
      </c>
    </row>
    <row r="1250" spans="1:2" ht="112" hidden="1" customHeight="1" x14ac:dyDescent="0.25">
      <c r="A1250" t="s">
        <v>1361</v>
      </c>
      <c r="B1250" s="3" t="s">
        <v>6230</v>
      </c>
    </row>
    <row r="1251" spans="1:2" ht="112" hidden="1" customHeight="1" x14ac:dyDescent="0.25">
      <c r="A1251" t="s">
        <v>1362</v>
      </c>
      <c r="B1251" s="3" t="s">
        <v>6231</v>
      </c>
    </row>
    <row r="1252" spans="1:2" ht="112" hidden="1" customHeight="1" x14ac:dyDescent="0.25">
      <c r="A1252" t="s">
        <v>1363</v>
      </c>
      <c r="B1252" s="3" t="s">
        <v>6232</v>
      </c>
    </row>
    <row r="1253" spans="1:2" ht="112" hidden="1" customHeight="1" x14ac:dyDescent="0.25">
      <c r="A1253" t="s">
        <v>1364</v>
      </c>
      <c r="B1253" s="3" t="s">
        <v>6233</v>
      </c>
    </row>
    <row r="1254" spans="1:2" ht="112" hidden="1" customHeight="1" x14ac:dyDescent="0.25">
      <c r="A1254" t="s">
        <v>1365</v>
      </c>
      <c r="B1254" s="3" t="s">
        <v>3656</v>
      </c>
    </row>
    <row r="1255" spans="1:2" ht="112" hidden="1" customHeight="1" x14ac:dyDescent="0.25">
      <c r="A1255" t="s">
        <v>1366</v>
      </c>
      <c r="B1255" s="3" t="s">
        <v>3657</v>
      </c>
    </row>
    <row r="1256" spans="1:2" ht="112" hidden="1" customHeight="1" x14ac:dyDescent="0.25">
      <c r="A1256" t="s">
        <v>1367</v>
      </c>
      <c r="B1256" s="3" t="s">
        <v>3658</v>
      </c>
    </row>
    <row r="1257" spans="1:2" ht="112" hidden="1" customHeight="1" x14ac:dyDescent="0.25">
      <c r="A1257" t="s">
        <v>1368</v>
      </c>
      <c r="B1257" s="3" t="s">
        <v>3659</v>
      </c>
    </row>
    <row r="1258" spans="1:2" ht="112" hidden="1" customHeight="1" x14ac:dyDescent="0.25">
      <c r="A1258" t="s">
        <v>1369</v>
      </c>
      <c r="B1258" s="3" t="s">
        <v>3660</v>
      </c>
    </row>
    <row r="1259" spans="1:2" ht="112" hidden="1" customHeight="1" x14ac:dyDescent="0.25">
      <c r="A1259" t="s">
        <v>1370</v>
      </c>
      <c r="B1259" s="3" t="s">
        <v>3661</v>
      </c>
    </row>
    <row r="1260" spans="1:2" ht="112" hidden="1" customHeight="1" x14ac:dyDescent="0.25">
      <c r="A1260" t="s">
        <v>1371</v>
      </c>
      <c r="B1260" s="3" t="s">
        <v>3662</v>
      </c>
    </row>
    <row r="1261" spans="1:2" ht="112" hidden="1" customHeight="1" x14ac:dyDescent="0.25">
      <c r="A1261" t="s">
        <v>1372</v>
      </c>
      <c r="B1261" s="3" t="s">
        <v>3663</v>
      </c>
    </row>
    <row r="1262" spans="1:2" ht="112" hidden="1" customHeight="1" x14ac:dyDescent="0.25">
      <c r="A1262" t="s">
        <v>1375</v>
      </c>
      <c r="B1262" s="3" t="s">
        <v>3664</v>
      </c>
    </row>
    <row r="1263" spans="1:2" ht="112" hidden="1" customHeight="1" x14ac:dyDescent="0.25">
      <c r="A1263" t="s">
        <v>1376</v>
      </c>
      <c r="B1263" s="3" t="s">
        <v>3665</v>
      </c>
    </row>
    <row r="1264" spans="1:2" ht="112" hidden="1" customHeight="1" x14ac:dyDescent="0.25">
      <c r="A1264" t="s">
        <v>1377</v>
      </c>
      <c r="B1264" s="3" t="s">
        <v>3666</v>
      </c>
    </row>
    <row r="1265" spans="1:2" ht="112" hidden="1" customHeight="1" x14ac:dyDescent="0.25">
      <c r="A1265" t="s">
        <v>1378</v>
      </c>
      <c r="B1265" s="3" t="s">
        <v>3667</v>
      </c>
    </row>
    <row r="1266" spans="1:2" ht="112" hidden="1" customHeight="1" x14ac:dyDescent="0.25">
      <c r="A1266" t="s">
        <v>1379</v>
      </c>
      <c r="B1266" s="3" t="s">
        <v>5793</v>
      </c>
    </row>
    <row r="1267" spans="1:2" ht="112" hidden="1" customHeight="1" x14ac:dyDescent="0.25">
      <c r="A1267" t="s">
        <v>1380</v>
      </c>
      <c r="B1267" s="3" t="s">
        <v>5794</v>
      </c>
    </row>
    <row r="1268" spans="1:2" ht="112" hidden="1" customHeight="1" x14ac:dyDescent="0.25">
      <c r="A1268" t="s">
        <v>1381</v>
      </c>
      <c r="B1268" s="3" t="s">
        <v>5795</v>
      </c>
    </row>
    <row r="1269" spans="1:2" ht="112" hidden="1" customHeight="1" x14ac:dyDescent="0.25">
      <c r="A1269" t="s">
        <v>1382</v>
      </c>
      <c r="B1269" s="3" t="s">
        <v>5437</v>
      </c>
    </row>
    <row r="1270" spans="1:2" ht="112" hidden="1" customHeight="1" x14ac:dyDescent="0.25">
      <c r="A1270" t="s">
        <v>1383</v>
      </c>
      <c r="B1270" s="3" t="s">
        <v>5438</v>
      </c>
    </row>
    <row r="1271" spans="1:2" ht="112" hidden="1" customHeight="1" x14ac:dyDescent="0.25">
      <c r="A1271" t="s">
        <v>1384</v>
      </c>
      <c r="B1271" s="3" t="s">
        <v>5439</v>
      </c>
    </row>
    <row r="1272" spans="1:2" ht="112" hidden="1" customHeight="1" x14ac:dyDescent="0.25">
      <c r="A1272" t="s">
        <v>1385</v>
      </c>
      <c r="B1272" s="3" t="s">
        <v>5440</v>
      </c>
    </row>
    <row r="1273" spans="1:2" ht="112" hidden="1" customHeight="1" x14ac:dyDescent="0.25">
      <c r="A1273" t="s">
        <v>1386</v>
      </c>
      <c r="B1273" s="3" t="s">
        <v>3668</v>
      </c>
    </row>
    <row r="1274" spans="1:2" ht="112" hidden="1" customHeight="1" x14ac:dyDescent="0.25">
      <c r="A1274" t="s">
        <v>1387</v>
      </c>
      <c r="B1274" s="3" t="s">
        <v>5441</v>
      </c>
    </row>
    <row r="1275" spans="1:2" ht="112" hidden="1" customHeight="1" x14ac:dyDescent="0.25">
      <c r="A1275" t="s">
        <v>1388</v>
      </c>
      <c r="B1275" s="3" t="s">
        <v>5442</v>
      </c>
    </row>
    <row r="1276" spans="1:2" ht="112" hidden="1" customHeight="1" x14ac:dyDescent="0.25">
      <c r="A1276" t="s">
        <v>1389</v>
      </c>
      <c r="B1276" s="3" t="s">
        <v>5105</v>
      </c>
    </row>
    <row r="1277" spans="1:2" ht="112" hidden="1" customHeight="1" x14ac:dyDescent="0.25">
      <c r="A1277" t="s">
        <v>1390</v>
      </c>
      <c r="B1277" s="3" t="s">
        <v>5106</v>
      </c>
    </row>
    <row r="1278" spans="1:2" ht="112" hidden="1" customHeight="1" x14ac:dyDescent="0.25">
      <c r="A1278" t="s">
        <v>1391</v>
      </c>
      <c r="B1278" s="3" t="s">
        <v>5107</v>
      </c>
    </row>
    <row r="1279" spans="1:2" ht="112" hidden="1" customHeight="1" x14ac:dyDescent="0.25">
      <c r="A1279" t="s">
        <v>1392</v>
      </c>
      <c r="B1279" s="3" t="s">
        <v>5108</v>
      </c>
    </row>
    <row r="1280" spans="1:2" ht="112" hidden="1" customHeight="1" x14ac:dyDescent="0.25">
      <c r="A1280" t="s">
        <v>1394</v>
      </c>
      <c r="B1280" s="3" t="s">
        <v>5109</v>
      </c>
    </row>
    <row r="1281" spans="1:2" ht="112" hidden="1" customHeight="1" x14ac:dyDescent="0.25">
      <c r="A1281" t="s">
        <v>1395</v>
      </c>
      <c r="B1281" s="3" t="s">
        <v>5110</v>
      </c>
    </row>
    <row r="1282" spans="1:2" ht="112" hidden="1" customHeight="1" x14ac:dyDescent="0.25">
      <c r="A1282" t="s">
        <v>1396</v>
      </c>
      <c r="B1282" s="3" t="s">
        <v>5111</v>
      </c>
    </row>
    <row r="1283" spans="1:2" ht="112" hidden="1" customHeight="1" x14ac:dyDescent="0.25">
      <c r="A1283" t="s">
        <v>1397</v>
      </c>
      <c r="B1283" s="3" t="s">
        <v>5112</v>
      </c>
    </row>
    <row r="1284" spans="1:2" ht="112" hidden="1" customHeight="1" x14ac:dyDescent="0.25">
      <c r="A1284" t="s">
        <v>1398</v>
      </c>
      <c r="B1284" s="3" t="s">
        <v>5113</v>
      </c>
    </row>
    <row r="1285" spans="1:2" ht="112" hidden="1" customHeight="1" x14ac:dyDescent="0.25">
      <c r="A1285" t="s">
        <v>1399</v>
      </c>
      <c r="B1285" s="3" t="s">
        <v>5114</v>
      </c>
    </row>
    <row r="1286" spans="1:2" ht="112" hidden="1" customHeight="1" x14ac:dyDescent="0.25">
      <c r="A1286" t="s">
        <v>1400</v>
      </c>
      <c r="B1286" s="3" t="s">
        <v>5115</v>
      </c>
    </row>
    <row r="1287" spans="1:2" ht="112" hidden="1" customHeight="1" x14ac:dyDescent="0.25">
      <c r="A1287" t="s">
        <v>1401</v>
      </c>
      <c r="B1287" s="3" t="s">
        <v>5116</v>
      </c>
    </row>
    <row r="1288" spans="1:2" ht="112" hidden="1" customHeight="1" x14ac:dyDescent="0.25">
      <c r="A1288" t="s">
        <v>1402</v>
      </c>
      <c r="B1288" s="3" t="s">
        <v>5117</v>
      </c>
    </row>
    <row r="1289" spans="1:2" ht="112" hidden="1" customHeight="1" x14ac:dyDescent="0.25">
      <c r="A1289" t="s">
        <v>1403</v>
      </c>
      <c r="B1289" s="3" t="s">
        <v>5118</v>
      </c>
    </row>
    <row r="1290" spans="1:2" ht="112" hidden="1" customHeight="1" x14ac:dyDescent="0.25">
      <c r="A1290" t="s">
        <v>1404</v>
      </c>
      <c r="B1290" s="3" t="s">
        <v>6499</v>
      </c>
    </row>
    <row r="1291" spans="1:2" ht="112" hidden="1" customHeight="1" x14ac:dyDescent="0.25">
      <c r="A1291" t="s">
        <v>1405</v>
      </c>
      <c r="B1291" s="3" t="s">
        <v>5119</v>
      </c>
    </row>
    <row r="1292" spans="1:2" ht="112" hidden="1" customHeight="1" x14ac:dyDescent="0.25">
      <c r="A1292" t="s">
        <v>1406</v>
      </c>
      <c r="B1292" s="3" t="s">
        <v>5120</v>
      </c>
    </row>
    <row r="1293" spans="1:2" ht="112" hidden="1" customHeight="1" x14ac:dyDescent="0.25">
      <c r="A1293" t="s">
        <v>1407</v>
      </c>
      <c r="B1293" s="3" t="s">
        <v>5121</v>
      </c>
    </row>
    <row r="1294" spans="1:2" ht="112" hidden="1" customHeight="1" x14ac:dyDescent="0.25">
      <c r="A1294" t="s">
        <v>1408</v>
      </c>
      <c r="B1294" s="3" t="s">
        <v>5122</v>
      </c>
    </row>
    <row r="1295" spans="1:2" ht="112" hidden="1" customHeight="1" x14ac:dyDescent="0.25">
      <c r="A1295" t="s">
        <v>1409</v>
      </c>
      <c r="B1295" s="3" t="s">
        <v>5123</v>
      </c>
    </row>
    <row r="1296" spans="1:2" ht="112" hidden="1" customHeight="1" x14ac:dyDescent="0.25">
      <c r="A1296" t="s">
        <v>1411</v>
      </c>
      <c r="B1296" s="3" t="s">
        <v>5124</v>
      </c>
    </row>
    <row r="1297" spans="1:2" ht="112" hidden="1" customHeight="1" x14ac:dyDescent="0.25">
      <c r="A1297" t="s">
        <v>1412</v>
      </c>
      <c r="B1297" s="3" t="s">
        <v>5125</v>
      </c>
    </row>
    <row r="1298" spans="1:2" ht="112" hidden="1" customHeight="1" x14ac:dyDescent="0.25">
      <c r="A1298" t="s">
        <v>1413</v>
      </c>
      <c r="B1298" s="3" t="s">
        <v>5126</v>
      </c>
    </row>
    <row r="1299" spans="1:2" ht="112" hidden="1" customHeight="1" x14ac:dyDescent="0.25">
      <c r="A1299" t="s">
        <v>1414</v>
      </c>
      <c r="B1299" s="3" t="s">
        <v>5127</v>
      </c>
    </row>
    <row r="1300" spans="1:2" ht="112" hidden="1" customHeight="1" x14ac:dyDescent="0.25">
      <c r="A1300" t="s">
        <v>1415</v>
      </c>
      <c r="B1300" s="3" t="s">
        <v>5128</v>
      </c>
    </row>
    <row r="1301" spans="1:2" ht="112" hidden="1" customHeight="1" x14ac:dyDescent="0.25">
      <c r="A1301" t="s">
        <v>1416</v>
      </c>
      <c r="B1301" s="3" t="s">
        <v>5129</v>
      </c>
    </row>
    <row r="1302" spans="1:2" ht="112" hidden="1" customHeight="1" x14ac:dyDescent="0.25">
      <c r="A1302" t="s">
        <v>1417</v>
      </c>
      <c r="B1302" s="3" t="s">
        <v>5130</v>
      </c>
    </row>
    <row r="1303" spans="1:2" ht="112" hidden="1" customHeight="1" x14ac:dyDescent="0.25">
      <c r="A1303" t="s">
        <v>1418</v>
      </c>
      <c r="B1303" s="3" t="s">
        <v>5131</v>
      </c>
    </row>
    <row r="1304" spans="1:2" ht="112" hidden="1" customHeight="1" x14ac:dyDescent="0.25">
      <c r="A1304" t="s">
        <v>1419</v>
      </c>
      <c r="B1304" s="3" t="s">
        <v>5132</v>
      </c>
    </row>
    <row r="1305" spans="1:2" ht="112" hidden="1" customHeight="1" x14ac:dyDescent="0.25">
      <c r="A1305" t="s">
        <v>1420</v>
      </c>
      <c r="B1305" s="3" t="s">
        <v>5133</v>
      </c>
    </row>
    <row r="1306" spans="1:2" ht="112" hidden="1" customHeight="1" x14ac:dyDescent="0.25">
      <c r="A1306" t="s">
        <v>1421</v>
      </c>
      <c r="B1306" s="3" t="s">
        <v>3669</v>
      </c>
    </row>
    <row r="1307" spans="1:2" ht="112" hidden="1" customHeight="1" x14ac:dyDescent="0.25">
      <c r="A1307" t="s">
        <v>1422</v>
      </c>
      <c r="B1307" s="3" t="s">
        <v>5134</v>
      </c>
    </row>
    <row r="1308" spans="1:2" ht="112" hidden="1" customHeight="1" x14ac:dyDescent="0.25">
      <c r="A1308" t="s">
        <v>1424</v>
      </c>
      <c r="B1308" s="3" t="s">
        <v>3670</v>
      </c>
    </row>
    <row r="1309" spans="1:2" ht="112" hidden="1" customHeight="1" x14ac:dyDescent="0.25">
      <c r="A1309" t="s">
        <v>1425</v>
      </c>
      <c r="B1309" s="3" t="s">
        <v>3671</v>
      </c>
    </row>
    <row r="1310" spans="1:2" ht="112" hidden="1" customHeight="1" x14ac:dyDescent="0.25">
      <c r="A1310" t="s">
        <v>1426</v>
      </c>
      <c r="B1310" s="3" t="s">
        <v>3672</v>
      </c>
    </row>
    <row r="1311" spans="1:2" ht="112" hidden="1" customHeight="1" x14ac:dyDescent="0.25">
      <c r="A1311" t="s">
        <v>1427</v>
      </c>
      <c r="B1311" s="3" t="s">
        <v>3673</v>
      </c>
    </row>
    <row r="1312" spans="1:2" ht="112" hidden="1" customHeight="1" x14ac:dyDescent="0.25">
      <c r="A1312" t="s">
        <v>1428</v>
      </c>
      <c r="B1312" s="3" t="s">
        <v>3674</v>
      </c>
    </row>
    <row r="1313" spans="1:2" ht="112" hidden="1" customHeight="1" x14ac:dyDescent="0.25">
      <c r="A1313" t="s">
        <v>1429</v>
      </c>
      <c r="B1313" s="3" t="s">
        <v>3675</v>
      </c>
    </row>
    <row r="1314" spans="1:2" ht="112" hidden="1" customHeight="1" x14ac:dyDescent="0.25">
      <c r="A1314" t="s">
        <v>1431</v>
      </c>
      <c r="B1314" s="3" t="s">
        <v>5135</v>
      </c>
    </row>
    <row r="1315" spans="1:2" ht="112" hidden="1" customHeight="1" x14ac:dyDescent="0.25">
      <c r="A1315" t="s">
        <v>1433</v>
      </c>
      <c r="B1315" s="3" t="s">
        <v>5955</v>
      </c>
    </row>
    <row r="1316" spans="1:2" ht="112" hidden="1" customHeight="1" x14ac:dyDescent="0.25">
      <c r="A1316" t="s">
        <v>1445</v>
      </c>
      <c r="B1316" s="3" t="s">
        <v>6234</v>
      </c>
    </row>
    <row r="1317" spans="1:2" ht="112" hidden="1" customHeight="1" x14ac:dyDescent="0.25">
      <c r="A1317" t="s">
        <v>1446</v>
      </c>
      <c r="B1317" s="3" t="s">
        <v>6235</v>
      </c>
    </row>
    <row r="1318" spans="1:2" ht="112" hidden="1" customHeight="1" x14ac:dyDescent="0.25">
      <c r="A1318" t="s">
        <v>1447</v>
      </c>
      <c r="B1318" s="3" t="s">
        <v>6236</v>
      </c>
    </row>
    <row r="1319" spans="1:2" ht="112" hidden="1" customHeight="1" x14ac:dyDescent="0.25">
      <c r="A1319" t="s">
        <v>2475</v>
      </c>
      <c r="B1319" s="3" t="s">
        <v>6237</v>
      </c>
    </row>
    <row r="1320" spans="1:2" ht="112" hidden="1" customHeight="1" x14ac:dyDescent="0.25">
      <c r="A1320" t="s">
        <v>2476</v>
      </c>
      <c r="B1320" s="3" t="s">
        <v>6238</v>
      </c>
    </row>
    <row r="1321" spans="1:2" ht="112" hidden="1" customHeight="1" x14ac:dyDescent="0.25">
      <c r="A1321" t="s">
        <v>2477</v>
      </c>
      <c r="B1321" s="3" t="s">
        <v>6644</v>
      </c>
    </row>
    <row r="1322" spans="1:2" ht="112" hidden="1" customHeight="1" x14ac:dyDescent="0.25">
      <c r="A1322" t="s">
        <v>2581</v>
      </c>
      <c r="B1322" s="3" t="s">
        <v>6645</v>
      </c>
    </row>
    <row r="1323" spans="1:2" ht="112" hidden="1" customHeight="1" x14ac:dyDescent="0.25">
      <c r="A1323" t="s">
        <v>1448</v>
      </c>
      <c r="B1323" s="3" t="s">
        <v>5956</v>
      </c>
    </row>
    <row r="1324" spans="1:2" ht="112" hidden="1" customHeight="1" x14ac:dyDescent="0.25">
      <c r="A1324" t="s">
        <v>1449</v>
      </c>
      <c r="B1324" s="3" t="s">
        <v>6239</v>
      </c>
    </row>
    <row r="1325" spans="1:2" ht="112" hidden="1" customHeight="1" x14ac:dyDescent="0.25">
      <c r="A1325" t="s">
        <v>1450</v>
      </c>
      <c r="B1325" s="3" t="s">
        <v>3676</v>
      </c>
    </row>
    <row r="1326" spans="1:2" ht="112" hidden="1" customHeight="1" x14ac:dyDescent="0.25">
      <c r="A1326" t="s">
        <v>1451</v>
      </c>
      <c r="B1326" s="3" t="s">
        <v>6385</v>
      </c>
    </row>
    <row r="1327" spans="1:2" ht="112" hidden="1" customHeight="1" x14ac:dyDescent="0.25">
      <c r="A1327" t="s">
        <v>1452</v>
      </c>
      <c r="B1327" s="3" t="s">
        <v>3677</v>
      </c>
    </row>
    <row r="1328" spans="1:2" ht="112" hidden="1" customHeight="1" x14ac:dyDescent="0.25">
      <c r="A1328" t="s">
        <v>1453</v>
      </c>
      <c r="B1328" s="3" t="s">
        <v>3678</v>
      </c>
    </row>
    <row r="1329" spans="1:2" ht="112" hidden="1" customHeight="1" x14ac:dyDescent="0.25">
      <c r="A1329" t="s">
        <v>1454</v>
      </c>
      <c r="B1329" s="3" t="s">
        <v>3679</v>
      </c>
    </row>
    <row r="1330" spans="1:2" ht="112" hidden="1" customHeight="1" x14ac:dyDescent="0.25">
      <c r="A1330" t="s">
        <v>1455</v>
      </c>
      <c r="B1330" s="3" t="s">
        <v>3680</v>
      </c>
    </row>
    <row r="1331" spans="1:2" ht="112" hidden="1" customHeight="1" x14ac:dyDescent="0.25">
      <c r="A1331" t="s">
        <v>1456</v>
      </c>
      <c r="B1331" s="3" t="s">
        <v>5796</v>
      </c>
    </row>
    <row r="1332" spans="1:2" ht="112" hidden="1" customHeight="1" x14ac:dyDescent="0.25">
      <c r="A1332" t="s">
        <v>1457</v>
      </c>
      <c r="B1332" s="3" t="s">
        <v>3681</v>
      </c>
    </row>
    <row r="1333" spans="1:2" ht="112" hidden="1" customHeight="1" x14ac:dyDescent="0.25">
      <c r="A1333" t="s">
        <v>1458</v>
      </c>
      <c r="B1333" s="3" t="s">
        <v>3682</v>
      </c>
    </row>
    <row r="1334" spans="1:2" ht="112" hidden="1" customHeight="1" x14ac:dyDescent="0.25">
      <c r="A1334" t="s">
        <v>1459</v>
      </c>
      <c r="B1334" s="3" t="s">
        <v>6386</v>
      </c>
    </row>
    <row r="1335" spans="1:2" ht="112" hidden="1" customHeight="1" x14ac:dyDescent="0.25">
      <c r="A1335" t="s">
        <v>1460</v>
      </c>
      <c r="B1335" s="3" t="s">
        <v>3683</v>
      </c>
    </row>
    <row r="1336" spans="1:2" ht="112" hidden="1" customHeight="1" x14ac:dyDescent="0.25">
      <c r="A1336" t="s">
        <v>1461</v>
      </c>
      <c r="B1336" s="3" t="s">
        <v>3684</v>
      </c>
    </row>
    <row r="1337" spans="1:2" ht="112" hidden="1" customHeight="1" x14ac:dyDescent="0.25">
      <c r="A1337" t="s">
        <v>1462</v>
      </c>
      <c r="B1337" s="3" t="s">
        <v>6240</v>
      </c>
    </row>
    <row r="1338" spans="1:2" ht="112" hidden="1" customHeight="1" x14ac:dyDescent="0.25">
      <c r="A1338" t="s">
        <v>1463</v>
      </c>
      <c r="B1338" s="3" t="s">
        <v>3685</v>
      </c>
    </row>
    <row r="1339" spans="1:2" ht="112" hidden="1" customHeight="1" x14ac:dyDescent="0.25">
      <c r="A1339" t="s">
        <v>1464</v>
      </c>
      <c r="B1339" s="3" t="s">
        <v>3686</v>
      </c>
    </row>
    <row r="1340" spans="1:2" ht="112" hidden="1" customHeight="1" x14ac:dyDescent="0.25">
      <c r="A1340" t="s">
        <v>1465</v>
      </c>
      <c r="B1340" s="3" t="s">
        <v>6387</v>
      </c>
    </row>
    <row r="1341" spans="1:2" ht="112" hidden="1" customHeight="1" x14ac:dyDescent="0.25">
      <c r="A1341" t="s">
        <v>1466</v>
      </c>
      <c r="B1341" s="3" t="s">
        <v>6388</v>
      </c>
    </row>
    <row r="1342" spans="1:2" ht="112" hidden="1" customHeight="1" x14ac:dyDescent="0.25">
      <c r="A1342" t="s">
        <v>1467</v>
      </c>
      <c r="B1342" s="3" t="s">
        <v>3687</v>
      </c>
    </row>
    <row r="1343" spans="1:2" ht="112" hidden="1" customHeight="1" x14ac:dyDescent="0.25">
      <c r="A1343" t="s">
        <v>1468</v>
      </c>
      <c r="B1343" s="3" t="s">
        <v>3688</v>
      </c>
    </row>
    <row r="1344" spans="1:2" ht="112" hidden="1" customHeight="1" x14ac:dyDescent="0.25">
      <c r="A1344" t="s">
        <v>1469</v>
      </c>
      <c r="B1344" s="3" t="s">
        <v>3689</v>
      </c>
    </row>
    <row r="1345" spans="1:2" ht="112" hidden="1" customHeight="1" x14ac:dyDescent="0.25">
      <c r="A1345" t="s">
        <v>1470</v>
      </c>
      <c r="B1345" s="3" t="s">
        <v>3690</v>
      </c>
    </row>
    <row r="1346" spans="1:2" ht="112" hidden="1" customHeight="1" x14ac:dyDescent="0.25">
      <c r="A1346" t="s">
        <v>1471</v>
      </c>
      <c r="B1346" s="3" t="s">
        <v>3691</v>
      </c>
    </row>
    <row r="1347" spans="1:2" ht="112" hidden="1" customHeight="1" x14ac:dyDescent="0.25">
      <c r="A1347" t="s">
        <v>1472</v>
      </c>
      <c r="B1347" s="3" t="s">
        <v>3692</v>
      </c>
    </row>
    <row r="1348" spans="1:2" ht="112" hidden="1" customHeight="1" x14ac:dyDescent="0.25">
      <c r="A1348" t="s">
        <v>1473</v>
      </c>
      <c r="B1348" s="3" t="s">
        <v>3693</v>
      </c>
    </row>
    <row r="1349" spans="1:2" ht="112" hidden="1" customHeight="1" x14ac:dyDescent="0.25">
      <c r="A1349" t="s">
        <v>1474</v>
      </c>
      <c r="B1349" s="3" t="s">
        <v>3694</v>
      </c>
    </row>
    <row r="1350" spans="1:2" ht="112" hidden="1" customHeight="1" x14ac:dyDescent="0.25">
      <c r="A1350" t="s">
        <v>1475</v>
      </c>
      <c r="B1350" s="3" t="s">
        <v>5957</v>
      </c>
    </row>
    <row r="1351" spans="1:2" ht="112" hidden="1" customHeight="1" x14ac:dyDescent="0.25">
      <c r="A1351" t="s">
        <v>1476</v>
      </c>
      <c r="B1351" s="3" t="s">
        <v>3695</v>
      </c>
    </row>
    <row r="1352" spans="1:2" ht="112" hidden="1" customHeight="1" x14ac:dyDescent="0.25">
      <c r="A1352" t="s">
        <v>1477</v>
      </c>
      <c r="B1352" s="3" t="s">
        <v>5958</v>
      </c>
    </row>
    <row r="1353" spans="1:2" ht="112" hidden="1" customHeight="1" x14ac:dyDescent="0.25">
      <c r="A1353" t="s">
        <v>1478</v>
      </c>
      <c r="B1353" s="3" t="s">
        <v>5959</v>
      </c>
    </row>
    <row r="1354" spans="1:2" ht="112" hidden="1" customHeight="1" x14ac:dyDescent="0.25">
      <c r="A1354" t="s">
        <v>1479</v>
      </c>
      <c r="B1354" s="3" t="s">
        <v>5960</v>
      </c>
    </row>
    <row r="1355" spans="1:2" ht="112" hidden="1" customHeight="1" x14ac:dyDescent="0.25">
      <c r="A1355" t="s">
        <v>1480</v>
      </c>
      <c r="B1355" s="3" t="s">
        <v>5961</v>
      </c>
    </row>
    <row r="1356" spans="1:2" ht="112" hidden="1" customHeight="1" x14ac:dyDescent="0.25">
      <c r="A1356" t="s">
        <v>1481</v>
      </c>
      <c r="B1356" s="3" t="s">
        <v>3696</v>
      </c>
    </row>
    <row r="1357" spans="1:2" ht="112" hidden="1" customHeight="1" x14ac:dyDescent="0.25">
      <c r="A1357" t="s">
        <v>1482</v>
      </c>
      <c r="B1357" s="3" t="s">
        <v>3697</v>
      </c>
    </row>
    <row r="1358" spans="1:2" ht="112" hidden="1" customHeight="1" x14ac:dyDescent="0.25">
      <c r="A1358" t="s">
        <v>1483</v>
      </c>
      <c r="B1358" s="3" t="s">
        <v>5962</v>
      </c>
    </row>
    <row r="1359" spans="1:2" ht="112" hidden="1" customHeight="1" x14ac:dyDescent="0.25">
      <c r="A1359" t="s">
        <v>1484</v>
      </c>
      <c r="B1359" s="3" t="s">
        <v>3698</v>
      </c>
    </row>
    <row r="1360" spans="1:2" ht="112" hidden="1" customHeight="1" x14ac:dyDescent="0.25">
      <c r="A1360" t="s">
        <v>1485</v>
      </c>
      <c r="B1360" s="3" t="s">
        <v>3699</v>
      </c>
    </row>
    <row r="1361" spans="1:2" ht="112" hidden="1" customHeight="1" x14ac:dyDescent="0.25">
      <c r="A1361" t="s">
        <v>1486</v>
      </c>
      <c r="B1361" s="3" t="s">
        <v>5963</v>
      </c>
    </row>
    <row r="1362" spans="1:2" ht="112" hidden="1" customHeight="1" x14ac:dyDescent="0.25">
      <c r="A1362" t="s">
        <v>1487</v>
      </c>
      <c r="B1362" s="3" t="s">
        <v>5964</v>
      </c>
    </row>
    <row r="1363" spans="1:2" ht="112" hidden="1" customHeight="1" x14ac:dyDescent="0.25">
      <c r="A1363" t="s">
        <v>1488</v>
      </c>
      <c r="B1363" s="3" t="s">
        <v>3700</v>
      </c>
    </row>
    <row r="1364" spans="1:2" ht="112" hidden="1" customHeight="1" x14ac:dyDescent="0.25">
      <c r="A1364" t="s">
        <v>1489</v>
      </c>
      <c r="B1364" s="3" t="s">
        <v>3701</v>
      </c>
    </row>
    <row r="1365" spans="1:2" ht="112" hidden="1" customHeight="1" x14ac:dyDescent="0.25">
      <c r="A1365" t="s">
        <v>1490</v>
      </c>
      <c r="B1365" s="3" t="s">
        <v>3702</v>
      </c>
    </row>
    <row r="1366" spans="1:2" ht="112" hidden="1" customHeight="1" x14ac:dyDescent="0.25">
      <c r="A1366" t="s">
        <v>1492</v>
      </c>
      <c r="B1366" s="3" t="s">
        <v>3703</v>
      </c>
    </row>
    <row r="1367" spans="1:2" ht="112" hidden="1" customHeight="1" x14ac:dyDescent="0.25">
      <c r="A1367" t="s">
        <v>1493</v>
      </c>
      <c r="B1367" s="3" t="s">
        <v>3704</v>
      </c>
    </row>
    <row r="1368" spans="1:2" ht="112" hidden="1" customHeight="1" x14ac:dyDescent="0.25">
      <c r="A1368" t="s">
        <v>1494</v>
      </c>
      <c r="B1368" s="3" t="s">
        <v>5965</v>
      </c>
    </row>
    <row r="1369" spans="1:2" ht="112" hidden="1" customHeight="1" x14ac:dyDescent="0.25">
      <c r="A1369" t="s">
        <v>1495</v>
      </c>
      <c r="B1369" s="3" t="s">
        <v>6389</v>
      </c>
    </row>
    <row r="1370" spans="1:2" ht="112" hidden="1" customHeight="1" x14ac:dyDescent="0.25">
      <c r="A1370" t="s">
        <v>1496</v>
      </c>
      <c r="B1370" s="3" t="s">
        <v>3705</v>
      </c>
    </row>
    <row r="1371" spans="1:2" ht="112" hidden="1" customHeight="1" x14ac:dyDescent="0.25">
      <c r="A1371" t="s">
        <v>1497</v>
      </c>
      <c r="B1371" s="3" t="s">
        <v>5966</v>
      </c>
    </row>
    <row r="1372" spans="1:2" ht="112" hidden="1" customHeight="1" x14ac:dyDescent="0.25">
      <c r="A1372" t="s">
        <v>1498</v>
      </c>
      <c r="B1372" s="3" t="s">
        <v>5967</v>
      </c>
    </row>
    <row r="1373" spans="1:2" ht="112" hidden="1" customHeight="1" x14ac:dyDescent="0.25">
      <c r="A1373" t="s">
        <v>1499</v>
      </c>
      <c r="B1373" s="3" t="s">
        <v>3706</v>
      </c>
    </row>
    <row r="1374" spans="1:2" ht="112" hidden="1" customHeight="1" x14ac:dyDescent="0.25">
      <c r="A1374" t="s">
        <v>1500</v>
      </c>
      <c r="B1374" s="3" t="s">
        <v>6390</v>
      </c>
    </row>
    <row r="1375" spans="1:2" ht="112" hidden="1" customHeight="1" x14ac:dyDescent="0.25">
      <c r="A1375" t="s">
        <v>1501</v>
      </c>
      <c r="B1375" s="3" t="s">
        <v>6646</v>
      </c>
    </row>
    <row r="1376" spans="1:2" ht="112" hidden="1" customHeight="1" x14ac:dyDescent="0.25">
      <c r="A1376" t="s">
        <v>1502</v>
      </c>
      <c r="B1376" s="3" t="s">
        <v>6241</v>
      </c>
    </row>
    <row r="1377" spans="1:2" ht="112" hidden="1" customHeight="1" x14ac:dyDescent="0.25">
      <c r="A1377" t="s">
        <v>1503</v>
      </c>
      <c r="B1377" s="3" t="s">
        <v>6242</v>
      </c>
    </row>
    <row r="1378" spans="1:2" ht="112" hidden="1" customHeight="1" x14ac:dyDescent="0.25">
      <c r="A1378" t="s">
        <v>1504</v>
      </c>
      <c r="B1378" s="3" t="s">
        <v>3707</v>
      </c>
    </row>
    <row r="1379" spans="1:2" ht="112" hidden="1" customHeight="1" x14ac:dyDescent="0.25">
      <c r="A1379" t="s">
        <v>1505</v>
      </c>
      <c r="B1379" s="3" t="s">
        <v>5968</v>
      </c>
    </row>
    <row r="1380" spans="1:2" ht="112" hidden="1" customHeight="1" x14ac:dyDescent="0.25">
      <c r="A1380" t="s">
        <v>1506</v>
      </c>
      <c r="B1380" s="3" t="s">
        <v>5969</v>
      </c>
    </row>
    <row r="1381" spans="1:2" ht="112" hidden="1" customHeight="1" x14ac:dyDescent="0.25">
      <c r="A1381" t="s">
        <v>1507</v>
      </c>
      <c r="B1381" s="3" t="s">
        <v>5970</v>
      </c>
    </row>
    <row r="1382" spans="1:2" ht="112" hidden="1" customHeight="1" x14ac:dyDescent="0.25">
      <c r="A1382" t="s">
        <v>1508</v>
      </c>
      <c r="B1382" s="3" t="s">
        <v>3708</v>
      </c>
    </row>
    <row r="1383" spans="1:2" ht="112" hidden="1" customHeight="1" x14ac:dyDescent="0.25">
      <c r="A1383" t="s">
        <v>1509</v>
      </c>
      <c r="B1383" s="3" t="s">
        <v>5971</v>
      </c>
    </row>
    <row r="1384" spans="1:2" ht="112" hidden="1" customHeight="1" x14ac:dyDescent="0.25">
      <c r="A1384" t="s">
        <v>1510</v>
      </c>
      <c r="B1384" s="3" t="s">
        <v>5972</v>
      </c>
    </row>
    <row r="1385" spans="1:2" ht="112" hidden="1" customHeight="1" x14ac:dyDescent="0.25">
      <c r="A1385" t="s">
        <v>1511</v>
      </c>
      <c r="B1385" s="3" t="s">
        <v>3709</v>
      </c>
    </row>
    <row r="1386" spans="1:2" ht="112" hidden="1" customHeight="1" x14ac:dyDescent="0.25">
      <c r="A1386" t="s">
        <v>1512</v>
      </c>
      <c r="B1386" s="3" t="s">
        <v>3710</v>
      </c>
    </row>
    <row r="1387" spans="1:2" ht="112" hidden="1" customHeight="1" x14ac:dyDescent="0.25">
      <c r="A1387" t="s">
        <v>1513</v>
      </c>
      <c r="B1387" s="3" t="s">
        <v>3711</v>
      </c>
    </row>
    <row r="1388" spans="1:2" ht="112" hidden="1" customHeight="1" x14ac:dyDescent="0.25">
      <c r="A1388" t="s">
        <v>1514</v>
      </c>
      <c r="B1388" s="3" t="s">
        <v>3712</v>
      </c>
    </row>
    <row r="1389" spans="1:2" ht="112" hidden="1" customHeight="1" x14ac:dyDescent="0.25">
      <c r="A1389" t="s">
        <v>1515</v>
      </c>
      <c r="B1389" s="3" t="s">
        <v>3713</v>
      </c>
    </row>
    <row r="1390" spans="1:2" ht="112" hidden="1" customHeight="1" x14ac:dyDescent="0.25">
      <c r="A1390" t="s">
        <v>1516</v>
      </c>
      <c r="B1390" s="3" t="s">
        <v>3714</v>
      </c>
    </row>
    <row r="1391" spans="1:2" ht="112" hidden="1" customHeight="1" x14ac:dyDescent="0.25">
      <c r="A1391" t="s">
        <v>1517</v>
      </c>
      <c r="B1391" s="3" t="s">
        <v>3715</v>
      </c>
    </row>
    <row r="1392" spans="1:2" ht="112" hidden="1" customHeight="1" x14ac:dyDescent="0.25">
      <c r="A1392" t="s">
        <v>1518</v>
      </c>
      <c r="B1392" s="3" t="s">
        <v>5973</v>
      </c>
    </row>
    <row r="1393" spans="1:2" ht="112" hidden="1" customHeight="1" x14ac:dyDescent="0.25">
      <c r="A1393" t="s">
        <v>1519</v>
      </c>
      <c r="B1393" s="3" t="s">
        <v>5974</v>
      </c>
    </row>
    <row r="1394" spans="1:2" ht="112" hidden="1" customHeight="1" x14ac:dyDescent="0.25">
      <c r="A1394" t="s">
        <v>1520</v>
      </c>
      <c r="B1394" s="3" t="s">
        <v>5975</v>
      </c>
    </row>
    <row r="1395" spans="1:2" ht="112" hidden="1" customHeight="1" x14ac:dyDescent="0.25">
      <c r="A1395" t="s">
        <v>1521</v>
      </c>
      <c r="B1395" s="3" t="s">
        <v>5976</v>
      </c>
    </row>
    <row r="1396" spans="1:2" ht="112" hidden="1" customHeight="1" x14ac:dyDescent="0.25">
      <c r="A1396" t="s">
        <v>1522</v>
      </c>
      <c r="B1396" s="3" t="s">
        <v>5977</v>
      </c>
    </row>
    <row r="1397" spans="1:2" ht="112" hidden="1" customHeight="1" x14ac:dyDescent="0.25">
      <c r="A1397" t="s">
        <v>1523</v>
      </c>
      <c r="B1397" s="3" t="s">
        <v>5978</v>
      </c>
    </row>
    <row r="1398" spans="1:2" ht="112" hidden="1" customHeight="1" x14ac:dyDescent="0.25">
      <c r="A1398" t="s">
        <v>1524</v>
      </c>
      <c r="B1398" s="3" t="s">
        <v>5979</v>
      </c>
    </row>
    <row r="1399" spans="1:2" ht="112" hidden="1" customHeight="1" x14ac:dyDescent="0.25">
      <c r="A1399" t="s">
        <v>1525</v>
      </c>
      <c r="B1399" s="3" t="s">
        <v>5980</v>
      </c>
    </row>
    <row r="1400" spans="1:2" ht="112" hidden="1" customHeight="1" x14ac:dyDescent="0.25">
      <c r="A1400" t="s">
        <v>1526</v>
      </c>
      <c r="B1400" s="3" t="s">
        <v>5981</v>
      </c>
    </row>
    <row r="1401" spans="1:2" ht="112" hidden="1" customHeight="1" x14ac:dyDescent="0.25">
      <c r="A1401" t="s">
        <v>1527</v>
      </c>
      <c r="B1401" s="3" t="s">
        <v>5982</v>
      </c>
    </row>
    <row r="1402" spans="1:2" ht="112" hidden="1" customHeight="1" x14ac:dyDescent="0.25">
      <c r="A1402" t="s">
        <v>1528</v>
      </c>
      <c r="B1402" s="3" t="s">
        <v>5983</v>
      </c>
    </row>
    <row r="1403" spans="1:2" ht="112" hidden="1" customHeight="1" x14ac:dyDescent="0.25">
      <c r="A1403" t="s">
        <v>1529</v>
      </c>
      <c r="B1403" s="3" t="s">
        <v>5984</v>
      </c>
    </row>
    <row r="1404" spans="1:2" ht="112" hidden="1" customHeight="1" x14ac:dyDescent="0.25">
      <c r="A1404" t="s">
        <v>1530</v>
      </c>
      <c r="B1404" s="3" t="s">
        <v>5985</v>
      </c>
    </row>
    <row r="1405" spans="1:2" ht="112" hidden="1" customHeight="1" x14ac:dyDescent="0.25">
      <c r="A1405" t="s">
        <v>1531</v>
      </c>
      <c r="B1405" s="3" t="s">
        <v>6243</v>
      </c>
    </row>
    <row r="1406" spans="1:2" ht="112" hidden="1" customHeight="1" x14ac:dyDescent="0.25">
      <c r="A1406" t="s">
        <v>1532</v>
      </c>
      <c r="B1406" s="3" t="s">
        <v>6244</v>
      </c>
    </row>
    <row r="1407" spans="1:2" ht="112" hidden="1" customHeight="1" x14ac:dyDescent="0.25">
      <c r="A1407" t="s">
        <v>1533</v>
      </c>
      <c r="B1407" s="3" t="s">
        <v>6245</v>
      </c>
    </row>
    <row r="1408" spans="1:2" ht="112" hidden="1" customHeight="1" x14ac:dyDescent="0.25">
      <c r="A1408" t="s">
        <v>2504</v>
      </c>
      <c r="B1408" s="3" t="s">
        <v>6391</v>
      </c>
    </row>
    <row r="1409" spans="1:2" ht="112" hidden="1" customHeight="1" x14ac:dyDescent="0.25">
      <c r="A1409" t="s">
        <v>2505</v>
      </c>
      <c r="B1409" s="3" t="s">
        <v>5986</v>
      </c>
    </row>
    <row r="1410" spans="1:2" ht="112" hidden="1" customHeight="1" x14ac:dyDescent="0.25">
      <c r="A1410" t="s">
        <v>2506</v>
      </c>
      <c r="B1410" s="3" t="s">
        <v>6246</v>
      </c>
    </row>
    <row r="1411" spans="1:2" ht="112" hidden="1" customHeight="1" x14ac:dyDescent="0.25">
      <c r="A1411" t="s">
        <v>2507</v>
      </c>
      <c r="B1411" s="3" t="s">
        <v>6392</v>
      </c>
    </row>
    <row r="1412" spans="1:2" ht="112" hidden="1" customHeight="1" x14ac:dyDescent="0.25">
      <c r="A1412" t="s">
        <v>2508</v>
      </c>
      <c r="B1412" s="3" t="s">
        <v>5987</v>
      </c>
    </row>
    <row r="1413" spans="1:2" ht="112" hidden="1" customHeight="1" x14ac:dyDescent="0.25">
      <c r="A1413" t="s">
        <v>2509</v>
      </c>
      <c r="B1413" s="3" t="s">
        <v>5797</v>
      </c>
    </row>
    <row r="1414" spans="1:2" ht="112" hidden="1" customHeight="1" x14ac:dyDescent="0.25">
      <c r="A1414" t="s">
        <v>1534</v>
      </c>
      <c r="B1414" s="3" t="s">
        <v>5988</v>
      </c>
    </row>
    <row r="1415" spans="1:2" ht="112" hidden="1" customHeight="1" x14ac:dyDescent="0.25">
      <c r="A1415" t="s">
        <v>1535</v>
      </c>
      <c r="B1415" s="3" t="s">
        <v>6247</v>
      </c>
    </row>
    <row r="1416" spans="1:2" ht="112" hidden="1" customHeight="1" x14ac:dyDescent="0.25">
      <c r="A1416" t="s">
        <v>1536</v>
      </c>
      <c r="B1416" s="3" t="s">
        <v>6248</v>
      </c>
    </row>
    <row r="1417" spans="1:2" ht="112" hidden="1" customHeight="1" x14ac:dyDescent="0.25">
      <c r="A1417" t="s">
        <v>2510</v>
      </c>
      <c r="B1417" s="3" t="s">
        <v>5989</v>
      </c>
    </row>
    <row r="1418" spans="1:2" ht="112" hidden="1" customHeight="1" x14ac:dyDescent="0.25">
      <c r="A1418" t="s">
        <v>2511</v>
      </c>
      <c r="B1418" s="3" t="s">
        <v>6249</v>
      </c>
    </row>
    <row r="1419" spans="1:2" ht="112" hidden="1" customHeight="1" x14ac:dyDescent="0.25">
      <c r="A1419" t="s">
        <v>1537</v>
      </c>
      <c r="B1419" s="3" t="s">
        <v>5990</v>
      </c>
    </row>
    <row r="1420" spans="1:2" ht="112" hidden="1" customHeight="1" x14ac:dyDescent="0.25">
      <c r="A1420" t="s">
        <v>2512</v>
      </c>
      <c r="B1420" s="3" t="s">
        <v>11220</v>
      </c>
    </row>
    <row r="1421" spans="1:2" ht="112" hidden="1" customHeight="1" x14ac:dyDescent="0.25">
      <c r="A1421" t="s">
        <v>2513</v>
      </c>
      <c r="B1421" s="3" t="s">
        <v>3716</v>
      </c>
    </row>
    <row r="1422" spans="1:2" ht="112" hidden="1" customHeight="1" x14ac:dyDescent="0.25">
      <c r="A1422" t="s">
        <v>2514</v>
      </c>
      <c r="B1422" s="3" t="s">
        <v>3717</v>
      </c>
    </row>
    <row r="1423" spans="1:2" ht="112" hidden="1" customHeight="1" x14ac:dyDescent="0.25">
      <c r="A1423" t="s">
        <v>2515</v>
      </c>
      <c r="B1423" s="3" t="s">
        <v>3718</v>
      </c>
    </row>
    <row r="1424" spans="1:2" ht="112" hidden="1" customHeight="1" x14ac:dyDescent="0.25">
      <c r="A1424" t="s">
        <v>2516</v>
      </c>
      <c r="B1424" s="3" t="s">
        <v>7479</v>
      </c>
    </row>
    <row r="1425" spans="1:2" ht="112" hidden="1" customHeight="1" x14ac:dyDescent="0.25">
      <c r="A1425" t="s">
        <v>2517</v>
      </c>
      <c r="B1425" s="3" t="s">
        <v>3719</v>
      </c>
    </row>
    <row r="1426" spans="1:2" ht="112" hidden="1" customHeight="1" x14ac:dyDescent="0.25">
      <c r="A1426" t="s">
        <v>2518</v>
      </c>
      <c r="B1426" s="3" t="s">
        <v>6471</v>
      </c>
    </row>
    <row r="1427" spans="1:2" ht="112" hidden="1" customHeight="1" x14ac:dyDescent="0.25">
      <c r="A1427" t="s">
        <v>2519</v>
      </c>
      <c r="B1427" s="3" t="s">
        <v>3720</v>
      </c>
    </row>
    <row r="1428" spans="1:2" ht="112" hidden="1" customHeight="1" x14ac:dyDescent="0.25">
      <c r="A1428" t="s">
        <v>2520</v>
      </c>
      <c r="B1428" s="3" t="s">
        <v>3721</v>
      </c>
    </row>
    <row r="1429" spans="1:2" ht="112" hidden="1" customHeight="1" x14ac:dyDescent="0.25">
      <c r="A1429" t="s">
        <v>2521</v>
      </c>
      <c r="B1429" s="3" t="s">
        <v>3722</v>
      </c>
    </row>
    <row r="1430" spans="1:2" ht="112" hidden="1" customHeight="1" x14ac:dyDescent="0.25">
      <c r="A1430" t="s">
        <v>2522</v>
      </c>
      <c r="B1430" s="3" t="s">
        <v>6393</v>
      </c>
    </row>
    <row r="1431" spans="1:2" ht="112" hidden="1" customHeight="1" x14ac:dyDescent="0.25">
      <c r="A1431" t="s">
        <v>2523</v>
      </c>
      <c r="B1431" s="3" t="s">
        <v>6394</v>
      </c>
    </row>
    <row r="1432" spans="1:2" ht="112" hidden="1" customHeight="1" x14ac:dyDescent="0.25">
      <c r="A1432" t="s">
        <v>2524</v>
      </c>
      <c r="B1432" s="3" t="s">
        <v>6250</v>
      </c>
    </row>
    <row r="1433" spans="1:2" ht="112" hidden="1" customHeight="1" x14ac:dyDescent="0.25">
      <c r="A1433" t="s">
        <v>2525</v>
      </c>
      <c r="B1433" s="3" t="s">
        <v>6251</v>
      </c>
    </row>
    <row r="1434" spans="1:2" ht="112" hidden="1" customHeight="1" x14ac:dyDescent="0.25">
      <c r="A1434" t="s">
        <v>2526</v>
      </c>
      <c r="B1434" s="3" t="s">
        <v>6395</v>
      </c>
    </row>
    <row r="1435" spans="1:2" ht="112" hidden="1" customHeight="1" x14ac:dyDescent="0.25">
      <c r="A1435" t="s">
        <v>2527</v>
      </c>
      <c r="B1435" s="3" t="s">
        <v>6396</v>
      </c>
    </row>
    <row r="1436" spans="1:2" ht="112" hidden="1" customHeight="1" x14ac:dyDescent="0.25">
      <c r="A1436" t="s">
        <v>2528</v>
      </c>
      <c r="B1436" s="3" t="s">
        <v>6397</v>
      </c>
    </row>
    <row r="1437" spans="1:2" ht="112" hidden="1" customHeight="1" x14ac:dyDescent="0.25">
      <c r="A1437" t="s">
        <v>2529</v>
      </c>
      <c r="B1437" s="3" t="s">
        <v>6398</v>
      </c>
    </row>
    <row r="1438" spans="1:2" ht="112" hidden="1" customHeight="1" x14ac:dyDescent="0.25">
      <c r="A1438" t="s">
        <v>2530</v>
      </c>
      <c r="B1438" s="3" t="s">
        <v>6399</v>
      </c>
    </row>
    <row r="1439" spans="1:2" ht="112" hidden="1" customHeight="1" x14ac:dyDescent="0.25">
      <c r="A1439" t="s">
        <v>2531</v>
      </c>
      <c r="B1439" s="3" t="s">
        <v>6400</v>
      </c>
    </row>
    <row r="1440" spans="1:2" ht="112" hidden="1" customHeight="1" x14ac:dyDescent="0.25">
      <c r="A1440" t="s">
        <v>2532</v>
      </c>
      <c r="B1440" s="3" t="s">
        <v>6401</v>
      </c>
    </row>
    <row r="1441" spans="1:2" ht="112" hidden="1" customHeight="1" x14ac:dyDescent="0.25">
      <c r="A1441" t="s">
        <v>2533</v>
      </c>
      <c r="B1441" s="3" t="s">
        <v>6402</v>
      </c>
    </row>
    <row r="1442" spans="1:2" ht="112" hidden="1" customHeight="1" x14ac:dyDescent="0.25">
      <c r="A1442" t="s">
        <v>2535</v>
      </c>
      <c r="B1442" s="3" t="s">
        <v>3723</v>
      </c>
    </row>
    <row r="1443" spans="1:2" ht="112" hidden="1" customHeight="1" x14ac:dyDescent="0.25">
      <c r="A1443" t="s">
        <v>2536</v>
      </c>
      <c r="B1443" s="3" t="s">
        <v>3724</v>
      </c>
    </row>
    <row r="1444" spans="1:2" ht="112" hidden="1" customHeight="1" x14ac:dyDescent="0.25">
      <c r="A1444" t="s">
        <v>2537</v>
      </c>
      <c r="B1444" s="3" t="s">
        <v>3725</v>
      </c>
    </row>
    <row r="1445" spans="1:2" ht="112" hidden="1" customHeight="1" x14ac:dyDescent="0.25">
      <c r="A1445" t="s">
        <v>2538</v>
      </c>
      <c r="B1445" s="3" t="s">
        <v>5798</v>
      </c>
    </row>
    <row r="1446" spans="1:2" ht="112" hidden="1" customHeight="1" x14ac:dyDescent="0.25">
      <c r="A1446" t="s">
        <v>2539</v>
      </c>
      <c r="B1446" s="3" t="s">
        <v>3726</v>
      </c>
    </row>
    <row r="1447" spans="1:2" ht="112" hidden="1" customHeight="1" x14ac:dyDescent="0.25">
      <c r="A1447" t="s">
        <v>2540</v>
      </c>
      <c r="B1447" s="3" t="s">
        <v>3727</v>
      </c>
    </row>
    <row r="1448" spans="1:2" ht="112" hidden="1" customHeight="1" x14ac:dyDescent="0.25">
      <c r="A1448" t="s">
        <v>2541</v>
      </c>
      <c r="B1448" s="3" t="s">
        <v>3728</v>
      </c>
    </row>
    <row r="1449" spans="1:2" ht="112" hidden="1" customHeight="1" x14ac:dyDescent="0.25">
      <c r="A1449" t="s">
        <v>1538</v>
      </c>
      <c r="B1449" s="3" t="s">
        <v>6252</v>
      </c>
    </row>
    <row r="1450" spans="1:2" ht="112" hidden="1" customHeight="1" x14ac:dyDescent="0.25">
      <c r="A1450" t="s">
        <v>1539</v>
      </c>
      <c r="B1450" s="3" t="s">
        <v>3729</v>
      </c>
    </row>
    <row r="1451" spans="1:2" ht="112" hidden="1" customHeight="1" x14ac:dyDescent="0.25">
      <c r="A1451" t="s">
        <v>1540</v>
      </c>
      <c r="B1451" s="3" t="s">
        <v>5991</v>
      </c>
    </row>
    <row r="1452" spans="1:2" ht="112" hidden="1" customHeight="1" x14ac:dyDescent="0.25">
      <c r="A1452" t="s">
        <v>1541</v>
      </c>
      <c r="B1452" s="3" t="s">
        <v>6253</v>
      </c>
    </row>
    <row r="1453" spans="1:2" ht="112" hidden="1" customHeight="1" x14ac:dyDescent="0.25">
      <c r="A1453" t="s">
        <v>1542</v>
      </c>
      <c r="B1453" s="3" t="s">
        <v>3730</v>
      </c>
    </row>
    <row r="1454" spans="1:2" ht="112" hidden="1" customHeight="1" x14ac:dyDescent="0.25">
      <c r="A1454" t="s">
        <v>1543</v>
      </c>
      <c r="B1454" s="3" t="s">
        <v>3731</v>
      </c>
    </row>
    <row r="1455" spans="1:2" ht="112" hidden="1" customHeight="1" x14ac:dyDescent="0.25">
      <c r="A1455" t="s">
        <v>1544</v>
      </c>
      <c r="B1455" s="3" t="s">
        <v>3732</v>
      </c>
    </row>
    <row r="1456" spans="1:2" ht="112" hidden="1" customHeight="1" x14ac:dyDescent="0.25">
      <c r="A1456" t="s">
        <v>1545</v>
      </c>
      <c r="B1456" s="3" t="s">
        <v>3733</v>
      </c>
    </row>
    <row r="1457" spans="1:2" ht="112" hidden="1" customHeight="1" x14ac:dyDescent="0.25">
      <c r="A1457" t="s">
        <v>1546</v>
      </c>
      <c r="B1457" s="3" t="s">
        <v>3734</v>
      </c>
    </row>
    <row r="1458" spans="1:2" ht="112" hidden="1" customHeight="1" x14ac:dyDescent="0.25">
      <c r="A1458" t="s">
        <v>1547</v>
      </c>
      <c r="B1458" s="3" t="s">
        <v>5992</v>
      </c>
    </row>
    <row r="1459" spans="1:2" ht="112" hidden="1" customHeight="1" x14ac:dyDescent="0.25">
      <c r="A1459" t="s">
        <v>1548</v>
      </c>
      <c r="B1459" s="3" t="s">
        <v>5993</v>
      </c>
    </row>
    <row r="1460" spans="1:2" ht="112" hidden="1" customHeight="1" x14ac:dyDescent="0.25">
      <c r="A1460" t="s">
        <v>1549</v>
      </c>
      <c r="B1460" s="3" t="s">
        <v>3735</v>
      </c>
    </row>
    <row r="1461" spans="1:2" ht="112" hidden="1" customHeight="1" x14ac:dyDescent="0.25">
      <c r="A1461" t="s">
        <v>7974</v>
      </c>
      <c r="B1461" s="3" t="s">
        <v>9651</v>
      </c>
    </row>
    <row r="1462" spans="1:2" ht="112" hidden="1" customHeight="1" x14ac:dyDescent="0.25">
      <c r="A1462" t="s">
        <v>7972</v>
      </c>
      <c r="B1462" s="3" t="s">
        <v>7973</v>
      </c>
    </row>
    <row r="1463" spans="1:2" ht="112" hidden="1" customHeight="1" x14ac:dyDescent="0.25">
      <c r="A1463" t="s">
        <v>1551</v>
      </c>
      <c r="B1463" s="3" t="s">
        <v>6647</v>
      </c>
    </row>
    <row r="1464" spans="1:2" ht="112" hidden="1" customHeight="1" x14ac:dyDescent="0.25">
      <c r="A1464" t="s">
        <v>1552</v>
      </c>
      <c r="B1464" s="3" t="s">
        <v>3736</v>
      </c>
    </row>
    <row r="1465" spans="1:2" ht="112" hidden="1" customHeight="1" x14ac:dyDescent="0.25">
      <c r="A1465" t="s">
        <v>1553</v>
      </c>
      <c r="B1465" s="3" t="s">
        <v>6403</v>
      </c>
    </row>
    <row r="1466" spans="1:2" ht="112" hidden="1" customHeight="1" x14ac:dyDescent="0.25">
      <c r="A1466" t="s">
        <v>1554</v>
      </c>
      <c r="B1466" s="3" t="s">
        <v>3737</v>
      </c>
    </row>
    <row r="1467" spans="1:2" ht="112" hidden="1" customHeight="1" x14ac:dyDescent="0.25">
      <c r="A1467" t="s">
        <v>1555</v>
      </c>
      <c r="B1467" s="3" t="s">
        <v>5994</v>
      </c>
    </row>
    <row r="1468" spans="1:2" ht="112" hidden="1" customHeight="1" x14ac:dyDescent="0.25">
      <c r="A1468" t="s">
        <v>1556</v>
      </c>
      <c r="B1468" s="3" t="s">
        <v>6648</v>
      </c>
    </row>
    <row r="1469" spans="1:2" ht="112" hidden="1" customHeight="1" x14ac:dyDescent="0.25">
      <c r="A1469" t="s">
        <v>1557</v>
      </c>
      <c r="B1469" s="3" t="s">
        <v>3738</v>
      </c>
    </row>
    <row r="1470" spans="1:2" ht="112" hidden="1" customHeight="1" x14ac:dyDescent="0.25">
      <c r="A1470" t="s">
        <v>1558</v>
      </c>
      <c r="B1470" s="3" t="s">
        <v>3739</v>
      </c>
    </row>
    <row r="1471" spans="1:2" ht="112" hidden="1" customHeight="1" x14ac:dyDescent="0.25">
      <c r="A1471" t="s">
        <v>1559</v>
      </c>
      <c r="B1471" s="3" t="s">
        <v>5845</v>
      </c>
    </row>
    <row r="1472" spans="1:2" ht="112" hidden="1" customHeight="1" x14ac:dyDescent="0.25">
      <c r="A1472" t="s">
        <v>1560</v>
      </c>
      <c r="B1472" s="3" t="s">
        <v>6649</v>
      </c>
    </row>
    <row r="1473" spans="1:2" ht="112" hidden="1" customHeight="1" x14ac:dyDescent="0.25">
      <c r="A1473" t="s">
        <v>1561</v>
      </c>
      <c r="B1473" s="3" t="s">
        <v>6650</v>
      </c>
    </row>
    <row r="1474" spans="1:2" ht="112" hidden="1" customHeight="1" x14ac:dyDescent="0.25">
      <c r="A1474" t="s">
        <v>1562</v>
      </c>
      <c r="B1474" s="3" t="s">
        <v>3740</v>
      </c>
    </row>
    <row r="1475" spans="1:2" ht="112" hidden="1" customHeight="1" x14ac:dyDescent="0.25">
      <c r="A1475" t="s">
        <v>1563</v>
      </c>
      <c r="B1475" s="3" t="s">
        <v>6651</v>
      </c>
    </row>
    <row r="1476" spans="1:2" ht="112" hidden="1" customHeight="1" x14ac:dyDescent="0.25">
      <c r="A1476" t="s">
        <v>1564</v>
      </c>
      <c r="B1476" s="3" t="s">
        <v>6652</v>
      </c>
    </row>
    <row r="1477" spans="1:2" ht="112" hidden="1" customHeight="1" x14ac:dyDescent="0.25">
      <c r="A1477" t="s">
        <v>1565</v>
      </c>
      <c r="B1477" s="3" t="s">
        <v>3741</v>
      </c>
    </row>
    <row r="1478" spans="1:2" ht="112" hidden="1" customHeight="1" x14ac:dyDescent="0.25">
      <c r="A1478" t="s">
        <v>1566</v>
      </c>
      <c r="B1478" s="3" t="s">
        <v>6653</v>
      </c>
    </row>
    <row r="1479" spans="1:2" ht="112" hidden="1" customHeight="1" x14ac:dyDescent="0.25">
      <c r="A1479" t="s">
        <v>1567</v>
      </c>
      <c r="B1479" s="3" t="s">
        <v>6254</v>
      </c>
    </row>
    <row r="1480" spans="1:2" ht="112" hidden="1" customHeight="1" x14ac:dyDescent="0.25">
      <c r="A1480" t="s">
        <v>1568</v>
      </c>
      <c r="B1480" s="3" t="s">
        <v>3742</v>
      </c>
    </row>
    <row r="1481" spans="1:2" ht="112" hidden="1" customHeight="1" x14ac:dyDescent="0.25">
      <c r="A1481" t="s">
        <v>1569</v>
      </c>
      <c r="B1481" s="3" t="s">
        <v>6654</v>
      </c>
    </row>
    <row r="1482" spans="1:2" ht="112" hidden="1" customHeight="1" x14ac:dyDescent="0.25">
      <c r="A1482" t="s">
        <v>1570</v>
      </c>
      <c r="B1482" s="3" t="s">
        <v>6255</v>
      </c>
    </row>
    <row r="1483" spans="1:2" ht="112" hidden="1" customHeight="1" x14ac:dyDescent="0.25">
      <c r="A1483" t="s">
        <v>1571</v>
      </c>
      <c r="B1483" s="3" t="s">
        <v>3743</v>
      </c>
    </row>
    <row r="1484" spans="1:2" ht="112" hidden="1" customHeight="1" x14ac:dyDescent="0.25">
      <c r="A1484" t="s">
        <v>1572</v>
      </c>
      <c r="B1484" s="3" t="s">
        <v>3744</v>
      </c>
    </row>
    <row r="1485" spans="1:2" ht="112" hidden="1" customHeight="1" x14ac:dyDescent="0.25">
      <c r="A1485" t="s">
        <v>1573</v>
      </c>
      <c r="B1485" s="3" t="s">
        <v>3745</v>
      </c>
    </row>
    <row r="1486" spans="1:2" ht="112" hidden="1" customHeight="1" x14ac:dyDescent="0.25">
      <c r="A1486" t="s">
        <v>1574</v>
      </c>
      <c r="B1486" s="3" t="s">
        <v>6256</v>
      </c>
    </row>
    <row r="1487" spans="1:2" ht="112" hidden="1" customHeight="1" x14ac:dyDescent="0.25">
      <c r="A1487" t="s">
        <v>1575</v>
      </c>
      <c r="B1487" s="3" t="s">
        <v>6500</v>
      </c>
    </row>
    <row r="1488" spans="1:2" ht="112" hidden="1" customHeight="1" x14ac:dyDescent="0.25">
      <c r="A1488" t="s">
        <v>1576</v>
      </c>
      <c r="B1488" s="3" t="s">
        <v>6655</v>
      </c>
    </row>
    <row r="1489" spans="1:2" ht="112" hidden="1" customHeight="1" x14ac:dyDescent="0.25">
      <c r="A1489" t="s">
        <v>1577</v>
      </c>
      <c r="B1489" s="3" t="s">
        <v>6461</v>
      </c>
    </row>
    <row r="1490" spans="1:2" ht="112" hidden="1" customHeight="1" x14ac:dyDescent="0.25">
      <c r="A1490" t="s">
        <v>1579</v>
      </c>
      <c r="B1490" s="3" t="s">
        <v>3746</v>
      </c>
    </row>
    <row r="1491" spans="1:2" ht="112" hidden="1" customHeight="1" x14ac:dyDescent="0.25">
      <c r="A1491" t="s">
        <v>1580</v>
      </c>
      <c r="B1491" s="3" t="s">
        <v>3747</v>
      </c>
    </row>
    <row r="1492" spans="1:2" ht="112" hidden="1" customHeight="1" x14ac:dyDescent="0.25">
      <c r="A1492" t="s">
        <v>1581</v>
      </c>
      <c r="B1492" s="3" t="s">
        <v>6257</v>
      </c>
    </row>
    <row r="1493" spans="1:2" ht="112" hidden="1" customHeight="1" x14ac:dyDescent="0.25">
      <c r="A1493" t="s">
        <v>1582</v>
      </c>
      <c r="B1493" s="3" t="s">
        <v>3748</v>
      </c>
    </row>
    <row r="1494" spans="1:2" ht="112" hidden="1" customHeight="1" x14ac:dyDescent="0.25">
      <c r="A1494" t="s">
        <v>1583</v>
      </c>
      <c r="B1494" s="3" t="s">
        <v>3749</v>
      </c>
    </row>
    <row r="1495" spans="1:2" ht="112" hidden="1" customHeight="1" x14ac:dyDescent="0.25">
      <c r="A1495" t="s">
        <v>1584</v>
      </c>
      <c r="B1495" s="3" t="s">
        <v>3750</v>
      </c>
    </row>
    <row r="1496" spans="1:2" ht="112" hidden="1" customHeight="1" x14ac:dyDescent="0.25">
      <c r="A1496" t="s">
        <v>1585</v>
      </c>
      <c r="B1496" s="3" t="s">
        <v>3751</v>
      </c>
    </row>
    <row r="1497" spans="1:2" ht="112" hidden="1" customHeight="1" x14ac:dyDescent="0.25">
      <c r="A1497" t="s">
        <v>1586</v>
      </c>
      <c r="B1497" s="3" t="s">
        <v>3752</v>
      </c>
    </row>
    <row r="1498" spans="1:2" ht="112" hidden="1" customHeight="1" x14ac:dyDescent="0.25">
      <c r="A1498" t="s">
        <v>1587</v>
      </c>
      <c r="B1498" s="3" t="s">
        <v>3753</v>
      </c>
    </row>
    <row r="1499" spans="1:2" ht="112" hidden="1" customHeight="1" x14ac:dyDescent="0.25">
      <c r="A1499" t="s">
        <v>1590</v>
      </c>
      <c r="B1499" s="3" t="s">
        <v>3754</v>
      </c>
    </row>
    <row r="1500" spans="1:2" ht="112" hidden="1" customHeight="1" x14ac:dyDescent="0.25">
      <c r="A1500" t="s">
        <v>1591</v>
      </c>
      <c r="B1500" s="3" t="s">
        <v>6258</v>
      </c>
    </row>
    <row r="1501" spans="1:2" ht="112" hidden="1" customHeight="1" x14ac:dyDescent="0.25">
      <c r="A1501" t="s">
        <v>1592</v>
      </c>
      <c r="B1501" s="3" t="s">
        <v>6259</v>
      </c>
    </row>
    <row r="1502" spans="1:2" ht="112" hidden="1" customHeight="1" x14ac:dyDescent="0.25">
      <c r="A1502" t="s">
        <v>1593</v>
      </c>
      <c r="B1502" s="3" t="s">
        <v>5799</v>
      </c>
    </row>
    <row r="1503" spans="1:2" ht="112" hidden="1" customHeight="1" x14ac:dyDescent="0.25">
      <c r="A1503" t="s">
        <v>1594</v>
      </c>
      <c r="B1503" s="3" t="s">
        <v>5800</v>
      </c>
    </row>
    <row r="1504" spans="1:2" ht="112" hidden="1" customHeight="1" x14ac:dyDescent="0.25">
      <c r="A1504" t="s">
        <v>1595</v>
      </c>
      <c r="B1504" s="3" t="s">
        <v>3755</v>
      </c>
    </row>
    <row r="1505" spans="1:2" ht="112" hidden="1" customHeight="1" x14ac:dyDescent="0.25">
      <c r="A1505" t="s">
        <v>1596</v>
      </c>
      <c r="B1505" s="3" t="s">
        <v>3756</v>
      </c>
    </row>
    <row r="1506" spans="1:2" ht="112" hidden="1" customHeight="1" x14ac:dyDescent="0.25">
      <c r="A1506" t="s">
        <v>1597</v>
      </c>
      <c r="B1506" s="3" t="s">
        <v>5995</v>
      </c>
    </row>
    <row r="1507" spans="1:2" ht="112" hidden="1" customHeight="1" x14ac:dyDescent="0.25">
      <c r="A1507" t="s">
        <v>1598</v>
      </c>
      <c r="B1507" s="3" t="s">
        <v>5996</v>
      </c>
    </row>
    <row r="1508" spans="1:2" ht="112" hidden="1" customHeight="1" x14ac:dyDescent="0.25">
      <c r="A1508" t="s">
        <v>1599</v>
      </c>
      <c r="B1508" s="3" t="s">
        <v>5997</v>
      </c>
    </row>
    <row r="1509" spans="1:2" ht="112" hidden="1" customHeight="1" x14ac:dyDescent="0.25">
      <c r="A1509" t="s">
        <v>1600</v>
      </c>
      <c r="B1509" s="3" t="s">
        <v>5998</v>
      </c>
    </row>
    <row r="1510" spans="1:2" ht="112" hidden="1" customHeight="1" x14ac:dyDescent="0.25">
      <c r="A1510" t="s">
        <v>1601</v>
      </c>
      <c r="B1510" s="3" t="s">
        <v>5999</v>
      </c>
    </row>
    <row r="1511" spans="1:2" ht="112" hidden="1" customHeight="1" x14ac:dyDescent="0.25">
      <c r="A1511" t="s">
        <v>1602</v>
      </c>
      <c r="B1511" s="3" t="s">
        <v>3757</v>
      </c>
    </row>
    <row r="1512" spans="1:2" ht="112" hidden="1" customHeight="1" x14ac:dyDescent="0.25">
      <c r="A1512" t="s">
        <v>1603</v>
      </c>
      <c r="B1512" s="3" t="s">
        <v>3758</v>
      </c>
    </row>
    <row r="1513" spans="1:2" ht="112" hidden="1" customHeight="1" x14ac:dyDescent="0.25">
      <c r="A1513" t="s">
        <v>1604</v>
      </c>
      <c r="B1513" s="3" t="s">
        <v>3759</v>
      </c>
    </row>
    <row r="1514" spans="1:2" ht="112" hidden="1" customHeight="1" x14ac:dyDescent="0.25">
      <c r="A1514" t="s">
        <v>1605</v>
      </c>
      <c r="B1514" s="3" t="s">
        <v>3760</v>
      </c>
    </row>
    <row r="1515" spans="1:2" ht="112" hidden="1" customHeight="1" x14ac:dyDescent="0.25">
      <c r="A1515" t="s">
        <v>1606</v>
      </c>
      <c r="B1515" s="3" t="s">
        <v>3761</v>
      </c>
    </row>
    <row r="1516" spans="1:2" ht="112" hidden="1" customHeight="1" x14ac:dyDescent="0.25">
      <c r="A1516" t="s">
        <v>1607</v>
      </c>
      <c r="B1516" s="3" t="s">
        <v>6000</v>
      </c>
    </row>
    <row r="1517" spans="1:2" ht="112" hidden="1" customHeight="1" x14ac:dyDescent="0.25">
      <c r="A1517" t="s">
        <v>1608</v>
      </c>
      <c r="B1517" s="3" t="s">
        <v>3762</v>
      </c>
    </row>
    <row r="1518" spans="1:2" ht="112" hidden="1" customHeight="1" x14ac:dyDescent="0.25">
      <c r="A1518" t="s">
        <v>1609</v>
      </c>
      <c r="B1518" s="3" t="s">
        <v>3763</v>
      </c>
    </row>
    <row r="1519" spans="1:2" ht="112" hidden="1" customHeight="1" x14ac:dyDescent="0.25">
      <c r="A1519" t="s">
        <v>1610</v>
      </c>
      <c r="B1519" s="3" t="s">
        <v>3764</v>
      </c>
    </row>
    <row r="1520" spans="1:2" ht="112" hidden="1" customHeight="1" x14ac:dyDescent="0.25">
      <c r="A1520" t="s">
        <v>2545</v>
      </c>
      <c r="B1520" s="3" t="s">
        <v>6501</v>
      </c>
    </row>
    <row r="1521" spans="1:2" ht="112" hidden="1" customHeight="1" x14ac:dyDescent="0.25">
      <c r="A1521" t="s">
        <v>2582</v>
      </c>
      <c r="B1521" s="3" t="s">
        <v>6502</v>
      </c>
    </row>
    <row r="1522" spans="1:2" ht="112" hidden="1" customHeight="1" x14ac:dyDescent="0.25">
      <c r="A1522" t="s">
        <v>1612</v>
      </c>
      <c r="B1522" s="3" t="s">
        <v>6462</v>
      </c>
    </row>
    <row r="1523" spans="1:2" ht="112" hidden="1" customHeight="1" x14ac:dyDescent="0.25">
      <c r="A1523" t="s">
        <v>1613</v>
      </c>
      <c r="B1523" s="3" t="s">
        <v>3765</v>
      </c>
    </row>
    <row r="1524" spans="1:2" ht="112" hidden="1" customHeight="1" x14ac:dyDescent="0.25">
      <c r="A1524" t="s">
        <v>1614</v>
      </c>
      <c r="B1524" s="3" t="s">
        <v>3766</v>
      </c>
    </row>
    <row r="1525" spans="1:2" ht="112" hidden="1" customHeight="1" x14ac:dyDescent="0.25">
      <c r="A1525" t="s">
        <v>1615</v>
      </c>
      <c r="B1525" s="3" t="s">
        <v>6656</v>
      </c>
    </row>
    <row r="1526" spans="1:2" ht="112" hidden="1" customHeight="1" x14ac:dyDescent="0.25">
      <c r="A1526" t="s">
        <v>1616</v>
      </c>
      <c r="B1526" s="3" t="s">
        <v>5846</v>
      </c>
    </row>
    <row r="1527" spans="1:2" ht="112" hidden="1" customHeight="1" x14ac:dyDescent="0.25">
      <c r="A1527" t="s">
        <v>1617</v>
      </c>
      <c r="B1527" s="3" t="s">
        <v>3767</v>
      </c>
    </row>
    <row r="1528" spans="1:2" ht="112" hidden="1" customHeight="1" x14ac:dyDescent="0.25">
      <c r="A1528" t="s">
        <v>1618</v>
      </c>
      <c r="B1528" s="3" t="s">
        <v>3768</v>
      </c>
    </row>
    <row r="1529" spans="1:2" ht="112" hidden="1" customHeight="1" x14ac:dyDescent="0.25">
      <c r="A1529" t="s">
        <v>1619</v>
      </c>
      <c r="B1529" s="3" t="s">
        <v>3769</v>
      </c>
    </row>
    <row r="1530" spans="1:2" ht="112" hidden="1" customHeight="1" x14ac:dyDescent="0.25">
      <c r="A1530" t="s">
        <v>1620</v>
      </c>
      <c r="B1530" s="3" t="s">
        <v>3770</v>
      </c>
    </row>
    <row r="1531" spans="1:2" ht="112" hidden="1" customHeight="1" x14ac:dyDescent="0.25">
      <c r="A1531" t="s">
        <v>1621</v>
      </c>
      <c r="B1531" s="3" t="s">
        <v>6001</v>
      </c>
    </row>
    <row r="1532" spans="1:2" ht="112" hidden="1" customHeight="1" x14ac:dyDescent="0.25">
      <c r="A1532" t="s">
        <v>1622</v>
      </c>
      <c r="B1532" s="3" t="s">
        <v>6002</v>
      </c>
    </row>
    <row r="1533" spans="1:2" ht="112" hidden="1" customHeight="1" x14ac:dyDescent="0.25">
      <c r="A1533" t="s">
        <v>1623</v>
      </c>
      <c r="B1533" s="3" t="s">
        <v>6003</v>
      </c>
    </row>
    <row r="1534" spans="1:2" ht="112" hidden="1" customHeight="1" x14ac:dyDescent="0.25">
      <c r="A1534" t="s">
        <v>1624</v>
      </c>
      <c r="B1534" s="3" t="s">
        <v>3771</v>
      </c>
    </row>
    <row r="1535" spans="1:2" ht="112" hidden="1" customHeight="1" x14ac:dyDescent="0.25">
      <c r="A1535" t="s">
        <v>1625</v>
      </c>
      <c r="B1535" s="3" t="s">
        <v>3772</v>
      </c>
    </row>
    <row r="1536" spans="1:2" ht="112" hidden="1" customHeight="1" x14ac:dyDescent="0.25">
      <c r="A1536" t="s">
        <v>1626</v>
      </c>
      <c r="B1536" s="3" t="s">
        <v>3773</v>
      </c>
    </row>
    <row r="1537" spans="1:2" ht="112" hidden="1" customHeight="1" x14ac:dyDescent="0.25">
      <c r="A1537" t="s">
        <v>1627</v>
      </c>
      <c r="B1537" s="3" t="s">
        <v>6004</v>
      </c>
    </row>
    <row r="1538" spans="1:2" ht="112" hidden="1" customHeight="1" x14ac:dyDescent="0.25">
      <c r="A1538" t="s">
        <v>1628</v>
      </c>
      <c r="B1538" s="3" t="s">
        <v>6005</v>
      </c>
    </row>
    <row r="1539" spans="1:2" ht="112" hidden="1" customHeight="1" x14ac:dyDescent="0.25">
      <c r="A1539" t="s">
        <v>1629</v>
      </c>
      <c r="B1539" s="3" t="s">
        <v>6006</v>
      </c>
    </row>
    <row r="1540" spans="1:2" ht="112" hidden="1" customHeight="1" x14ac:dyDescent="0.25">
      <c r="A1540" t="s">
        <v>1630</v>
      </c>
      <c r="B1540" s="3" t="s">
        <v>6007</v>
      </c>
    </row>
    <row r="1541" spans="1:2" ht="112" hidden="1" customHeight="1" x14ac:dyDescent="0.25">
      <c r="A1541" t="s">
        <v>2542</v>
      </c>
      <c r="B1541" s="3" t="s">
        <v>3774</v>
      </c>
    </row>
    <row r="1542" spans="1:2" ht="112" hidden="1" customHeight="1" x14ac:dyDescent="0.25">
      <c r="A1542" t="s">
        <v>1631</v>
      </c>
      <c r="B1542" s="3" t="s">
        <v>6008</v>
      </c>
    </row>
    <row r="1543" spans="1:2" ht="112" hidden="1" customHeight="1" x14ac:dyDescent="0.25">
      <c r="A1543" t="s">
        <v>1632</v>
      </c>
      <c r="B1543" s="3" t="s">
        <v>3775</v>
      </c>
    </row>
    <row r="1544" spans="1:2" ht="112" hidden="1" customHeight="1" x14ac:dyDescent="0.25">
      <c r="A1544" t="s">
        <v>1633</v>
      </c>
      <c r="B1544" s="3" t="s">
        <v>6260</v>
      </c>
    </row>
    <row r="1545" spans="1:2" ht="112" hidden="1" customHeight="1" x14ac:dyDescent="0.25">
      <c r="A1545" t="s">
        <v>1634</v>
      </c>
      <c r="B1545" s="3" t="s">
        <v>3776</v>
      </c>
    </row>
    <row r="1546" spans="1:2" ht="112" hidden="1" customHeight="1" x14ac:dyDescent="0.25">
      <c r="A1546" t="s">
        <v>7823</v>
      </c>
      <c r="B1546" s="3" t="s">
        <v>7792</v>
      </c>
    </row>
    <row r="1547" spans="1:2" ht="112" hidden="1" customHeight="1" x14ac:dyDescent="0.25">
      <c r="A1547" t="s">
        <v>1635</v>
      </c>
      <c r="B1547" s="3" t="s">
        <v>3777</v>
      </c>
    </row>
    <row r="1548" spans="1:2" ht="112" hidden="1" customHeight="1" x14ac:dyDescent="0.25">
      <c r="A1548" t="s">
        <v>1636</v>
      </c>
      <c r="B1548" s="3" t="s">
        <v>6261</v>
      </c>
    </row>
    <row r="1549" spans="1:2" ht="112" hidden="1" customHeight="1" x14ac:dyDescent="0.25">
      <c r="A1549" t="s">
        <v>1637</v>
      </c>
      <c r="B1549" s="3" t="s">
        <v>6262</v>
      </c>
    </row>
    <row r="1550" spans="1:2" ht="112" hidden="1" customHeight="1" x14ac:dyDescent="0.25">
      <c r="A1550" t="s">
        <v>1638</v>
      </c>
      <c r="B1550" s="3" t="s">
        <v>3778</v>
      </c>
    </row>
    <row r="1551" spans="1:2" ht="112" hidden="1" customHeight="1" x14ac:dyDescent="0.25">
      <c r="A1551" t="s">
        <v>1639</v>
      </c>
      <c r="B1551" s="3" t="s">
        <v>3779</v>
      </c>
    </row>
    <row r="1552" spans="1:2" ht="112" hidden="1" customHeight="1" x14ac:dyDescent="0.25">
      <c r="A1552" t="s">
        <v>1640</v>
      </c>
      <c r="B1552" s="3" t="s">
        <v>6503</v>
      </c>
    </row>
    <row r="1553" spans="1:2" ht="112" hidden="1" customHeight="1" x14ac:dyDescent="0.25">
      <c r="A1553" t="s">
        <v>1641</v>
      </c>
      <c r="B1553" s="3" t="s">
        <v>6009</v>
      </c>
    </row>
    <row r="1554" spans="1:2" ht="112" hidden="1" customHeight="1" x14ac:dyDescent="0.25">
      <c r="A1554" t="s">
        <v>1642</v>
      </c>
      <c r="B1554" s="3" t="s">
        <v>6263</v>
      </c>
    </row>
    <row r="1555" spans="1:2" ht="112" hidden="1" customHeight="1" x14ac:dyDescent="0.25">
      <c r="A1555" t="s">
        <v>1643</v>
      </c>
      <c r="B1555" s="3" t="s">
        <v>6010</v>
      </c>
    </row>
    <row r="1556" spans="1:2" ht="112" hidden="1" customHeight="1" x14ac:dyDescent="0.25">
      <c r="A1556" t="s">
        <v>1644</v>
      </c>
      <c r="B1556" s="3" t="s">
        <v>6011</v>
      </c>
    </row>
    <row r="1557" spans="1:2" ht="112" hidden="1" customHeight="1" x14ac:dyDescent="0.25">
      <c r="A1557" t="s">
        <v>1645</v>
      </c>
      <c r="B1557" s="3" t="s">
        <v>3780</v>
      </c>
    </row>
    <row r="1558" spans="1:2" ht="112" hidden="1" customHeight="1" x14ac:dyDescent="0.25">
      <c r="A1558" t="s">
        <v>1646</v>
      </c>
      <c r="B1558" s="3" t="s">
        <v>6264</v>
      </c>
    </row>
    <row r="1559" spans="1:2" ht="112" hidden="1" customHeight="1" x14ac:dyDescent="0.25">
      <c r="A1559" t="s">
        <v>1647</v>
      </c>
      <c r="B1559" s="3" t="s">
        <v>6265</v>
      </c>
    </row>
    <row r="1560" spans="1:2" ht="112" hidden="1" customHeight="1" x14ac:dyDescent="0.25">
      <c r="A1560" t="s">
        <v>1648</v>
      </c>
      <c r="B1560" s="3" t="s">
        <v>6266</v>
      </c>
    </row>
    <row r="1561" spans="1:2" ht="112" hidden="1" customHeight="1" x14ac:dyDescent="0.25">
      <c r="A1561" t="s">
        <v>1649</v>
      </c>
      <c r="B1561" s="3" t="s">
        <v>6267</v>
      </c>
    </row>
    <row r="1562" spans="1:2" ht="112" hidden="1" customHeight="1" x14ac:dyDescent="0.25">
      <c r="A1562" t="s">
        <v>1650</v>
      </c>
      <c r="B1562" s="3" t="s">
        <v>6268</v>
      </c>
    </row>
    <row r="1563" spans="1:2" ht="112" hidden="1" customHeight="1" x14ac:dyDescent="0.25">
      <c r="A1563" t="s">
        <v>1651</v>
      </c>
      <c r="B1563" s="3" t="s">
        <v>6269</v>
      </c>
    </row>
    <row r="1564" spans="1:2" ht="112" hidden="1" customHeight="1" x14ac:dyDescent="0.25">
      <c r="A1564" t="s">
        <v>1652</v>
      </c>
      <c r="B1564" s="3" t="s">
        <v>6270</v>
      </c>
    </row>
    <row r="1565" spans="1:2" ht="112" hidden="1" customHeight="1" x14ac:dyDescent="0.25">
      <c r="A1565" t="s">
        <v>1653</v>
      </c>
      <c r="B1565" s="3" t="s">
        <v>6271</v>
      </c>
    </row>
    <row r="1566" spans="1:2" ht="112" hidden="1" customHeight="1" x14ac:dyDescent="0.25">
      <c r="A1566" t="s">
        <v>1654</v>
      </c>
      <c r="B1566" s="3" t="s">
        <v>3781</v>
      </c>
    </row>
    <row r="1567" spans="1:2" ht="112" hidden="1" customHeight="1" x14ac:dyDescent="0.25">
      <c r="A1567" t="s">
        <v>1655</v>
      </c>
      <c r="B1567" s="3" t="s">
        <v>6012</v>
      </c>
    </row>
    <row r="1568" spans="1:2" ht="112" hidden="1" customHeight="1" x14ac:dyDescent="0.25">
      <c r="A1568" t="s">
        <v>1656</v>
      </c>
      <c r="B1568" s="3" t="s">
        <v>6013</v>
      </c>
    </row>
    <row r="1569" spans="1:2" ht="112" hidden="1" customHeight="1" x14ac:dyDescent="0.25">
      <c r="A1569" t="s">
        <v>1655</v>
      </c>
      <c r="B1569" s="3" t="s">
        <v>7480</v>
      </c>
    </row>
    <row r="1570" spans="1:2" ht="112" hidden="1" customHeight="1" x14ac:dyDescent="0.25">
      <c r="A1570" t="s">
        <v>2543</v>
      </c>
      <c r="B1570" s="3" t="s">
        <v>6014</v>
      </c>
    </row>
    <row r="1571" spans="1:2" ht="112" hidden="1" customHeight="1" x14ac:dyDescent="0.25">
      <c r="A1571" t="s">
        <v>2544</v>
      </c>
      <c r="B1571" s="3" t="s">
        <v>6015</v>
      </c>
    </row>
    <row r="1572" spans="1:2" ht="112" hidden="1" customHeight="1" x14ac:dyDescent="0.25">
      <c r="A1572" t="s">
        <v>1657</v>
      </c>
      <c r="B1572" s="3" t="s">
        <v>3782</v>
      </c>
    </row>
    <row r="1573" spans="1:2" ht="112" hidden="1" customHeight="1" x14ac:dyDescent="0.25">
      <c r="A1573" t="s">
        <v>3043</v>
      </c>
      <c r="B1573" s="3" t="s">
        <v>3783</v>
      </c>
    </row>
    <row r="1574" spans="1:2" ht="112" hidden="1" customHeight="1" x14ac:dyDescent="0.25">
      <c r="A1574" t="s">
        <v>1658</v>
      </c>
      <c r="B1574" s="3" t="s">
        <v>6016</v>
      </c>
    </row>
    <row r="1575" spans="1:2" ht="112" hidden="1" customHeight="1" x14ac:dyDescent="0.25">
      <c r="A1575" t="s">
        <v>1659</v>
      </c>
      <c r="B1575" s="3" t="s">
        <v>5847</v>
      </c>
    </row>
    <row r="1576" spans="1:2" ht="112" hidden="1" customHeight="1" x14ac:dyDescent="0.25">
      <c r="A1576" t="s">
        <v>1660</v>
      </c>
      <c r="B1576" s="3" t="s">
        <v>3784</v>
      </c>
    </row>
    <row r="1577" spans="1:2" ht="112" hidden="1" customHeight="1" x14ac:dyDescent="0.25">
      <c r="A1577" t="s">
        <v>1661</v>
      </c>
      <c r="B1577" s="3" t="s">
        <v>3785</v>
      </c>
    </row>
    <row r="1578" spans="1:2" ht="112" hidden="1" customHeight="1" x14ac:dyDescent="0.25">
      <c r="A1578" t="s">
        <v>1662</v>
      </c>
      <c r="B1578" s="3" t="s">
        <v>3786</v>
      </c>
    </row>
    <row r="1579" spans="1:2" ht="112" hidden="1" customHeight="1" x14ac:dyDescent="0.25">
      <c r="A1579" t="s">
        <v>1663</v>
      </c>
      <c r="B1579" s="3" t="s">
        <v>3787</v>
      </c>
    </row>
    <row r="1580" spans="1:2" ht="112" hidden="1" customHeight="1" x14ac:dyDescent="0.25">
      <c r="A1580" t="s">
        <v>1664</v>
      </c>
      <c r="B1580" s="3" t="s">
        <v>3788</v>
      </c>
    </row>
    <row r="1581" spans="1:2" ht="112" hidden="1" customHeight="1" x14ac:dyDescent="0.25">
      <c r="A1581" t="s">
        <v>1665</v>
      </c>
      <c r="B1581" s="3" t="s">
        <v>6017</v>
      </c>
    </row>
    <row r="1582" spans="1:2" ht="112" hidden="1" customHeight="1" x14ac:dyDescent="0.25">
      <c r="A1582" t="s">
        <v>1666</v>
      </c>
      <c r="B1582" s="3" t="s">
        <v>3789</v>
      </c>
    </row>
    <row r="1583" spans="1:2" ht="112" hidden="1" customHeight="1" x14ac:dyDescent="0.25">
      <c r="A1583" t="s">
        <v>1668</v>
      </c>
      <c r="B1583" s="3" t="s">
        <v>3790</v>
      </c>
    </row>
    <row r="1584" spans="1:2" ht="112" hidden="1" customHeight="1" x14ac:dyDescent="0.25">
      <c r="A1584" t="s">
        <v>1669</v>
      </c>
      <c r="B1584" s="3" t="s">
        <v>3791</v>
      </c>
    </row>
    <row r="1585" spans="1:2" ht="112" hidden="1" customHeight="1" x14ac:dyDescent="0.25">
      <c r="A1585" t="s">
        <v>1670</v>
      </c>
      <c r="B1585" s="3" t="s">
        <v>3792</v>
      </c>
    </row>
    <row r="1586" spans="1:2" ht="112" hidden="1" customHeight="1" x14ac:dyDescent="0.25">
      <c r="A1586" t="s">
        <v>1671</v>
      </c>
      <c r="B1586" s="3" t="s">
        <v>3793</v>
      </c>
    </row>
    <row r="1587" spans="1:2" ht="112" hidden="1" customHeight="1" x14ac:dyDescent="0.25">
      <c r="A1587" t="s">
        <v>1672</v>
      </c>
      <c r="B1587" s="3" t="s">
        <v>3794</v>
      </c>
    </row>
    <row r="1588" spans="1:2" ht="112" hidden="1" customHeight="1" x14ac:dyDescent="0.25">
      <c r="A1588" t="s">
        <v>1673</v>
      </c>
      <c r="B1588" s="3" t="s">
        <v>3795</v>
      </c>
    </row>
    <row r="1589" spans="1:2" ht="112" hidden="1" customHeight="1" x14ac:dyDescent="0.25">
      <c r="A1589" t="s">
        <v>1674</v>
      </c>
      <c r="B1589" s="3" t="s">
        <v>3796</v>
      </c>
    </row>
    <row r="1590" spans="1:2" ht="112" hidden="1" customHeight="1" x14ac:dyDescent="0.25">
      <c r="A1590" t="s">
        <v>1675</v>
      </c>
      <c r="B1590" s="3" t="s">
        <v>6272</v>
      </c>
    </row>
    <row r="1591" spans="1:2" ht="112" hidden="1" customHeight="1" x14ac:dyDescent="0.25">
      <c r="A1591" t="s">
        <v>1676</v>
      </c>
      <c r="B1591" s="3" t="s">
        <v>6018</v>
      </c>
    </row>
    <row r="1592" spans="1:2" ht="112" hidden="1" customHeight="1" x14ac:dyDescent="0.25">
      <c r="A1592" t="s">
        <v>1677</v>
      </c>
      <c r="B1592" s="3" t="s">
        <v>3797</v>
      </c>
    </row>
    <row r="1593" spans="1:2" ht="112" hidden="1" customHeight="1" x14ac:dyDescent="0.25">
      <c r="A1593" t="s">
        <v>1678</v>
      </c>
      <c r="B1593" s="3" t="s">
        <v>3798</v>
      </c>
    </row>
    <row r="1594" spans="1:2" ht="112" hidden="1" customHeight="1" x14ac:dyDescent="0.25">
      <c r="A1594" t="s">
        <v>1679</v>
      </c>
      <c r="B1594" s="3" t="s">
        <v>3799</v>
      </c>
    </row>
    <row r="1595" spans="1:2" ht="112" hidden="1" customHeight="1" x14ac:dyDescent="0.25">
      <c r="A1595" t="s">
        <v>1680</v>
      </c>
      <c r="B1595" s="3" t="s">
        <v>3800</v>
      </c>
    </row>
    <row r="1596" spans="1:2" ht="112" hidden="1" customHeight="1" x14ac:dyDescent="0.25">
      <c r="A1596" t="s">
        <v>1681</v>
      </c>
      <c r="B1596" s="3" t="s">
        <v>3801</v>
      </c>
    </row>
    <row r="1597" spans="1:2" ht="112" hidden="1" customHeight="1" x14ac:dyDescent="0.25">
      <c r="A1597" t="s">
        <v>1682</v>
      </c>
      <c r="B1597" s="3" t="s">
        <v>3802</v>
      </c>
    </row>
    <row r="1598" spans="1:2" ht="112" hidden="1" customHeight="1" x14ac:dyDescent="0.25">
      <c r="A1598" t="s">
        <v>1683</v>
      </c>
      <c r="B1598" s="3" t="s">
        <v>6019</v>
      </c>
    </row>
    <row r="1599" spans="1:2" ht="112" hidden="1" customHeight="1" x14ac:dyDescent="0.25">
      <c r="A1599" t="s">
        <v>1684</v>
      </c>
      <c r="B1599" s="3" t="s">
        <v>6020</v>
      </c>
    </row>
    <row r="1600" spans="1:2" ht="112" hidden="1" customHeight="1" x14ac:dyDescent="0.25">
      <c r="A1600" t="s">
        <v>1685</v>
      </c>
      <c r="B1600" s="3" t="s">
        <v>6021</v>
      </c>
    </row>
    <row r="1601" spans="1:2" ht="112" hidden="1" customHeight="1" x14ac:dyDescent="0.25">
      <c r="A1601" t="s">
        <v>1686</v>
      </c>
      <c r="B1601" s="3" t="s">
        <v>3803</v>
      </c>
    </row>
    <row r="1602" spans="1:2" ht="112" hidden="1" customHeight="1" x14ac:dyDescent="0.25">
      <c r="A1602" t="s">
        <v>1687</v>
      </c>
      <c r="B1602" s="3" t="s">
        <v>3804</v>
      </c>
    </row>
    <row r="1603" spans="1:2" ht="112" hidden="1" customHeight="1" x14ac:dyDescent="0.25">
      <c r="A1603" t="s">
        <v>1688</v>
      </c>
      <c r="B1603" s="3" t="s">
        <v>3805</v>
      </c>
    </row>
    <row r="1604" spans="1:2" ht="112" hidden="1" customHeight="1" x14ac:dyDescent="0.25">
      <c r="A1604" t="s">
        <v>1689</v>
      </c>
      <c r="B1604" s="3" t="s">
        <v>3806</v>
      </c>
    </row>
    <row r="1605" spans="1:2" ht="112" hidden="1" customHeight="1" x14ac:dyDescent="0.25">
      <c r="A1605" t="s">
        <v>1690</v>
      </c>
      <c r="B1605" s="3" t="s">
        <v>6022</v>
      </c>
    </row>
    <row r="1606" spans="1:2" ht="112" hidden="1" customHeight="1" x14ac:dyDescent="0.25">
      <c r="A1606" t="s">
        <v>1691</v>
      </c>
      <c r="B1606" s="3" t="s">
        <v>3807</v>
      </c>
    </row>
    <row r="1607" spans="1:2" ht="112" hidden="1" customHeight="1" x14ac:dyDescent="0.25">
      <c r="A1607" t="s">
        <v>1692</v>
      </c>
      <c r="B1607" s="3" t="s">
        <v>3808</v>
      </c>
    </row>
    <row r="1608" spans="1:2" ht="112" hidden="1" customHeight="1" x14ac:dyDescent="0.25">
      <c r="A1608" t="s">
        <v>1693</v>
      </c>
      <c r="B1608" s="3" t="s">
        <v>3809</v>
      </c>
    </row>
    <row r="1609" spans="1:2" ht="112" hidden="1" customHeight="1" x14ac:dyDescent="0.25">
      <c r="A1609" t="s">
        <v>1694</v>
      </c>
      <c r="B1609" s="3" t="s">
        <v>6463</v>
      </c>
    </row>
    <row r="1610" spans="1:2" ht="112" hidden="1" customHeight="1" x14ac:dyDescent="0.25">
      <c r="A1610" t="s">
        <v>1695</v>
      </c>
      <c r="B1610" s="3" t="s">
        <v>3810</v>
      </c>
    </row>
    <row r="1611" spans="1:2" ht="112" hidden="1" customHeight="1" x14ac:dyDescent="0.25">
      <c r="A1611" t="s">
        <v>1696</v>
      </c>
      <c r="B1611" s="3" t="s">
        <v>3811</v>
      </c>
    </row>
    <row r="1612" spans="1:2" ht="112" hidden="1" customHeight="1" x14ac:dyDescent="0.25">
      <c r="A1612" t="s">
        <v>1697</v>
      </c>
      <c r="B1612" s="3" t="s">
        <v>3812</v>
      </c>
    </row>
    <row r="1613" spans="1:2" ht="112" hidden="1" customHeight="1" x14ac:dyDescent="0.25">
      <c r="A1613" t="s">
        <v>1698</v>
      </c>
      <c r="B1613" s="3" t="s">
        <v>6023</v>
      </c>
    </row>
    <row r="1614" spans="1:2" ht="112" hidden="1" customHeight="1" x14ac:dyDescent="0.25">
      <c r="A1614" t="s">
        <v>1699</v>
      </c>
      <c r="B1614" s="3" t="s">
        <v>6024</v>
      </c>
    </row>
    <row r="1615" spans="1:2" ht="112" hidden="1" customHeight="1" x14ac:dyDescent="0.25">
      <c r="A1615" t="s">
        <v>1700</v>
      </c>
      <c r="B1615" s="3" t="s">
        <v>6025</v>
      </c>
    </row>
    <row r="1616" spans="1:2" ht="112" hidden="1" customHeight="1" x14ac:dyDescent="0.25">
      <c r="A1616" t="s">
        <v>1701</v>
      </c>
      <c r="B1616" s="3" t="s">
        <v>6026</v>
      </c>
    </row>
    <row r="1617" spans="1:2" ht="112" hidden="1" customHeight="1" x14ac:dyDescent="0.25">
      <c r="A1617" t="s">
        <v>1702</v>
      </c>
      <c r="B1617" s="3" t="s">
        <v>3813</v>
      </c>
    </row>
    <row r="1618" spans="1:2" ht="112" hidden="1" customHeight="1" x14ac:dyDescent="0.25">
      <c r="A1618" t="s">
        <v>1703</v>
      </c>
      <c r="B1618" s="3" t="s">
        <v>3814</v>
      </c>
    </row>
    <row r="1619" spans="1:2" ht="112" hidden="1" customHeight="1" x14ac:dyDescent="0.25">
      <c r="A1619" t="s">
        <v>1704</v>
      </c>
      <c r="B1619" s="3" t="s">
        <v>3815</v>
      </c>
    </row>
    <row r="1620" spans="1:2" ht="112" hidden="1" customHeight="1" x14ac:dyDescent="0.25">
      <c r="A1620" t="s">
        <v>1705</v>
      </c>
      <c r="B1620" s="3" t="s">
        <v>5801</v>
      </c>
    </row>
    <row r="1621" spans="1:2" ht="112" hidden="1" customHeight="1" x14ac:dyDescent="0.25">
      <c r="A1621" t="s">
        <v>1706</v>
      </c>
      <c r="B1621" s="3" t="s">
        <v>7793</v>
      </c>
    </row>
    <row r="1622" spans="1:2" ht="112" hidden="1" customHeight="1" x14ac:dyDescent="0.25">
      <c r="A1622" t="s">
        <v>1707</v>
      </c>
      <c r="B1622" s="3" t="s">
        <v>6273</v>
      </c>
    </row>
    <row r="1623" spans="1:2" ht="112" hidden="1" customHeight="1" x14ac:dyDescent="0.25">
      <c r="A1623" t="s">
        <v>1708</v>
      </c>
      <c r="B1623" s="3" t="s">
        <v>6027</v>
      </c>
    </row>
    <row r="1624" spans="1:2" ht="112" hidden="1" customHeight="1" x14ac:dyDescent="0.25">
      <c r="A1624" t="s">
        <v>1709</v>
      </c>
      <c r="B1624" s="3" t="s">
        <v>6028</v>
      </c>
    </row>
    <row r="1625" spans="1:2" ht="112" hidden="1" customHeight="1" x14ac:dyDescent="0.25">
      <c r="A1625" t="s">
        <v>1710</v>
      </c>
      <c r="B1625" s="3" t="s">
        <v>6029</v>
      </c>
    </row>
    <row r="1626" spans="1:2" ht="112" hidden="1" customHeight="1" x14ac:dyDescent="0.25">
      <c r="A1626" t="s">
        <v>1711</v>
      </c>
      <c r="B1626" s="3" t="s">
        <v>6030</v>
      </c>
    </row>
    <row r="1627" spans="1:2" ht="112" hidden="1" customHeight="1" x14ac:dyDescent="0.25">
      <c r="A1627" t="s">
        <v>1712</v>
      </c>
      <c r="B1627" s="3" t="s">
        <v>3816</v>
      </c>
    </row>
    <row r="1628" spans="1:2" ht="112" hidden="1" customHeight="1" x14ac:dyDescent="0.25">
      <c r="A1628" t="s">
        <v>1713</v>
      </c>
      <c r="B1628" s="3" t="s">
        <v>6031</v>
      </c>
    </row>
    <row r="1629" spans="1:2" ht="112" hidden="1" customHeight="1" x14ac:dyDescent="0.25">
      <c r="A1629" t="s">
        <v>1714</v>
      </c>
      <c r="B1629" s="3" t="s">
        <v>6657</v>
      </c>
    </row>
    <row r="1630" spans="1:2" ht="112" hidden="1" customHeight="1" x14ac:dyDescent="0.25">
      <c r="A1630" t="s">
        <v>1715</v>
      </c>
      <c r="B1630" s="3" t="s">
        <v>6658</v>
      </c>
    </row>
    <row r="1631" spans="1:2" ht="112" hidden="1" customHeight="1" x14ac:dyDescent="0.25">
      <c r="A1631" t="s">
        <v>1716</v>
      </c>
      <c r="B1631" s="3" t="s">
        <v>6659</v>
      </c>
    </row>
    <row r="1632" spans="1:2" ht="112" hidden="1" customHeight="1" x14ac:dyDescent="0.25">
      <c r="A1632" t="s">
        <v>1717</v>
      </c>
      <c r="B1632" s="3" t="s">
        <v>3817</v>
      </c>
    </row>
    <row r="1633" spans="1:2" ht="112" hidden="1" customHeight="1" x14ac:dyDescent="0.25">
      <c r="A1633" t="s">
        <v>3044</v>
      </c>
      <c r="B1633" s="3" t="s">
        <v>3818</v>
      </c>
    </row>
    <row r="1634" spans="1:2" ht="112" hidden="1" customHeight="1" x14ac:dyDescent="0.25">
      <c r="A1634" t="s">
        <v>1718</v>
      </c>
      <c r="B1634" s="3" t="s">
        <v>3819</v>
      </c>
    </row>
    <row r="1635" spans="1:2" ht="112" hidden="1" customHeight="1" x14ac:dyDescent="0.25">
      <c r="A1635" t="s">
        <v>1719</v>
      </c>
      <c r="B1635" s="3" t="s">
        <v>6032</v>
      </c>
    </row>
    <row r="1636" spans="1:2" ht="112" hidden="1" customHeight="1" x14ac:dyDescent="0.25">
      <c r="A1636" t="s">
        <v>1720</v>
      </c>
      <c r="B1636" s="3" t="s">
        <v>3820</v>
      </c>
    </row>
    <row r="1637" spans="1:2" ht="112" hidden="1" customHeight="1" x14ac:dyDescent="0.25">
      <c r="A1637" t="s">
        <v>1721</v>
      </c>
      <c r="B1637" s="3" t="s">
        <v>3821</v>
      </c>
    </row>
    <row r="1638" spans="1:2" ht="112" hidden="1" customHeight="1" x14ac:dyDescent="0.25">
      <c r="A1638" t="s">
        <v>1722</v>
      </c>
      <c r="B1638" s="3" t="s">
        <v>3822</v>
      </c>
    </row>
    <row r="1639" spans="1:2" ht="112" hidden="1" customHeight="1" x14ac:dyDescent="0.25">
      <c r="A1639" t="s">
        <v>1723</v>
      </c>
      <c r="B1639" s="3" t="s">
        <v>3823</v>
      </c>
    </row>
    <row r="1640" spans="1:2" ht="112" hidden="1" customHeight="1" x14ac:dyDescent="0.25">
      <c r="A1640" t="s">
        <v>1724</v>
      </c>
      <c r="B1640" s="3" t="s">
        <v>3824</v>
      </c>
    </row>
    <row r="1641" spans="1:2" ht="112" hidden="1" customHeight="1" x14ac:dyDescent="0.25">
      <c r="A1641" t="s">
        <v>1725</v>
      </c>
      <c r="B1641" s="3" t="s">
        <v>6504</v>
      </c>
    </row>
    <row r="1642" spans="1:2" ht="112" hidden="1" customHeight="1" x14ac:dyDescent="0.25">
      <c r="A1642" t="s">
        <v>1726</v>
      </c>
      <c r="B1642" s="3" t="s">
        <v>3825</v>
      </c>
    </row>
    <row r="1643" spans="1:2" ht="112" hidden="1" customHeight="1" x14ac:dyDescent="0.25">
      <c r="A1643" t="s">
        <v>1727</v>
      </c>
      <c r="B1643" s="3" t="s">
        <v>3826</v>
      </c>
    </row>
    <row r="1644" spans="1:2" ht="112" hidden="1" customHeight="1" x14ac:dyDescent="0.25">
      <c r="A1644" t="s">
        <v>1728</v>
      </c>
      <c r="B1644" s="3" t="s">
        <v>3827</v>
      </c>
    </row>
    <row r="1645" spans="1:2" ht="112" hidden="1" customHeight="1" x14ac:dyDescent="0.25">
      <c r="A1645" t="s">
        <v>1729</v>
      </c>
      <c r="B1645" s="3" t="s">
        <v>3828</v>
      </c>
    </row>
    <row r="1646" spans="1:2" ht="112" hidden="1" customHeight="1" x14ac:dyDescent="0.25">
      <c r="A1646" t="s">
        <v>1730</v>
      </c>
      <c r="B1646" s="3" t="s">
        <v>3829</v>
      </c>
    </row>
    <row r="1647" spans="1:2" ht="112" hidden="1" customHeight="1" x14ac:dyDescent="0.25">
      <c r="A1647" t="s">
        <v>1731</v>
      </c>
      <c r="B1647" s="3" t="s">
        <v>3830</v>
      </c>
    </row>
    <row r="1648" spans="1:2" ht="112" hidden="1" customHeight="1" x14ac:dyDescent="0.25">
      <c r="A1648" t="s">
        <v>1732</v>
      </c>
      <c r="B1648" s="3" t="s">
        <v>3831</v>
      </c>
    </row>
    <row r="1649" spans="1:2" ht="112" hidden="1" customHeight="1" x14ac:dyDescent="0.25">
      <c r="A1649" t="s">
        <v>1733</v>
      </c>
      <c r="B1649" s="3" t="s">
        <v>5848</v>
      </c>
    </row>
    <row r="1650" spans="1:2" ht="112" hidden="1" customHeight="1" x14ac:dyDescent="0.25">
      <c r="A1650" t="s">
        <v>1734</v>
      </c>
      <c r="B1650" s="3" t="s">
        <v>5849</v>
      </c>
    </row>
    <row r="1651" spans="1:2" ht="112" hidden="1" customHeight="1" x14ac:dyDescent="0.25">
      <c r="A1651" t="s">
        <v>1735</v>
      </c>
      <c r="B1651" s="3" t="s">
        <v>3832</v>
      </c>
    </row>
    <row r="1652" spans="1:2" ht="112" hidden="1" customHeight="1" x14ac:dyDescent="0.25">
      <c r="A1652" t="s">
        <v>1736</v>
      </c>
      <c r="B1652" s="3" t="s">
        <v>3833</v>
      </c>
    </row>
    <row r="1653" spans="1:2" ht="112" hidden="1" customHeight="1" x14ac:dyDescent="0.25">
      <c r="A1653" t="s">
        <v>1737</v>
      </c>
      <c r="B1653" s="3" t="s">
        <v>3834</v>
      </c>
    </row>
    <row r="1654" spans="1:2" ht="112" hidden="1" customHeight="1" x14ac:dyDescent="0.25">
      <c r="A1654" t="s">
        <v>1738</v>
      </c>
      <c r="B1654" s="3" t="s">
        <v>3835</v>
      </c>
    </row>
    <row r="1655" spans="1:2" ht="112" hidden="1" customHeight="1" x14ac:dyDescent="0.25">
      <c r="A1655" t="s">
        <v>1739</v>
      </c>
      <c r="B1655" s="3" t="s">
        <v>3836</v>
      </c>
    </row>
    <row r="1656" spans="1:2" ht="112" hidden="1" customHeight="1" x14ac:dyDescent="0.25">
      <c r="A1656" t="s">
        <v>1740</v>
      </c>
      <c r="B1656" s="3" t="s">
        <v>11029</v>
      </c>
    </row>
    <row r="1657" spans="1:2" ht="112" hidden="1" customHeight="1" x14ac:dyDescent="0.25">
      <c r="A1657" t="s">
        <v>1741</v>
      </c>
      <c r="B1657" s="3" t="s">
        <v>3837</v>
      </c>
    </row>
    <row r="1658" spans="1:2" ht="112" hidden="1" customHeight="1" x14ac:dyDescent="0.25">
      <c r="A1658" t="s">
        <v>1742</v>
      </c>
      <c r="B1658" s="3" t="s">
        <v>3838</v>
      </c>
    </row>
    <row r="1659" spans="1:2" ht="112" hidden="1" customHeight="1" x14ac:dyDescent="0.25">
      <c r="A1659" t="s">
        <v>1743</v>
      </c>
      <c r="B1659" s="3" t="s">
        <v>6274</v>
      </c>
    </row>
    <row r="1660" spans="1:2" ht="112" hidden="1" customHeight="1" x14ac:dyDescent="0.25">
      <c r="A1660" t="s">
        <v>1744</v>
      </c>
      <c r="B1660" s="3" t="s">
        <v>6275</v>
      </c>
    </row>
    <row r="1661" spans="1:2" ht="112" hidden="1" customHeight="1" x14ac:dyDescent="0.25">
      <c r="A1661" t="s">
        <v>1745</v>
      </c>
      <c r="B1661" s="3" t="s">
        <v>3839</v>
      </c>
    </row>
    <row r="1662" spans="1:2" ht="112" hidden="1" customHeight="1" x14ac:dyDescent="0.25">
      <c r="A1662" t="s">
        <v>1746</v>
      </c>
      <c r="B1662" s="3" t="s">
        <v>3840</v>
      </c>
    </row>
    <row r="1663" spans="1:2" ht="112" hidden="1" customHeight="1" x14ac:dyDescent="0.25">
      <c r="A1663" t="s">
        <v>1747</v>
      </c>
      <c r="B1663" s="3" t="s">
        <v>3841</v>
      </c>
    </row>
    <row r="1664" spans="1:2" ht="112" hidden="1" customHeight="1" x14ac:dyDescent="0.25">
      <c r="A1664" t="s">
        <v>1748</v>
      </c>
      <c r="B1664" s="3" t="s">
        <v>3842</v>
      </c>
    </row>
    <row r="1665" spans="1:2" ht="112" hidden="1" customHeight="1" x14ac:dyDescent="0.25">
      <c r="A1665" t="s">
        <v>1749</v>
      </c>
      <c r="B1665" s="3" t="s">
        <v>3843</v>
      </c>
    </row>
    <row r="1666" spans="1:2" ht="112" hidden="1" customHeight="1" x14ac:dyDescent="0.25">
      <c r="A1666" t="s">
        <v>1750</v>
      </c>
      <c r="B1666" s="3" t="s">
        <v>3844</v>
      </c>
    </row>
    <row r="1667" spans="1:2" ht="112" hidden="1" customHeight="1" x14ac:dyDescent="0.25">
      <c r="A1667" t="s">
        <v>1751</v>
      </c>
      <c r="B1667" s="3" t="s">
        <v>3845</v>
      </c>
    </row>
    <row r="1668" spans="1:2" ht="112" hidden="1" customHeight="1" x14ac:dyDescent="0.25">
      <c r="A1668" t="s">
        <v>1752</v>
      </c>
      <c r="B1668" s="3" t="s">
        <v>3846</v>
      </c>
    </row>
    <row r="1669" spans="1:2" ht="112" hidden="1" customHeight="1" x14ac:dyDescent="0.25">
      <c r="A1669" t="s">
        <v>1753</v>
      </c>
      <c r="B1669" s="3" t="s">
        <v>3847</v>
      </c>
    </row>
    <row r="1670" spans="1:2" ht="112" hidden="1" customHeight="1" x14ac:dyDescent="0.25">
      <c r="A1670" t="s">
        <v>1754</v>
      </c>
      <c r="B1670" s="3" t="s">
        <v>3848</v>
      </c>
    </row>
    <row r="1671" spans="1:2" ht="112" hidden="1" customHeight="1" x14ac:dyDescent="0.25">
      <c r="A1671" t="s">
        <v>1755</v>
      </c>
      <c r="B1671" s="3" t="s">
        <v>3849</v>
      </c>
    </row>
    <row r="1672" spans="1:2" ht="112" hidden="1" customHeight="1" x14ac:dyDescent="0.25">
      <c r="A1672" t="s">
        <v>1756</v>
      </c>
      <c r="B1672" s="3" t="s">
        <v>3850</v>
      </c>
    </row>
    <row r="1673" spans="1:2" ht="112" hidden="1" customHeight="1" x14ac:dyDescent="0.25">
      <c r="A1673" t="s">
        <v>1757</v>
      </c>
      <c r="B1673" s="3" t="s">
        <v>3851</v>
      </c>
    </row>
    <row r="1674" spans="1:2" ht="112" hidden="1" customHeight="1" x14ac:dyDescent="0.25">
      <c r="A1674" t="s">
        <v>1758</v>
      </c>
      <c r="B1674" s="3" t="s">
        <v>3852</v>
      </c>
    </row>
    <row r="1675" spans="1:2" ht="112" hidden="1" customHeight="1" x14ac:dyDescent="0.25">
      <c r="A1675" t="s">
        <v>1759</v>
      </c>
      <c r="B1675" s="3" t="s">
        <v>3853</v>
      </c>
    </row>
    <row r="1676" spans="1:2" ht="112" hidden="1" customHeight="1" x14ac:dyDescent="0.25">
      <c r="A1676" t="s">
        <v>1760</v>
      </c>
      <c r="B1676" s="3" t="s">
        <v>3854</v>
      </c>
    </row>
    <row r="1677" spans="1:2" ht="112" hidden="1" customHeight="1" x14ac:dyDescent="0.25">
      <c r="A1677" t="s">
        <v>1761</v>
      </c>
      <c r="B1677" s="3" t="s">
        <v>3855</v>
      </c>
    </row>
    <row r="1678" spans="1:2" ht="112" hidden="1" customHeight="1" x14ac:dyDescent="0.25">
      <c r="A1678" t="s">
        <v>2549</v>
      </c>
      <c r="B1678" s="3" t="s">
        <v>3856</v>
      </c>
    </row>
    <row r="1679" spans="1:2" ht="112" hidden="1" customHeight="1" x14ac:dyDescent="0.25">
      <c r="A1679" t="s">
        <v>1762</v>
      </c>
      <c r="B1679" s="3" t="s">
        <v>3857</v>
      </c>
    </row>
    <row r="1680" spans="1:2" ht="112" hidden="1" customHeight="1" x14ac:dyDescent="0.25">
      <c r="A1680" t="s">
        <v>1763</v>
      </c>
      <c r="B1680" s="3" t="s">
        <v>3858</v>
      </c>
    </row>
    <row r="1681" spans="1:2" ht="112" hidden="1" customHeight="1" x14ac:dyDescent="0.25">
      <c r="A1681" t="s">
        <v>1764</v>
      </c>
      <c r="B1681" s="3" t="s">
        <v>3859</v>
      </c>
    </row>
    <row r="1682" spans="1:2" ht="112" hidden="1" customHeight="1" x14ac:dyDescent="0.25">
      <c r="A1682" t="s">
        <v>1765</v>
      </c>
      <c r="B1682" s="3" t="s">
        <v>3860</v>
      </c>
    </row>
    <row r="1683" spans="1:2" ht="112" hidden="1" customHeight="1" x14ac:dyDescent="0.25">
      <c r="A1683" t="s">
        <v>1766</v>
      </c>
      <c r="B1683" s="3" t="s">
        <v>8573</v>
      </c>
    </row>
    <row r="1684" spans="1:2" ht="112" hidden="1" customHeight="1" x14ac:dyDescent="0.25">
      <c r="A1684" t="s">
        <v>1767</v>
      </c>
      <c r="B1684" s="3" t="s">
        <v>3861</v>
      </c>
    </row>
    <row r="1685" spans="1:2" ht="112" hidden="1" customHeight="1" x14ac:dyDescent="0.25">
      <c r="A1685" t="s">
        <v>1768</v>
      </c>
      <c r="B1685" s="3" t="s">
        <v>3862</v>
      </c>
    </row>
    <row r="1686" spans="1:2" ht="112" hidden="1" customHeight="1" x14ac:dyDescent="0.25">
      <c r="A1686" t="s">
        <v>1769</v>
      </c>
      <c r="B1686" s="3" t="s">
        <v>5802</v>
      </c>
    </row>
    <row r="1687" spans="1:2" ht="112" hidden="1" customHeight="1" x14ac:dyDescent="0.25">
      <c r="A1687" t="s">
        <v>1770</v>
      </c>
      <c r="B1687" s="3" t="s">
        <v>3863</v>
      </c>
    </row>
    <row r="1688" spans="1:2" ht="112" hidden="1" customHeight="1" x14ac:dyDescent="0.25">
      <c r="A1688" t="s">
        <v>1771</v>
      </c>
      <c r="B1688" s="3" t="s">
        <v>6033</v>
      </c>
    </row>
    <row r="1689" spans="1:2" ht="112" hidden="1" customHeight="1" x14ac:dyDescent="0.25">
      <c r="A1689" t="s">
        <v>1772</v>
      </c>
      <c r="B1689" s="3" t="s">
        <v>6034</v>
      </c>
    </row>
    <row r="1690" spans="1:2" ht="112" hidden="1" customHeight="1" x14ac:dyDescent="0.25">
      <c r="A1690" t="s">
        <v>1773</v>
      </c>
      <c r="B1690" s="3" t="s">
        <v>6035</v>
      </c>
    </row>
    <row r="1691" spans="1:2" ht="112" hidden="1" customHeight="1" x14ac:dyDescent="0.25">
      <c r="A1691" t="s">
        <v>1774</v>
      </c>
      <c r="B1691" s="3" t="s">
        <v>3864</v>
      </c>
    </row>
    <row r="1692" spans="1:2" ht="112" hidden="1" customHeight="1" x14ac:dyDescent="0.25">
      <c r="A1692" t="s">
        <v>1775</v>
      </c>
      <c r="B1692" s="3" t="s">
        <v>3865</v>
      </c>
    </row>
    <row r="1693" spans="1:2" ht="112" hidden="1" customHeight="1" x14ac:dyDescent="0.25">
      <c r="A1693" t="s">
        <v>1776</v>
      </c>
      <c r="B1693" s="3" t="s">
        <v>3866</v>
      </c>
    </row>
    <row r="1694" spans="1:2" ht="112" hidden="1" customHeight="1" x14ac:dyDescent="0.25">
      <c r="A1694" t="s">
        <v>1777</v>
      </c>
      <c r="B1694" s="3" t="s">
        <v>6404</v>
      </c>
    </row>
    <row r="1695" spans="1:2" ht="112" hidden="1" customHeight="1" x14ac:dyDescent="0.25">
      <c r="A1695" t="s">
        <v>1778</v>
      </c>
      <c r="B1695" s="3" t="s">
        <v>3867</v>
      </c>
    </row>
    <row r="1696" spans="1:2" ht="112" hidden="1" customHeight="1" x14ac:dyDescent="0.25">
      <c r="A1696" t="s">
        <v>1779</v>
      </c>
      <c r="B1696" s="3" t="s">
        <v>3868</v>
      </c>
    </row>
    <row r="1697" spans="1:2" ht="112" hidden="1" customHeight="1" x14ac:dyDescent="0.25">
      <c r="A1697" t="s">
        <v>1780</v>
      </c>
      <c r="B1697" s="3" t="s">
        <v>3869</v>
      </c>
    </row>
    <row r="1698" spans="1:2" ht="112" hidden="1" customHeight="1" x14ac:dyDescent="0.25">
      <c r="A1698" t="s">
        <v>1781</v>
      </c>
      <c r="B1698" s="3" t="s">
        <v>3870</v>
      </c>
    </row>
    <row r="1699" spans="1:2" ht="112" hidden="1" customHeight="1" x14ac:dyDescent="0.25">
      <c r="A1699" t="s">
        <v>1782</v>
      </c>
      <c r="B1699" s="3" t="s">
        <v>6405</v>
      </c>
    </row>
    <row r="1700" spans="1:2" ht="112" hidden="1" customHeight="1" x14ac:dyDescent="0.25">
      <c r="A1700" t="s">
        <v>1783</v>
      </c>
      <c r="B1700" s="3" t="s">
        <v>6406</v>
      </c>
    </row>
    <row r="1701" spans="1:2" ht="112" hidden="1" customHeight="1" x14ac:dyDescent="0.25">
      <c r="A1701" t="s">
        <v>1784</v>
      </c>
      <c r="B1701" s="3" t="s">
        <v>6407</v>
      </c>
    </row>
    <row r="1702" spans="1:2" ht="112" hidden="1" customHeight="1" x14ac:dyDescent="0.25">
      <c r="A1702" t="s">
        <v>1785</v>
      </c>
      <c r="B1702" s="3" t="s">
        <v>3871</v>
      </c>
    </row>
    <row r="1703" spans="1:2" ht="112" hidden="1" customHeight="1" x14ac:dyDescent="0.25">
      <c r="A1703" t="s">
        <v>1786</v>
      </c>
      <c r="B1703" s="3" t="s">
        <v>3872</v>
      </c>
    </row>
    <row r="1704" spans="1:2" ht="112" hidden="1" customHeight="1" x14ac:dyDescent="0.25">
      <c r="A1704" t="s">
        <v>1787</v>
      </c>
      <c r="B1704" s="3" t="s">
        <v>3873</v>
      </c>
    </row>
    <row r="1705" spans="1:2" ht="112" hidden="1" customHeight="1" x14ac:dyDescent="0.25">
      <c r="A1705" t="s">
        <v>1788</v>
      </c>
      <c r="B1705" s="3" t="s">
        <v>3874</v>
      </c>
    </row>
    <row r="1706" spans="1:2" ht="112" hidden="1" customHeight="1" x14ac:dyDescent="0.25">
      <c r="A1706" t="s">
        <v>1789</v>
      </c>
      <c r="B1706" s="3" t="s">
        <v>3875</v>
      </c>
    </row>
    <row r="1707" spans="1:2" ht="112" hidden="1" customHeight="1" x14ac:dyDescent="0.25">
      <c r="A1707" t="s">
        <v>1790</v>
      </c>
      <c r="B1707" s="3" t="s">
        <v>3876</v>
      </c>
    </row>
    <row r="1708" spans="1:2" ht="112" hidden="1" customHeight="1" x14ac:dyDescent="0.25">
      <c r="A1708" t="s">
        <v>1791</v>
      </c>
      <c r="B1708" s="3" t="s">
        <v>3877</v>
      </c>
    </row>
    <row r="1709" spans="1:2" ht="112" hidden="1" customHeight="1" x14ac:dyDescent="0.25">
      <c r="A1709" t="s">
        <v>1792</v>
      </c>
      <c r="B1709" s="3" t="s">
        <v>3878</v>
      </c>
    </row>
    <row r="1710" spans="1:2" ht="112" hidden="1" customHeight="1" x14ac:dyDescent="0.25">
      <c r="A1710" t="s">
        <v>1793</v>
      </c>
      <c r="B1710" s="3" t="s">
        <v>3879</v>
      </c>
    </row>
    <row r="1711" spans="1:2" ht="112" hidden="1" customHeight="1" x14ac:dyDescent="0.25">
      <c r="A1711" t="s">
        <v>1794</v>
      </c>
      <c r="B1711" s="3" t="s">
        <v>3880</v>
      </c>
    </row>
    <row r="1712" spans="1:2" ht="112" hidden="1" customHeight="1" x14ac:dyDescent="0.25">
      <c r="A1712" t="s">
        <v>1795</v>
      </c>
      <c r="B1712" s="3" t="s">
        <v>3881</v>
      </c>
    </row>
    <row r="1713" spans="1:2" ht="112" hidden="1" customHeight="1" x14ac:dyDescent="0.25">
      <c r="A1713" t="s">
        <v>1796</v>
      </c>
      <c r="B1713" s="3" t="s">
        <v>3882</v>
      </c>
    </row>
    <row r="1714" spans="1:2" ht="112" hidden="1" customHeight="1" x14ac:dyDescent="0.25">
      <c r="A1714" t="s">
        <v>1797</v>
      </c>
      <c r="B1714" s="3" t="s">
        <v>3883</v>
      </c>
    </row>
    <row r="1715" spans="1:2" ht="112" hidden="1" customHeight="1" x14ac:dyDescent="0.25">
      <c r="A1715" t="s">
        <v>1798</v>
      </c>
      <c r="B1715" s="3" t="s">
        <v>3884</v>
      </c>
    </row>
    <row r="1716" spans="1:2" ht="112" hidden="1" customHeight="1" x14ac:dyDescent="0.25">
      <c r="A1716" t="s">
        <v>1799</v>
      </c>
      <c r="B1716" s="3" t="s">
        <v>3885</v>
      </c>
    </row>
    <row r="1717" spans="1:2" ht="112" hidden="1" customHeight="1" x14ac:dyDescent="0.25">
      <c r="A1717" t="s">
        <v>1800</v>
      </c>
      <c r="B1717" s="3" t="s">
        <v>6276</v>
      </c>
    </row>
    <row r="1718" spans="1:2" ht="112" hidden="1" customHeight="1" x14ac:dyDescent="0.25">
      <c r="A1718" t="s">
        <v>1801</v>
      </c>
      <c r="B1718" s="3" t="s">
        <v>6277</v>
      </c>
    </row>
    <row r="1719" spans="1:2" ht="112" hidden="1" customHeight="1" x14ac:dyDescent="0.25">
      <c r="A1719" t="s">
        <v>1802</v>
      </c>
      <c r="B1719" s="3" t="s">
        <v>6278</v>
      </c>
    </row>
    <row r="1720" spans="1:2" ht="112" hidden="1" customHeight="1" x14ac:dyDescent="0.25">
      <c r="A1720" t="s">
        <v>1803</v>
      </c>
      <c r="B1720" s="3" t="s">
        <v>6036</v>
      </c>
    </row>
    <row r="1721" spans="1:2" ht="112" hidden="1" customHeight="1" x14ac:dyDescent="0.25">
      <c r="A1721" t="s">
        <v>1804</v>
      </c>
      <c r="B1721" s="3" t="s">
        <v>6660</v>
      </c>
    </row>
    <row r="1722" spans="1:2" ht="112" hidden="1" customHeight="1" x14ac:dyDescent="0.25">
      <c r="A1722" t="s">
        <v>1805</v>
      </c>
      <c r="B1722" s="3" t="s">
        <v>6661</v>
      </c>
    </row>
    <row r="1723" spans="1:2" ht="112" hidden="1" customHeight="1" x14ac:dyDescent="0.25">
      <c r="A1723" t="s">
        <v>1806</v>
      </c>
      <c r="B1723" s="3" t="s">
        <v>3886</v>
      </c>
    </row>
    <row r="1724" spans="1:2" ht="112" hidden="1" customHeight="1" x14ac:dyDescent="0.25">
      <c r="A1724" t="s">
        <v>1807</v>
      </c>
      <c r="B1724" s="3" t="s">
        <v>3887</v>
      </c>
    </row>
    <row r="1725" spans="1:2" ht="112" hidden="1" customHeight="1" x14ac:dyDescent="0.25">
      <c r="A1725" t="s">
        <v>1808</v>
      </c>
      <c r="B1725" s="3" t="s">
        <v>6472</v>
      </c>
    </row>
    <row r="1726" spans="1:2" ht="112" hidden="1" customHeight="1" x14ac:dyDescent="0.25">
      <c r="A1726" t="s">
        <v>1809</v>
      </c>
      <c r="B1726" s="3" t="s">
        <v>3888</v>
      </c>
    </row>
    <row r="1727" spans="1:2" ht="112" hidden="1" customHeight="1" x14ac:dyDescent="0.25">
      <c r="A1727" t="s">
        <v>1810</v>
      </c>
      <c r="B1727" s="3" t="s">
        <v>3889</v>
      </c>
    </row>
    <row r="1728" spans="1:2" ht="112" hidden="1" customHeight="1" x14ac:dyDescent="0.25">
      <c r="A1728" t="s">
        <v>1812</v>
      </c>
      <c r="B1728" s="3" t="s">
        <v>3890</v>
      </c>
    </row>
    <row r="1729" spans="1:2" ht="112" hidden="1" customHeight="1" x14ac:dyDescent="0.25">
      <c r="A1729" t="s">
        <v>1813</v>
      </c>
      <c r="B1729" s="3" t="s">
        <v>3891</v>
      </c>
    </row>
    <row r="1730" spans="1:2" ht="112" hidden="1" customHeight="1" x14ac:dyDescent="0.25">
      <c r="A1730" t="s">
        <v>1814</v>
      </c>
      <c r="B1730" s="3" t="s">
        <v>3892</v>
      </c>
    </row>
    <row r="1731" spans="1:2" ht="112" hidden="1" customHeight="1" x14ac:dyDescent="0.25">
      <c r="A1731" t="s">
        <v>1815</v>
      </c>
      <c r="B1731" s="3" t="s">
        <v>3893</v>
      </c>
    </row>
    <row r="1732" spans="1:2" ht="112" hidden="1" customHeight="1" x14ac:dyDescent="0.25">
      <c r="A1732" t="s">
        <v>1816</v>
      </c>
      <c r="B1732" s="3" t="s">
        <v>6408</v>
      </c>
    </row>
    <row r="1733" spans="1:2" ht="112" hidden="1" customHeight="1" x14ac:dyDescent="0.25">
      <c r="A1733" t="s">
        <v>1817</v>
      </c>
      <c r="B1733" s="3" t="s">
        <v>3894</v>
      </c>
    </row>
    <row r="1734" spans="1:2" ht="112" hidden="1" customHeight="1" x14ac:dyDescent="0.25">
      <c r="A1734" t="s">
        <v>1818</v>
      </c>
      <c r="B1734" s="3" t="s">
        <v>6464</v>
      </c>
    </row>
    <row r="1735" spans="1:2" ht="112" hidden="1" customHeight="1" x14ac:dyDescent="0.25">
      <c r="A1735" t="s">
        <v>1819</v>
      </c>
      <c r="B1735" s="3" t="s">
        <v>3895</v>
      </c>
    </row>
    <row r="1736" spans="1:2" ht="112" hidden="1" customHeight="1" x14ac:dyDescent="0.25">
      <c r="A1736" t="s">
        <v>1820</v>
      </c>
      <c r="B1736" s="3" t="s">
        <v>3896</v>
      </c>
    </row>
    <row r="1737" spans="1:2" ht="112" hidden="1" customHeight="1" x14ac:dyDescent="0.25">
      <c r="A1737" t="s">
        <v>1821</v>
      </c>
      <c r="B1737" s="3" t="s">
        <v>6037</v>
      </c>
    </row>
    <row r="1738" spans="1:2" ht="112" hidden="1" customHeight="1" x14ac:dyDescent="0.25">
      <c r="A1738" t="s">
        <v>1822</v>
      </c>
      <c r="B1738" s="3" t="s">
        <v>6662</v>
      </c>
    </row>
    <row r="1739" spans="1:2" ht="112" hidden="1" customHeight="1" x14ac:dyDescent="0.25">
      <c r="A1739" t="s">
        <v>1823</v>
      </c>
      <c r="B1739" s="3" t="s">
        <v>6279</v>
      </c>
    </row>
    <row r="1740" spans="1:2" ht="112" hidden="1" customHeight="1" x14ac:dyDescent="0.25">
      <c r="A1740" t="s">
        <v>1824</v>
      </c>
      <c r="B1740" s="3" t="s">
        <v>3897</v>
      </c>
    </row>
    <row r="1741" spans="1:2" ht="112" hidden="1" customHeight="1" x14ac:dyDescent="0.25">
      <c r="A1741" t="s">
        <v>1824</v>
      </c>
      <c r="B1741" s="3" t="s">
        <v>3898</v>
      </c>
    </row>
    <row r="1742" spans="1:2" ht="112" hidden="1" customHeight="1" x14ac:dyDescent="0.25">
      <c r="A1742" t="s">
        <v>2550</v>
      </c>
      <c r="B1742" s="3" t="s">
        <v>3899</v>
      </c>
    </row>
    <row r="1743" spans="1:2" ht="112" hidden="1" customHeight="1" x14ac:dyDescent="0.25">
      <c r="A1743" t="s">
        <v>2551</v>
      </c>
      <c r="B1743" s="3" t="s">
        <v>3900</v>
      </c>
    </row>
    <row r="1744" spans="1:2" ht="112" hidden="1" customHeight="1" x14ac:dyDescent="0.25">
      <c r="A1744" t="s">
        <v>1825</v>
      </c>
      <c r="B1744" s="3" t="s">
        <v>6663</v>
      </c>
    </row>
    <row r="1745" spans="1:2" ht="112" hidden="1" customHeight="1" x14ac:dyDescent="0.25">
      <c r="A1745" t="s">
        <v>1826</v>
      </c>
      <c r="B1745" s="3" t="s">
        <v>3901</v>
      </c>
    </row>
    <row r="1746" spans="1:2" ht="112" hidden="1" customHeight="1" x14ac:dyDescent="0.25">
      <c r="A1746" t="s">
        <v>1827</v>
      </c>
      <c r="B1746" s="3" t="s">
        <v>6664</v>
      </c>
    </row>
    <row r="1747" spans="1:2" ht="112" hidden="1" customHeight="1" x14ac:dyDescent="0.25">
      <c r="A1747" t="s">
        <v>1828</v>
      </c>
      <c r="B1747" s="3" t="s">
        <v>6665</v>
      </c>
    </row>
    <row r="1748" spans="1:2" ht="112" hidden="1" customHeight="1" x14ac:dyDescent="0.25">
      <c r="A1748" t="s">
        <v>1829</v>
      </c>
      <c r="B1748" s="3" t="s">
        <v>6666</v>
      </c>
    </row>
    <row r="1749" spans="1:2" ht="112" hidden="1" customHeight="1" x14ac:dyDescent="0.25">
      <c r="A1749" t="s">
        <v>1830</v>
      </c>
      <c r="B1749" s="3" t="s">
        <v>3902</v>
      </c>
    </row>
    <row r="1750" spans="1:2" ht="112" hidden="1" customHeight="1" x14ac:dyDescent="0.25">
      <c r="A1750" t="s">
        <v>1831</v>
      </c>
      <c r="B1750" s="3" t="s">
        <v>3903</v>
      </c>
    </row>
    <row r="1751" spans="1:2" ht="112" hidden="1" customHeight="1" x14ac:dyDescent="0.25">
      <c r="A1751" t="s">
        <v>1832</v>
      </c>
      <c r="B1751" s="3" t="s">
        <v>3904</v>
      </c>
    </row>
    <row r="1752" spans="1:2" ht="112" hidden="1" customHeight="1" x14ac:dyDescent="0.25">
      <c r="A1752" t="s">
        <v>1833</v>
      </c>
      <c r="B1752" s="3" t="s">
        <v>7481</v>
      </c>
    </row>
    <row r="1753" spans="1:2" ht="112" hidden="1" customHeight="1" x14ac:dyDescent="0.25">
      <c r="A1753" t="s">
        <v>1834</v>
      </c>
      <c r="B1753" s="3" t="s">
        <v>3905</v>
      </c>
    </row>
    <row r="1754" spans="1:2" ht="112" hidden="1" customHeight="1" x14ac:dyDescent="0.25">
      <c r="A1754" t="s">
        <v>1835</v>
      </c>
      <c r="B1754" s="3" t="s">
        <v>3906</v>
      </c>
    </row>
    <row r="1755" spans="1:2" ht="112" hidden="1" customHeight="1" x14ac:dyDescent="0.25">
      <c r="A1755" t="s">
        <v>1836</v>
      </c>
      <c r="B1755" s="3" t="s">
        <v>3907</v>
      </c>
    </row>
    <row r="1756" spans="1:2" ht="112" hidden="1" customHeight="1" x14ac:dyDescent="0.25">
      <c r="A1756" t="s">
        <v>1837</v>
      </c>
      <c r="B1756" s="3" t="s">
        <v>3908</v>
      </c>
    </row>
    <row r="1757" spans="1:2" ht="112" hidden="1" customHeight="1" x14ac:dyDescent="0.25">
      <c r="A1757" t="s">
        <v>1838</v>
      </c>
      <c r="B1757" s="3" t="s">
        <v>3909</v>
      </c>
    </row>
    <row r="1758" spans="1:2" ht="112" hidden="1" customHeight="1" x14ac:dyDescent="0.25">
      <c r="A1758" t="s">
        <v>1839</v>
      </c>
      <c r="B1758" s="3" t="s">
        <v>6280</v>
      </c>
    </row>
    <row r="1759" spans="1:2" ht="112" hidden="1" customHeight="1" x14ac:dyDescent="0.25">
      <c r="A1759" t="s">
        <v>1841</v>
      </c>
      <c r="B1759" s="3" t="s">
        <v>3910</v>
      </c>
    </row>
    <row r="1760" spans="1:2" ht="112" hidden="1" customHeight="1" x14ac:dyDescent="0.25">
      <c r="A1760" t="s">
        <v>1841</v>
      </c>
      <c r="B1760" s="3" t="s">
        <v>3910</v>
      </c>
    </row>
    <row r="1761" spans="1:2" ht="112" hidden="1" customHeight="1" x14ac:dyDescent="0.25">
      <c r="A1761" t="s">
        <v>1842</v>
      </c>
      <c r="B1761" s="3" t="s">
        <v>6667</v>
      </c>
    </row>
    <row r="1762" spans="1:2" ht="112" hidden="1" customHeight="1" x14ac:dyDescent="0.25">
      <c r="A1762" t="s">
        <v>1843</v>
      </c>
      <c r="B1762" s="3" t="s">
        <v>3911</v>
      </c>
    </row>
    <row r="1763" spans="1:2" ht="112" hidden="1" customHeight="1" x14ac:dyDescent="0.25">
      <c r="A1763" t="s">
        <v>1844</v>
      </c>
      <c r="B1763" s="3" t="s">
        <v>6281</v>
      </c>
    </row>
    <row r="1764" spans="1:2" ht="112" hidden="1" customHeight="1" x14ac:dyDescent="0.25">
      <c r="A1764" t="s">
        <v>1845</v>
      </c>
      <c r="B1764" s="3" t="s">
        <v>3912</v>
      </c>
    </row>
    <row r="1765" spans="1:2" ht="112" hidden="1" customHeight="1" x14ac:dyDescent="0.25">
      <c r="A1765" t="s">
        <v>1846</v>
      </c>
      <c r="B1765" s="3" t="s">
        <v>6282</v>
      </c>
    </row>
    <row r="1766" spans="1:2" ht="112" hidden="1" customHeight="1" x14ac:dyDescent="0.25">
      <c r="A1766" t="s">
        <v>1847</v>
      </c>
      <c r="B1766" s="3" t="s">
        <v>6038</v>
      </c>
    </row>
    <row r="1767" spans="1:2" ht="112" hidden="1" customHeight="1" x14ac:dyDescent="0.25">
      <c r="A1767" t="s">
        <v>1848</v>
      </c>
      <c r="B1767" s="3" t="s">
        <v>3913</v>
      </c>
    </row>
    <row r="1768" spans="1:2" ht="112" hidden="1" customHeight="1" x14ac:dyDescent="0.25">
      <c r="A1768" t="s">
        <v>1849</v>
      </c>
      <c r="B1768" s="3" t="s">
        <v>6668</v>
      </c>
    </row>
    <row r="1769" spans="1:2" ht="112" hidden="1" customHeight="1" x14ac:dyDescent="0.25">
      <c r="A1769" t="s">
        <v>1850</v>
      </c>
      <c r="B1769" s="3" t="s">
        <v>3914</v>
      </c>
    </row>
    <row r="1770" spans="1:2" ht="112" hidden="1" customHeight="1" x14ac:dyDescent="0.25">
      <c r="A1770" t="s">
        <v>1851</v>
      </c>
      <c r="B1770" s="3" t="s">
        <v>7482</v>
      </c>
    </row>
    <row r="1771" spans="1:2" ht="112" hidden="1" customHeight="1" x14ac:dyDescent="0.25">
      <c r="A1771" t="s">
        <v>1852</v>
      </c>
      <c r="B1771" s="3" t="s">
        <v>3915</v>
      </c>
    </row>
    <row r="1772" spans="1:2" ht="112" hidden="1" customHeight="1" x14ac:dyDescent="0.25">
      <c r="A1772" t="s">
        <v>1853</v>
      </c>
      <c r="B1772" s="3" t="s">
        <v>3916</v>
      </c>
    </row>
    <row r="1773" spans="1:2" ht="112" hidden="1" customHeight="1" x14ac:dyDescent="0.25">
      <c r="A1773" t="s">
        <v>1854</v>
      </c>
      <c r="B1773" s="3" t="s">
        <v>6039</v>
      </c>
    </row>
    <row r="1774" spans="1:2" ht="112" hidden="1" customHeight="1" x14ac:dyDescent="0.25">
      <c r="A1774" t="s">
        <v>1855</v>
      </c>
      <c r="B1774" s="3" t="s">
        <v>3917</v>
      </c>
    </row>
    <row r="1775" spans="1:2" ht="112" hidden="1" customHeight="1" x14ac:dyDescent="0.25">
      <c r="A1775" t="s">
        <v>1856</v>
      </c>
      <c r="B1775" s="3" t="s">
        <v>3918</v>
      </c>
    </row>
    <row r="1776" spans="1:2" ht="112" hidden="1" customHeight="1" x14ac:dyDescent="0.25">
      <c r="A1776" t="s">
        <v>1857</v>
      </c>
      <c r="B1776" s="3" t="s">
        <v>3919</v>
      </c>
    </row>
    <row r="1777" spans="1:2" ht="112" hidden="1" customHeight="1" x14ac:dyDescent="0.25">
      <c r="A1777" t="s">
        <v>1858</v>
      </c>
      <c r="B1777" s="3" t="s">
        <v>6283</v>
      </c>
    </row>
    <row r="1778" spans="1:2" ht="112" hidden="1" customHeight="1" x14ac:dyDescent="0.25">
      <c r="A1778" t="s">
        <v>1859</v>
      </c>
      <c r="B1778" s="3" t="s">
        <v>3920</v>
      </c>
    </row>
    <row r="1779" spans="1:2" ht="112" hidden="1" customHeight="1" x14ac:dyDescent="0.25">
      <c r="A1779" t="s">
        <v>1860</v>
      </c>
      <c r="B1779" s="3" t="s">
        <v>3921</v>
      </c>
    </row>
    <row r="1780" spans="1:2" ht="112" hidden="1" customHeight="1" x14ac:dyDescent="0.25">
      <c r="A1780" t="s">
        <v>1861</v>
      </c>
      <c r="B1780" s="3" t="s">
        <v>6284</v>
      </c>
    </row>
    <row r="1781" spans="1:2" ht="112" hidden="1" customHeight="1" x14ac:dyDescent="0.25">
      <c r="A1781" t="s">
        <v>1862</v>
      </c>
      <c r="B1781" s="3" t="s">
        <v>3922</v>
      </c>
    </row>
    <row r="1782" spans="1:2" ht="112" hidden="1" customHeight="1" x14ac:dyDescent="0.25">
      <c r="A1782" t="s">
        <v>1863</v>
      </c>
      <c r="B1782" s="3" t="s">
        <v>6505</v>
      </c>
    </row>
    <row r="1783" spans="1:2" ht="112" hidden="1" customHeight="1" x14ac:dyDescent="0.25">
      <c r="A1783" t="s">
        <v>1864</v>
      </c>
      <c r="B1783" s="3" t="s">
        <v>6040</v>
      </c>
    </row>
    <row r="1784" spans="1:2" ht="112" hidden="1" customHeight="1" x14ac:dyDescent="0.25">
      <c r="A1784" t="s">
        <v>1865</v>
      </c>
      <c r="B1784" s="3" t="s">
        <v>6041</v>
      </c>
    </row>
    <row r="1785" spans="1:2" ht="112" hidden="1" customHeight="1" x14ac:dyDescent="0.25">
      <c r="A1785" t="s">
        <v>1866</v>
      </c>
      <c r="B1785" s="3" t="s">
        <v>6506</v>
      </c>
    </row>
    <row r="1786" spans="1:2" ht="112" hidden="1" customHeight="1" x14ac:dyDescent="0.25">
      <c r="A1786" t="s">
        <v>1867</v>
      </c>
      <c r="B1786" s="3" t="s">
        <v>3923</v>
      </c>
    </row>
    <row r="1787" spans="1:2" ht="112" hidden="1" customHeight="1" x14ac:dyDescent="0.25">
      <c r="A1787" t="s">
        <v>1868</v>
      </c>
      <c r="B1787" s="3" t="s">
        <v>6042</v>
      </c>
    </row>
    <row r="1788" spans="1:2" ht="112" hidden="1" customHeight="1" x14ac:dyDescent="0.25">
      <c r="A1788" t="s">
        <v>1869</v>
      </c>
      <c r="B1788" s="3" t="s">
        <v>6043</v>
      </c>
    </row>
    <row r="1789" spans="1:2" ht="112" hidden="1" customHeight="1" x14ac:dyDescent="0.25">
      <c r="A1789" t="s">
        <v>1870</v>
      </c>
      <c r="B1789" s="3" t="s">
        <v>5803</v>
      </c>
    </row>
    <row r="1790" spans="1:2" ht="112" hidden="1" customHeight="1" x14ac:dyDescent="0.25">
      <c r="A1790" t="s">
        <v>1871</v>
      </c>
      <c r="B1790" s="3" t="s">
        <v>3924</v>
      </c>
    </row>
    <row r="1791" spans="1:2" ht="112" hidden="1" customHeight="1" x14ac:dyDescent="0.25">
      <c r="A1791" t="s">
        <v>1872</v>
      </c>
      <c r="B1791" s="3" t="s">
        <v>6409</v>
      </c>
    </row>
    <row r="1792" spans="1:2" ht="112" hidden="1" customHeight="1" x14ac:dyDescent="0.25">
      <c r="A1792" t="s">
        <v>1873</v>
      </c>
      <c r="B1792" s="3" t="s">
        <v>6410</v>
      </c>
    </row>
    <row r="1793" spans="1:2" ht="112" hidden="1" customHeight="1" x14ac:dyDescent="0.25">
      <c r="A1793" t="s">
        <v>1874</v>
      </c>
      <c r="B1793" s="3" t="s">
        <v>6411</v>
      </c>
    </row>
    <row r="1794" spans="1:2" ht="112" hidden="1" customHeight="1" x14ac:dyDescent="0.25">
      <c r="A1794" t="s">
        <v>1875</v>
      </c>
      <c r="B1794" s="3" t="s">
        <v>3925</v>
      </c>
    </row>
    <row r="1795" spans="1:2" ht="112" hidden="1" customHeight="1" x14ac:dyDescent="0.25">
      <c r="A1795" t="s">
        <v>1876</v>
      </c>
      <c r="B1795" s="3" t="s">
        <v>3926</v>
      </c>
    </row>
    <row r="1796" spans="1:2" ht="112" hidden="1" customHeight="1" x14ac:dyDescent="0.25">
      <c r="A1796" t="s">
        <v>1877</v>
      </c>
      <c r="B1796" s="3" t="s">
        <v>3927</v>
      </c>
    </row>
    <row r="1797" spans="1:2" ht="112" hidden="1" customHeight="1" x14ac:dyDescent="0.25">
      <c r="A1797" t="s">
        <v>1878</v>
      </c>
      <c r="B1797" s="3" t="s">
        <v>6412</v>
      </c>
    </row>
    <row r="1798" spans="1:2" ht="112" hidden="1" customHeight="1" x14ac:dyDescent="0.25">
      <c r="A1798" t="s">
        <v>1879</v>
      </c>
      <c r="B1798" s="3" t="s">
        <v>3928</v>
      </c>
    </row>
    <row r="1799" spans="1:2" ht="112" hidden="1" customHeight="1" x14ac:dyDescent="0.25">
      <c r="A1799" t="s">
        <v>1880</v>
      </c>
      <c r="B1799" s="3" t="s">
        <v>3929</v>
      </c>
    </row>
    <row r="1800" spans="1:2" ht="112" hidden="1" customHeight="1" x14ac:dyDescent="0.25">
      <c r="A1800" t="s">
        <v>1881</v>
      </c>
      <c r="B1800" s="3" t="s">
        <v>3930</v>
      </c>
    </row>
    <row r="1801" spans="1:2" ht="112" hidden="1" customHeight="1" x14ac:dyDescent="0.25">
      <c r="A1801" t="s">
        <v>1882</v>
      </c>
      <c r="B1801" s="3" t="s">
        <v>3931</v>
      </c>
    </row>
    <row r="1802" spans="1:2" ht="112" hidden="1" customHeight="1" x14ac:dyDescent="0.25">
      <c r="A1802" t="s">
        <v>1883</v>
      </c>
      <c r="B1802" s="3" t="s">
        <v>3932</v>
      </c>
    </row>
    <row r="1803" spans="1:2" ht="112" hidden="1" customHeight="1" x14ac:dyDescent="0.25">
      <c r="A1803" t="s">
        <v>1884</v>
      </c>
      <c r="B1803" s="3" t="s">
        <v>3933</v>
      </c>
    </row>
    <row r="1804" spans="1:2" ht="112" hidden="1" customHeight="1" x14ac:dyDescent="0.25">
      <c r="A1804" t="s">
        <v>1885</v>
      </c>
      <c r="B1804" s="3" t="s">
        <v>6413</v>
      </c>
    </row>
    <row r="1805" spans="1:2" ht="112" hidden="1" customHeight="1" x14ac:dyDescent="0.25">
      <c r="A1805" t="s">
        <v>1886</v>
      </c>
      <c r="B1805" s="3" t="s">
        <v>6414</v>
      </c>
    </row>
    <row r="1806" spans="1:2" ht="112" hidden="1" customHeight="1" x14ac:dyDescent="0.25">
      <c r="A1806" t="s">
        <v>1887</v>
      </c>
      <c r="B1806" s="3" t="s">
        <v>6044</v>
      </c>
    </row>
    <row r="1807" spans="1:2" ht="112" hidden="1" customHeight="1" x14ac:dyDescent="0.25">
      <c r="A1807" t="s">
        <v>1888</v>
      </c>
      <c r="B1807" s="3" t="s">
        <v>6415</v>
      </c>
    </row>
    <row r="1808" spans="1:2" ht="112" hidden="1" customHeight="1" x14ac:dyDescent="0.25">
      <c r="A1808" t="s">
        <v>1889</v>
      </c>
      <c r="B1808" s="3" t="s">
        <v>6416</v>
      </c>
    </row>
    <row r="1809" spans="1:2" ht="112" hidden="1" customHeight="1" x14ac:dyDescent="0.25">
      <c r="A1809" t="s">
        <v>1890</v>
      </c>
      <c r="B1809" s="3" t="s">
        <v>3934</v>
      </c>
    </row>
    <row r="1810" spans="1:2" ht="112" hidden="1" customHeight="1" x14ac:dyDescent="0.25">
      <c r="A1810" t="s">
        <v>1891</v>
      </c>
      <c r="B1810" s="3" t="s">
        <v>3935</v>
      </c>
    </row>
    <row r="1811" spans="1:2" ht="112" hidden="1" customHeight="1" x14ac:dyDescent="0.25">
      <c r="A1811" t="s">
        <v>1892</v>
      </c>
      <c r="B1811" s="3" t="s">
        <v>6045</v>
      </c>
    </row>
    <row r="1812" spans="1:2" ht="112" hidden="1" customHeight="1" x14ac:dyDescent="0.25">
      <c r="A1812" t="s">
        <v>1894</v>
      </c>
      <c r="B1812" s="3" t="s">
        <v>6046</v>
      </c>
    </row>
    <row r="1813" spans="1:2" ht="112" hidden="1" customHeight="1" x14ac:dyDescent="0.25">
      <c r="A1813" t="s">
        <v>1895</v>
      </c>
      <c r="B1813" s="3" t="s">
        <v>3936</v>
      </c>
    </row>
    <row r="1814" spans="1:2" ht="112" hidden="1" customHeight="1" x14ac:dyDescent="0.25">
      <c r="A1814" t="s">
        <v>1896</v>
      </c>
      <c r="B1814" s="3" t="s">
        <v>10609</v>
      </c>
    </row>
    <row r="1815" spans="1:2" ht="112" hidden="1" customHeight="1" x14ac:dyDescent="0.25">
      <c r="A1815" t="s">
        <v>1897</v>
      </c>
      <c r="B1815" s="3" t="s">
        <v>3937</v>
      </c>
    </row>
    <row r="1816" spans="1:2" ht="112" hidden="1" customHeight="1" x14ac:dyDescent="0.25">
      <c r="A1816" t="s">
        <v>1898</v>
      </c>
      <c r="B1816" s="3" t="s">
        <v>3938</v>
      </c>
    </row>
    <row r="1817" spans="1:2" ht="112" hidden="1" customHeight="1" x14ac:dyDescent="0.25">
      <c r="A1817" t="s">
        <v>1899</v>
      </c>
      <c r="B1817" s="3" t="s">
        <v>3939</v>
      </c>
    </row>
    <row r="1818" spans="1:2" ht="112" hidden="1" customHeight="1" x14ac:dyDescent="0.25">
      <c r="A1818" t="s">
        <v>1900</v>
      </c>
      <c r="B1818" s="3" t="s">
        <v>3940</v>
      </c>
    </row>
    <row r="1819" spans="1:2" ht="112" hidden="1" customHeight="1" x14ac:dyDescent="0.25">
      <c r="A1819" t="s">
        <v>1901</v>
      </c>
      <c r="B1819" s="3" t="s">
        <v>6047</v>
      </c>
    </row>
    <row r="1820" spans="1:2" ht="112" hidden="1" customHeight="1" x14ac:dyDescent="0.25">
      <c r="A1820" t="s">
        <v>1902</v>
      </c>
      <c r="B1820" s="3" t="s">
        <v>6048</v>
      </c>
    </row>
    <row r="1821" spans="1:2" ht="112" hidden="1" customHeight="1" x14ac:dyDescent="0.25">
      <c r="A1821" t="s">
        <v>1904</v>
      </c>
      <c r="B1821" s="3" t="s">
        <v>6049</v>
      </c>
    </row>
    <row r="1822" spans="1:2" ht="112" hidden="1" customHeight="1" x14ac:dyDescent="0.25">
      <c r="A1822" t="s">
        <v>1905</v>
      </c>
      <c r="B1822" s="3" t="s">
        <v>6285</v>
      </c>
    </row>
    <row r="1823" spans="1:2" ht="112" hidden="1" customHeight="1" x14ac:dyDescent="0.25">
      <c r="A1823" t="s">
        <v>1906</v>
      </c>
      <c r="B1823" s="3" t="s">
        <v>6050</v>
      </c>
    </row>
    <row r="1824" spans="1:2" ht="112" hidden="1" customHeight="1" x14ac:dyDescent="0.25">
      <c r="A1824" t="s">
        <v>1908</v>
      </c>
      <c r="B1824" s="3" t="s">
        <v>6051</v>
      </c>
    </row>
    <row r="1825" spans="1:2" ht="112" hidden="1" customHeight="1" x14ac:dyDescent="0.25">
      <c r="A1825" t="s">
        <v>1909</v>
      </c>
      <c r="B1825" s="3" t="s">
        <v>6052</v>
      </c>
    </row>
    <row r="1826" spans="1:2" ht="112" hidden="1" customHeight="1" x14ac:dyDescent="0.25">
      <c r="A1826" t="s">
        <v>1910</v>
      </c>
      <c r="B1826" s="3" t="s">
        <v>6053</v>
      </c>
    </row>
    <row r="1827" spans="1:2" ht="112" hidden="1" customHeight="1" x14ac:dyDescent="0.25">
      <c r="A1827" t="s">
        <v>1911</v>
      </c>
      <c r="B1827" s="3" t="s">
        <v>5804</v>
      </c>
    </row>
    <row r="1828" spans="1:2" ht="112" hidden="1" customHeight="1" x14ac:dyDescent="0.25">
      <c r="A1828" t="s">
        <v>1912</v>
      </c>
      <c r="B1828" s="3" t="s">
        <v>3941</v>
      </c>
    </row>
    <row r="1829" spans="1:2" ht="112" hidden="1" customHeight="1" x14ac:dyDescent="0.25">
      <c r="A1829" t="s">
        <v>1913</v>
      </c>
      <c r="B1829" s="3" t="s">
        <v>3942</v>
      </c>
    </row>
    <row r="1830" spans="1:2" ht="112" hidden="1" customHeight="1" x14ac:dyDescent="0.25">
      <c r="A1830" t="s">
        <v>1914</v>
      </c>
      <c r="B1830" s="3" t="s">
        <v>3943</v>
      </c>
    </row>
    <row r="1831" spans="1:2" ht="112" hidden="1" customHeight="1" x14ac:dyDescent="0.25">
      <c r="A1831" t="s">
        <v>1915</v>
      </c>
      <c r="B1831" s="3" t="s">
        <v>5834</v>
      </c>
    </row>
    <row r="1832" spans="1:2" ht="112" hidden="1" customHeight="1" x14ac:dyDescent="0.25">
      <c r="A1832" t="s">
        <v>1916</v>
      </c>
      <c r="B1832" s="3" t="s">
        <v>3944</v>
      </c>
    </row>
    <row r="1833" spans="1:2" ht="112" hidden="1" customHeight="1" x14ac:dyDescent="0.25">
      <c r="A1833" t="s">
        <v>1917</v>
      </c>
      <c r="B1833" s="3" t="s">
        <v>3945</v>
      </c>
    </row>
    <row r="1834" spans="1:2" ht="112" hidden="1" customHeight="1" x14ac:dyDescent="0.25">
      <c r="A1834" t="s">
        <v>7824</v>
      </c>
      <c r="B1834" s="3" t="s">
        <v>7794</v>
      </c>
    </row>
    <row r="1835" spans="1:2" ht="112" hidden="1" customHeight="1" x14ac:dyDescent="0.25">
      <c r="A1835" t="s">
        <v>1918</v>
      </c>
      <c r="B1835" s="3" t="s">
        <v>7795</v>
      </c>
    </row>
    <row r="1836" spans="1:2" ht="112" hidden="1" customHeight="1" x14ac:dyDescent="0.25">
      <c r="A1836" t="s">
        <v>1919</v>
      </c>
      <c r="B1836" s="3" t="s">
        <v>3946</v>
      </c>
    </row>
    <row r="1837" spans="1:2" ht="112" hidden="1" customHeight="1" x14ac:dyDescent="0.25">
      <c r="A1837" t="s">
        <v>1920</v>
      </c>
      <c r="B1837" s="3" t="s">
        <v>3947</v>
      </c>
    </row>
    <row r="1838" spans="1:2" ht="112" hidden="1" customHeight="1" x14ac:dyDescent="0.25">
      <c r="A1838" t="s">
        <v>1921</v>
      </c>
      <c r="B1838" s="3" t="s">
        <v>3948</v>
      </c>
    </row>
    <row r="1839" spans="1:2" ht="112" hidden="1" customHeight="1" x14ac:dyDescent="0.25">
      <c r="A1839" t="s">
        <v>1922</v>
      </c>
      <c r="B1839" s="3" t="s">
        <v>3949</v>
      </c>
    </row>
    <row r="1840" spans="1:2" ht="112" hidden="1" customHeight="1" x14ac:dyDescent="0.25">
      <c r="A1840" t="s">
        <v>1923</v>
      </c>
      <c r="B1840" s="3" t="s">
        <v>3950</v>
      </c>
    </row>
    <row r="1841" spans="1:2" ht="112" hidden="1" customHeight="1" x14ac:dyDescent="0.25">
      <c r="A1841" t="s">
        <v>1924</v>
      </c>
      <c r="B1841" s="3" t="s">
        <v>3951</v>
      </c>
    </row>
    <row r="1842" spans="1:2" ht="112" hidden="1" customHeight="1" x14ac:dyDescent="0.25">
      <c r="A1842" t="s">
        <v>1925</v>
      </c>
      <c r="B1842" s="3" t="s">
        <v>3952</v>
      </c>
    </row>
    <row r="1843" spans="1:2" ht="112" hidden="1" customHeight="1" x14ac:dyDescent="0.25">
      <c r="A1843" t="s">
        <v>1926</v>
      </c>
      <c r="B1843" s="3" t="s">
        <v>6054</v>
      </c>
    </row>
    <row r="1844" spans="1:2" ht="112" hidden="1" customHeight="1" x14ac:dyDescent="0.25">
      <c r="A1844" t="s">
        <v>2552</v>
      </c>
      <c r="B1844" s="3" t="s">
        <v>3953</v>
      </c>
    </row>
    <row r="1845" spans="1:2" ht="112" hidden="1" customHeight="1" x14ac:dyDescent="0.25">
      <c r="A1845" t="s">
        <v>1927</v>
      </c>
      <c r="B1845" s="3" t="s">
        <v>6669</v>
      </c>
    </row>
    <row r="1846" spans="1:2" ht="112" hidden="1" customHeight="1" x14ac:dyDescent="0.25">
      <c r="A1846" t="s">
        <v>1928</v>
      </c>
      <c r="B1846" s="3" t="s">
        <v>3954</v>
      </c>
    </row>
    <row r="1847" spans="1:2" ht="112" hidden="1" customHeight="1" x14ac:dyDescent="0.25">
      <c r="A1847" t="s">
        <v>1929</v>
      </c>
      <c r="B1847" s="3" t="s">
        <v>7483</v>
      </c>
    </row>
    <row r="1848" spans="1:2" ht="112" hidden="1" customHeight="1" x14ac:dyDescent="0.25">
      <c r="A1848" t="s">
        <v>1930</v>
      </c>
      <c r="B1848" s="3" t="s">
        <v>7484</v>
      </c>
    </row>
    <row r="1849" spans="1:2" ht="112" hidden="1" customHeight="1" x14ac:dyDescent="0.25">
      <c r="A1849" t="s">
        <v>1931</v>
      </c>
      <c r="B1849" s="3" t="s">
        <v>6055</v>
      </c>
    </row>
    <row r="1850" spans="1:2" ht="112" hidden="1" customHeight="1" x14ac:dyDescent="0.25">
      <c r="A1850" t="s">
        <v>1932</v>
      </c>
      <c r="B1850" s="3" t="s">
        <v>6286</v>
      </c>
    </row>
    <row r="1851" spans="1:2" ht="112" hidden="1" customHeight="1" x14ac:dyDescent="0.25">
      <c r="A1851" t="s">
        <v>1933</v>
      </c>
      <c r="B1851" s="3" t="s">
        <v>5805</v>
      </c>
    </row>
    <row r="1852" spans="1:2" ht="112" hidden="1" customHeight="1" x14ac:dyDescent="0.25">
      <c r="A1852" t="s">
        <v>1934</v>
      </c>
      <c r="B1852" s="3" t="s">
        <v>3955</v>
      </c>
    </row>
    <row r="1853" spans="1:2" ht="112" hidden="1" customHeight="1" x14ac:dyDescent="0.25">
      <c r="A1853" t="s">
        <v>1935</v>
      </c>
      <c r="B1853" s="3" t="s">
        <v>6056</v>
      </c>
    </row>
    <row r="1854" spans="1:2" ht="112" hidden="1" customHeight="1" x14ac:dyDescent="0.25">
      <c r="A1854" t="s">
        <v>1936</v>
      </c>
      <c r="B1854" s="3" t="s">
        <v>6670</v>
      </c>
    </row>
    <row r="1855" spans="1:2" ht="112" hidden="1" customHeight="1" x14ac:dyDescent="0.25">
      <c r="A1855" t="s">
        <v>1937</v>
      </c>
      <c r="B1855" s="3" t="s">
        <v>3956</v>
      </c>
    </row>
    <row r="1856" spans="1:2" ht="112" hidden="1" customHeight="1" x14ac:dyDescent="0.25">
      <c r="A1856" t="s">
        <v>1938</v>
      </c>
      <c r="B1856" s="3" t="s">
        <v>3957</v>
      </c>
    </row>
    <row r="1857" spans="1:2" ht="112" hidden="1" customHeight="1" x14ac:dyDescent="0.25">
      <c r="A1857" t="s">
        <v>1939</v>
      </c>
      <c r="B1857" s="3" t="s">
        <v>3958</v>
      </c>
    </row>
    <row r="1858" spans="1:2" ht="112" hidden="1" customHeight="1" x14ac:dyDescent="0.25">
      <c r="A1858" t="s">
        <v>1940</v>
      </c>
      <c r="B1858" s="3" t="s">
        <v>3959</v>
      </c>
    </row>
    <row r="1859" spans="1:2" ht="112" hidden="1" customHeight="1" x14ac:dyDescent="0.25">
      <c r="A1859" t="s">
        <v>1941</v>
      </c>
      <c r="B1859" s="3" t="s">
        <v>3960</v>
      </c>
    </row>
    <row r="1860" spans="1:2" ht="112" hidden="1" customHeight="1" x14ac:dyDescent="0.25">
      <c r="A1860" t="s">
        <v>1942</v>
      </c>
      <c r="B1860" s="3" t="s">
        <v>3961</v>
      </c>
    </row>
    <row r="1861" spans="1:2" ht="112" hidden="1" customHeight="1" x14ac:dyDescent="0.25">
      <c r="A1861" t="s">
        <v>1943</v>
      </c>
      <c r="B1861" s="3" t="s">
        <v>3962</v>
      </c>
    </row>
    <row r="1862" spans="1:2" ht="112" hidden="1" customHeight="1" x14ac:dyDescent="0.25">
      <c r="A1862" t="s">
        <v>2553</v>
      </c>
      <c r="B1862" s="3" t="s">
        <v>3963</v>
      </c>
    </row>
    <row r="1863" spans="1:2" ht="112" hidden="1" customHeight="1" x14ac:dyDescent="0.25">
      <c r="A1863" t="s">
        <v>2554</v>
      </c>
      <c r="B1863" s="3" t="s">
        <v>3964</v>
      </c>
    </row>
    <row r="1864" spans="1:2" ht="112" hidden="1" customHeight="1" x14ac:dyDescent="0.25">
      <c r="A1864" t="s">
        <v>2555</v>
      </c>
      <c r="B1864" s="3" t="s">
        <v>3965</v>
      </c>
    </row>
    <row r="1865" spans="1:2" ht="112" hidden="1" customHeight="1" x14ac:dyDescent="0.25">
      <c r="A1865" t="s">
        <v>1944</v>
      </c>
      <c r="B1865" s="3" t="s">
        <v>3966</v>
      </c>
    </row>
    <row r="1866" spans="1:2" ht="112" hidden="1" customHeight="1" x14ac:dyDescent="0.25">
      <c r="A1866" t="s">
        <v>1945</v>
      </c>
      <c r="B1866" s="3" t="s">
        <v>3967</v>
      </c>
    </row>
    <row r="1867" spans="1:2" ht="112" hidden="1" customHeight="1" x14ac:dyDescent="0.25">
      <c r="A1867" t="s">
        <v>1946</v>
      </c>
      <c r="B1867" s="3" t="s">
        <v>3968</v>
      </c>
    </row>
    <row r="1868" spans="1:2" ht="112" hidden="1" customHeight="1" x14ac:dyDescent="0.25">
      <c r="A1868" t="s">
        <v>1947</v>
      </c>
      <c r="B1868" s="3" t="s">
        <v>3969</v>
      </c>
    </row>
    <row r="1869" spans="1:2" ht="112" hidden="1" customHeight="1" x14ac:dyDescent="0.25">
      <c r="A1869" t="s">
        <v>1948</v>
      </c>
      <c r="B1869" s="3" t="s">
        <v>3970</v>
      </c>
    </row>
    <row r="1870" spans="1:2" ht="112" hidden="1" customHeight="1" x14ac:dyDescent="0.25">
      <c r="A1870" t="s">
        <v>1949</v>
      </c>
      <c r="B1870" s="3" t="s">
        <v>6057</v>
      </c>
    </row>
    <row r="1871" spans="1:2" ht="112" hidden="1" customHeight="1" x14ac:dyDescent="0.25">
      <c r="A1871" t="s">
        <v>1950</v>
      </c>
      <c r="B1871" s="3" t="s">
        <v>3971</v>
      </c>
    </row>
    <row r="1872" spans="1:2" ht="112" hidden="1" customHeight="1" x14ac:dyDescent="0.25">
      <c r="A1872" t="s">
        <v>1951</v>
      </c>
      <c r="B1872" s="3" t="s">
        <v>3972</v>
      </c>
    </row>
    <row r="1873" spans="1:2" ht="112" hidden="1" customHeight="1" x14ac:dyDescent="0.25">
      <c r="A1873" t="s">
        <v>1952</v>
      </c>
      <c r="B1873" s="3" t="s">
        <v>3973</v>
      </c>
    </row>
    <row r="1874" spans="1:2" ht="112" hidden="1" customHeight="1" x14ac:dyDescent="0.25">
      <c r="A1874" t="s">
        <v>1953</v>
      </c>
      <c r="B1874" s="3" t="s">
        <v>3974</v>
      </c>
    </row>
    <row r="1875" spans="1:2" ht="112" hidden="1" customHeight="1" x14ac:dyDescent="0.25">
      <c r="A1875" t="s">
        <v>1954</v>
      </c>
      <c r="B1875" s="3" t="s">
        <v>3975</v>
      </c>
    </row>
    <row r="1876" spans="1:2" ht="112" hidden="1" customHeight="1" x14ac:dyDescent="0.25">
      <c r="A1876" t="s">
        <v>1955</v>
      </c>
      <c r="B1876" s="3" t="s">
        <v>3976</v>
      </c>
    </row>
    <row r="1877" spans="1:2" ht="112" hidden="1" customHeight="1" x14ac:dyDescent="0.25">
      <c r="A1877" t="s">
        <v>1956</v>
      </c>
      <c r="B1877" s="3" t="s">
        <v>3977</v>
      </c>
    </row>
    <row r="1878" spans="1:2" ht="112" hidden="1" customHeight="1" x14ac:dyDescent="0.25">
      <c r="A1878" t="s">
        <v>1957</v>
      </c>
      <c r="B1878" s="3" t="s">
        <v>3978</v>
      </c>
    </row>
    <row r="1879" spans="1:2" ht="112" hidden="1" customHeight="1" x14ac:dyDescent="0.25">
      <c r="A1879" t="s">
        <v>1958</v>
      </c>
      <c r="B1879" s="3" t="s">
        <v>6058</v>
      </c>
    </row>
    <row r="1880" spans="1:2" ht="112" hidden="1" customHeight="1" x14ac:dyDescent="0.25">
      <c r="A1880" t="s">
        <v>1959</v>
      </c>
      <c r="B1880" s="3" t="s">
        <v>5806</v>
      </c>
    </row>
    <row r="1881" spans="1:2" ht="112" hidden="1" customHeight="1" x14ac:dyDescent="0.25">
      <c r="A1881" t="s">
        <v>1960</v>
      </c>
      <c r="B1881" s="3" t="s">
        <v>5807</v>
      </c>
    </row>
    <row r="1882" spans="1:2" ht="112" hidden="1" customHeight="1" x14ac:dyDescent="0.25">
      <c r="A1882" t="s">
        <v>1961</v>
      </c>
      <c r="B1882" s="3" t="s">
        <v>5808</v>
      </c>
    </row>
    <row r="1883" spans="1:2" ht="112" hidden="1" customHeight="1" x14ac:dyDescent="0.25">
      <c r="A1883" t="s">
        <v>1962</v>
      </c>
      <c r="B1883" s="3" t="s">
        <v>3979</v>
      </c>
    </row>
    <row r="1884" spans="1:2" ht="112" hidden="1" customHeight="1" x14ac:dyDescent="0.25">
      <c r="A1884" t="s">
        <v>1963</v>
      </c>
      <c r="B1884" s="3" t="s">
        <v>5809</v>
      </c>
    </row>
    <row r="1885" spans="1:2" ht="112" hidden="1" customHeight="1" x14ac:dyDescent="0.25">
      <c r="A1885" t="s">
        <v>1964</v>
      </c>
      <c r="B1885" s="3" t="s">
        <v>5810</v>
      </c>
    </row>
    <row r="1886" spans="1:2" ht="112" hidden="1" customHeight="1" x14ac:dyDescent="0.25">
      <c r="A1886" t="s">
        <v>1965</v>
      </c>
      <c r="B1886" s="3" t="s">
        <v>6059</v>
      </c>
    </row>
    <row r="1887" spans="1:2" ht="112" hidden="1" customHeight="1" x14ac:dyDescent="0.25">
      <c r="A1887" t="s">
        <v>1966</v>
      </c>
      <c r="B1887" s="3" t="s">
        <v>6060</v>
      </c>
    </row>
    <row r="1888" spans="1:2" ht="112" hidden="1" customHeight="1" x14ac:dyDescent="0.25">
      <c r="A1888" t="s">
        <v>1967</v>
      </c>
      <c r="B1888" s="3" t="s">
        <v>6287</v>
      </c>
    </row>
    <row r="1889" spans="1:2" ht="112" hidden="1" customHeight="1" x14ac:dyDescent="0.25">
      <c r="A1889" s="56" t="s">
        <v>7825</v>
      </c>
      <c r="B1889" s="3" t="s">
        <v>7796</v>
      </c>
    </row>
    <row r="1890" spans="1:2" ht="112" hidden="1" customHeight="1" x14ac:dyDescent="0.25">
      <c r="A1890" t="s">
        <v>1968</v>
      </c>
      <c r="B1890" s="3" t="s">
        <v>6288</v>
      </c>
    </row>
    <row r="1891" spans="1:2" ht="112" hidden="1" customHeight="1" x14ac:dyDescent="0.25">
      <c r="A1891" t="s">
        <v>1969</v>
      </c>
      <c r="B1891" s="3" t="s">
        <v>6289</v>
      </c>
    </row>
    <row r="1892" spans="1:2" ht="112" hidden="1" customHeight="1" x14ac:dyDescent="0.25">
      <c r="A1892" t="s">
        <v>1971</v>
      </c>
      <c r="B1892" s="3" t="s">
        <v>6290</v>
      </c>
    </row>
    <row r="1893" spans="1:2" ht="112" hidden="1" customHeight="1" x14ac:dyDescent="0.25">
      <c r="A1893" t="s">
        <v>1972</v>
      </c>
      <c r="B1893" s="3" t="s">
        <v>6291</v>
      </c>
    </row>
    <row r="1894" spans="1:2" ht="112" hidden="1" customHeight="1" x14ac:dyDescent="0.25">
      <c r="A1894" t="s">
        <v>1973</v>
      </c>
      <c r="B1894" s="3" t="s">
        <v>6292</v>
      </c>
    </row>
    <row r="1895" spans="1:2" ht="112" hidden="1" customHeight="1" x14ac:dyDescent="0.25">
      <c r="A1895" t="s">
        <v>1974</v>
      </c>
      <c r="B1895" s="3" t="s">
        <v>6465</v>
      </c>
    </row>
    <row r="1896" spans="1:2" ht="112" hidden="1" customHeight="1" x14ac:dyDescent="0.25">
      <c r="A1896" t="s">
        <v>1975</v>
      </c>
      <c r="B1896" s="3" t="s">
        <v>3980</v>
      </c>
    </row>
    <row r="1897" spans="1:2" ht="112" hidden="1" customHeight="1" x14ac:dyDescent="0.25">
      <c r="A1897" t="s">
        <v>1976</v>
      </c>
      <c r="B1897" s="3" t="s">
        <v>3981</v>
      </c>
    </row>
    <row r="1898" spans="1:2" ht="112" hidden="1" customHeight="1" x14ac:dyDescent="0.25">
      <c r="A1898" t="s">
        <v>1977</v>
      </c>
      <c r="B1898" s="3" t="s">
        <v>3982</v>
      </c>
    </row>
    <row r="1899" spans="1:2" ht="112" hidden="1" customHeight="1" x14ac:dyDescent="0.25">
      <c r="A1899" t="s">
        <v>1978</v>
      </c>
      <c r="B1899" s="3" t="s">
        <v>6466</v>
      </c>
    </row>
    <row r="1900" spans="1:2" ht="112" hidden="1" customHeight="1" x14ac:dyDescent="0.25">
      <c r="A1900" t="s">
        <v>1979</v>
      </c>
      <c r="B1900" s="3" t="s">
        <v>3983</v>
      </c>
    </row>
    <row r="1901" spans="1:2" ht="112" hidden="1" customHeight="1" x14ac:dyDescent="0.25">
      <c r="A1901" t="s">
        <v>1980</v>
      </c>
      <c r="B1901" s="3" t="s">
        <v>3984</v>
      </c>
    </row>
    <row r="1902" spans="1:2" ht="112" hidden="1" customHeight="1" x14ac:dyDescent="0.25">
      <c r="A1902" t="s">
        <v>1981</v>
      </c>
      <c r="B1902" s="3" t="s">
        <v>6671</v>
      </c>
    </row>
    <row r="1903" spans="1:2" ht="112" hidden="1" customHeight="1" x14ac:dyDescent="0.25">
      <c r="A1903" t="s">
        <v>1982</v>
      </c>
      <c r="B1903" s="3" t="s">
        <v>3985</v>
      </c>
    </row>
    <row r="1904" spans="1:2" ht="112" hidden="1" customHeight="1" x14ac:dyDescent="0.25">
      <c r="A1904" t="s">
        <v>1983</v>
      </c>
      <c r="B1904" s="3" t="s">
        <v>3986</v>
      </c>
    </row>
    <row r="1905" spans="1:2" ht="112" hidden="1" customHeight="1" x14ac:dyDescent="0.25">
      <c r="A1905" t="s">
        <v>1984</v>
      </c>
      <c r="B1905" s="3" t="s">
        <v>3987</v>
      </c>
    </row>
    <row r="1906" spans="1:2" ht="112" hidden="1" customHeight="1" x14ac:dyDescent="0.25">
      <c r="A1906" t="s">
        <v>1985</v>
      </c>
      <c r="B1906" s="3" t="s">
        <v>3988</v>
      </c>
    </row>
    <row r="1907" spans="1:2" ht="112" hidden="1" customHeight="1" x14ac:dyDescent="0.25">
      <c r="A1907" t="s">
        <v>1986</v>
      </c>
      <c r="B1907" s="3" t="s">
        <v>3989</v>
      </c>
    </row>
    <row r="1908" spans="1:2" ht="112" hidden="1" customHeight="1" x14ac:dyDescent="0.25">
      <c r="A1908" t="s">
        <v>1987</v>
      </c>
      <c r="B1908" s="3" t="s">
        <v>3990</v>
      </c>
    </row>
    <row r="1909" spans="1:2" ht="112" hidden="1" customHeight="1" x14ac:dyDescent="0.25">
      <c r="A1909" t="s">
        <v>2556</v>
      </c>
      <c r="B1909" s="3" t="s">
        <v>3991</v>
      </c>
    </row>
    <row r="1910" spans="1:2" ht="112" hidden="1" customHeight="1" x14ac:dyDescent="0.25">
      <c r="A1910" t="s">
        <v>1988</v>
      </c>
      <c r="B1910" s="3" t="s">
        <v>3992</v>
      </c>
    </row>
    <row r="1911" spans="1:2" ht="112" hidden="1" customHeight="1" x14ac:dyDescent="0.25">
      <c r="A1911" t="s">
        <v>1989</v>
      </c>
      <c r="B1911" s="3" t="s">
        <v>3993</v>
      </c>
    </row>
    <row r="1912" spans="1:2" ht="112" hidden="1" customHeight="1" x14ac:dyDescent="0.25">
      <c r="A1912" t="s">
        <v>1990</v>
      </c>
      <c r="B1912" s="3" t="s">
        <v>3994</v>
      </c>
    </row>
    <row r="1913" spans="1:2" ht="112" hidden="1" customHeight="1" x14ac:dyDescent="0.25">
      <c r="A1913" t="s">
        <v>2557</v>
      </c>
      <c r="B1913" s="3" t="s">
        <v>3995</v>
      </c>
    </row>
    <row r="1914" spans="1:2" ht="112" hidden="1" customHeight="1" x14ac:dyDescent="0.25">
      <c r="A1914" t="s">
        <v>1991</v>
      </c>
      <c r="B1914" s="3" t="s">
        <v>3996</v>
      </c>
    </row>
    <row r="1915" spans="1:2" ht="112" hidden="1" customHeight="1" x14ac:dyDescent="0.25">
      <c r="A1915" t="s">
        <v>1992</v>
      </c>
      <c r="B1915" s="3" t="s">
        <v>3997</v>
      </c>
    </row>
    <row r="1916" spans="1:2" ht="112" hidden="1" customHeight="1" x14ac:dyDescent="0.25">
      <c r="A1916" t="s">
        <v>1993</v>
      </c>
      <c r="B1916" s="3" t="s">
        <v>3998</v>
      </c>
    </row>
    <row r="1917" spans="1:2" ht="112" hidden="1" customHeight="1" x14ac:dyDescent="0.25">
      <c r="A1917" t="s">
        <v>1994</v>
      </c>
      <c r="B1917" s="3" t="s">
        <v>3999</v>
      </c>
    </row>
    <row r="1918" spans="1:2" ht="112" hidden="1" customHeight="1" x14ac:dyDescent="0.25">
      <c r="A1918" t="s">
        <v>1995</v>
      </c>
      <c r="B1918" s="3" t="s">
        <v>4000</v>
      </c>
    </row>
    <row r="1919" spans="1:2" ht="112" hidden="1" customHeight="1" x14ac:dyDescent="0.25">
      <c r="A1919" t="s">
        <v>1996</v>
      </c>
      <c r="B1919" s="3" t="s">
        <v>5811</v>
      </c>
    </row>
    <row r="1920" spans="1:2" ht="112" hidden="1" customHeight="1" x14ac:dyDescent="0.25">
      <c r="A1920" t="s">
        <v>1997</v>
      </c>
      <c r="B1920" s="3" t="s">
        <v>4001</v>
      </c>
    </row>
    <row r="1921" spans="1:2" ht="112" hidden="1" customHeight="1" x14ac:dyDescent="0.25">
      <c r="A1921" t="s">
        <v>1998</v>
      </c>
      <c r="B1921" s="3" t="s">
        <v>4002</v>
      </c>
    </row>
    <row r="1922" spans="1:2" ht="112" hidden="1" customHeight="1" x14ac:dyDescent="0.25">
      <c r="A1922" t="s">
        <v>1999</v>
      </c>
      <c r="B1922" s="3" t="s">
        <v>4003</v>
      </c>
    </row>
    <row r="1923" spans="1:2" ht="112" hidden="1" customHeight="1" x14ac:dyDescent="0.25">
      <c r="A1923" t="s">
        <v>2000</v>
      </c>
      <c r="B1923" s="3" t="s">
        <v>4004</v>
      </c>
    </row>
    <row r="1924" spans="1:2" ht="112" hidden="1" customHeight="1" x14ac:dyDescent="0.25">
      <c r="A1924" t="s">
        <v>2001</v>
      </c>
      <c r="B1924" s="3" t="s">
        <v>4005</v>
      </c>
    </row>
    <row r="1925" spans="1:2" ht="112" hidden="1" customHeight="1" x14ac:dyDescent="0.25">
      <c r="A1925" t="s">
        <v>2002</v>
      </c>
      <c r="B1925" s="3" t="s">
        <v>4006</v>
      </c>
    </row>
    <row r="1926" spans="1:2" ht="112" hidden="1" customHeight="1" x14ac:dyDescent="0.25">
      <c r="A1926" t="s">
        <v>2003</v>
      </c>
      <c r="B1926" s="3" t="s">
        <v>4007</v>
      </c>
    </row>
    <row r="1927" spans="1:2" ht="112" hidden="1" customHeight="1" x14ac:dyDescent="0.25">
      <c r="A1927" t="s">
        <v>2004</v>
      </c>
      <c r="B1927" s="3" t="s">
        <v>4008</v>
      </c>
    </row>
    <row r="1928" spans="1:2" ht="112" hidden="1" customHeight="1" x14ac:dyDescent="0.25">
      <c r="A1928" t="s">
        <v>2005</v>
      </c>
      <c r="B1928" s="3" t="s">
        <v>4009</v>
      </c>
    </row>
    <row r="1929" spans="1:2" ht="112" hidden="1" customHeight="1" x14ac:dyDescent="0.25">
      <c r="A1929" t="s">
        <v>2006</v>
      </c>
      <c r="B1929" s="3" t="s">
        <v>4010</v>
      </c>
    </row>
    <row r="1930" spans="1:2" ht="112" hidden="1" customHeight="1" x14ac:dyDescent="0.25">
      <c r="A1930" t="s">
        <v>2007</v>
      </c>
      <c r="B1930" s="3" t="s">
        <v>4011</v>
      </c>
    </row>
    <row r="1931" spans="1:2" ht="112" hidden="1" customHeight="1" x14ac:dyDescent="0.25">
      <c r="A1931" t="s">
        <v>2008</v>
      </c>
      <c r="B1931" s="3" t="s">
        <v>4012</v>
      </c>
    </row>
    <row r="1932" spans="1:2" ht="112" hidden="1" customHeight="1" x14ac:dyDescent="0.25">
      <c r="A1932" t="s">
        <v>2009</v>
      </c>
      <c r="B1932" s="3" t="s">
        <v>4013</v>
      </c>
    </row>
    <row r="1933" spans="1:2" ht="112" hidden="1" customHeight="1" x14ac:dyDescent="0.25">
      <c r="A1933" t="s">
        <v>2010</v>
      </c>
      <c r="B1933" s="3" t="s">
        <v>4014</v>
      </c>
    </row>
    <row r="1934" spans="1:2" ht="112" hidden="1" customHeight="1" x14ac:dyDescent="0.25">
      <c r="A1934" t="s">
        <v>2011</v>
      </c>
      <c r="B1934" s="3" t="s">
        <v>4015</v>
      </c>
    </row>
    <row r="1935" spans="1:2" ht="112" hidden="1" customHeight="1" x14ac:dyDescent="0.25">
      <c r="A1935" t="s">
        <v>2012</v>
      </c>
      <c r="B1935" s="3" t="s">
        <v>4016</v>
      </c>
    </row>
    <row r="1936" spans="1:2" ht="112" hidden="1" customHeight="1" x14ac:dyDescent="0.25">
      <c r="A1936" t="s">
        <v>2013</v>
      </c>
      <c r="B1936" s="3" t="s">
        <v>4017</v>
      </c>
    </row>
    <row r="1937" spans="1:2" ht="112" hidden="1" customHeight="1" x14ac:dyDescent="0.25">
      <c r="A1937" t="s">
        <v>2014</v>
      </c>
      <c r="B1937" s="3" t="s">
        <v>4018</v>
      </c>
    </row>
    <row r="1938" spans="1:2" ht="112" hidden="1" customHeight="1" x14ac:dyDescent="0.25">
      <c r="A1938" t="s">
        <v>2015</v>
      </c>
      <c r="B1938" s="3" t="s">
        <v>4019</v>
      </c>
    </row>
    <row r="1939" spans="1:2" ht="112" hidden="1" customHeight="1" x14ac:dyDescent="0.25">
      <c r="A1939" t="s">
        <v>2016</v>
      </c>
      <c r="B1939" s="3" t="s">
        <v>4020</v>
      </c>
    </row>
    <row r="1940" spans="1:2" ht="112" hidden="1" customHeight="1" x14ac:dyDescent="0.25">
      <c r="A1940" t="s">
        <v>2017</v>
      </c>
      <c r="B1940" s="3" t="s">
        <v>4021</v>
      </c>
    </row>
    <row r="1941" spans="1:2" ht="112" hidden="1" customHeight="1" x14ac:dyDescent="0.25">
      <c r="A1941" t="s">
        <v>2018</v>
      </c>
      <c r="B1941" s="3" t="s">
        <v>6467</v>
      </c>
    </row>
    <row r="1942" spans="1:2" ht="112" hidden="1" customHeight="1" x14ac:dyDescent="0.25">
      <c r="A1942" t="s">
        <v>2019</v>
      </c>
      <c r="B1942" s="3" t="s">
        <v>4022</v>
      </c>
    </row>
    <row r="1943" spans="1:2" ht="112" hidden="1" customHeight="1" x14ac:dyDescent="0.25">
      <c r="A1943" t="s">
        <v>2020</v>
      </c>
      <c r="B1943" s="3" t="s">
        <v>4023</v>
      </c>
    </row>
    <row r="1944" spans="1:2" ht="112" hidden="1" customHeight="1" x14ac:dyDescent="0.25">
      <c r="A1944" t="s">
        <v>2021</v>
      </c>
      <c r="B1944" s="3" t="s">
        <v>4024</v>
      </c>
    </row>
    <row r="1945" spans="1:2" ht="112" hidden="1" customHeight="1" x14ac:dyDescent="0.25">
      <c r="A1945" t="s">
        <v>2022</v>
      </c>
      <c r="B1945" s="3" t="s">
        <v>6061</v>
      </c>
    </row>
    <row r="1946" spans="1:2" ht="112" hidden="1" customHeight="1" x14ac:dyDescent="0.25">
      <c r="A1946" t="s">
        <v>2023</v>
      </c>
      <c r="B1946" s="3" t="s">
        <v>6062</v>
      </c>
    </row>
    <row r="1947" spans="1:2" ht="112" hidden="1" customHeight="1" x14ac:dyDescent="0.25">
      <c r="A1947" t="s">
        <v>2559</v>
      </c>
      <c r="B1947" s="3" t="s">
        <v>6063</v>
      </c>
    </row>
    <row r="1948" spans="1:2" ht="112" hidden="1" customHeight="1" x14ac:dyDescent="0.25">
      <c r="A1948" t="s">
        <v>2560</v>
      </c>
      <c r="B1948" s="3" t="s">
        <v>6064</v>
      </c>
    </row>
    <row r="1949" spans="1:2" ht="112" hidden="1" customHeight="1" x14ac:dyDescent="0.25">
      <c r="A1949" t="s">
        <v>2561</v>
      </c>
      <c r="B1949" s="3" t="s">
        <v>6065</v>
      </c>
    </row>
    <row r="1950" spans="1:2" ht="112" hidden="1" customHeight="1" x14ac:dyDescent="0.25">
      <c r="A1950" t="s">
        <v>2024</v>
      </c>
      <c r="B1950" s="3" t="s">
        <v>4025</v>
      </c>
    </row>
    <row r="1951" spans="1:2" ht="112" hidden="1" customHeight="1" x14ac:dyDescent="0.25">
      <c r="A1951" t="s">
        <v>2025</v>
      </c>
      <c r="B1951" s="3" t="s">
        <v>6066</v>
      </c>
    </row>
    <row r="1952" spans="1:2" ht="112" hidden="1" customHeight="1" x14ac:dyDescent="0.25">
      <c r="A1952" t="s">
        <v>2026</v>
      </c>
      <c r="B1952" s="3" t="s">
        <v>7485</v>
      </c>
    </row>
    <row r="1953" spans="1:2" ht="112" hidden="1" customHeight="1" x14ac:dyDescent="0.25">
      <c r="A1953" t="s">
        <v>2027</v>
      </c>
      <c r="B1953" s="3" t="s">
        <v>7486</v>
      </c>
    </row>
    <row r="1954" spans="1:2" ht="112" hidden="1" customHeight="1" x14ac:dyDescent="0.25">
      <c r="A1954" t="s">
        <v>2028</v>
      </c>
      <c r="B1954" s="3" t="s">
        <v>6672</v>
      </c>
    </row>
    <row r="1955" spans="1:2" ht="112" hidden="1" customHeight="1" x14ac:dyDescent="0.25">
      <c r="A1955" t="s">
        <v>2029</v>
      </c>
      <c r="B1955" s="3" t="s">
        <v>10519</v>
      </c>
    </row>
    <row r="1956" spans="1:2" ht="112" hidden="1" customHeight="1" x14ac:dyDescent="0.25">
      <c r="A1956" t="s">
        <v>2030</v>
      </c>
      <c r="B1956" s="3" t="s">
        <v>7487</v>
      </c>
    </row>
    <row r="1957" spans="1:2" ht="112" hidden="1" customHeight="1" x14ac:dyDescent="0.25">
      <c r="A1957" t="s">
        <v>2564</v>
      </c>
      <c r="B1957" s="3" t="s">
        <v>5443</v>
      </c>
    </row>
    <row r="1958" spans="1:2" ht="112" hidden="1" customHeight="1" x14ac:dyDescent="0.25">
      <c r="A1958" t="s">
        <v>2031</v>
      </c>
      <c r="B1958" s="3" t="s">
        <v>6673</v>
      </c>
    </row>
    <row r="1959" spans="1:2" ht="112" hidden="1" customHeight="1" x14ac:dyDescent="0.25">
      <c r="A1959" t="s">
        <v>2032</v>
      </c>
      <c r="B1959" s="3" t="s">
        <v>6674</v>
      </c>
    </row>
    <row r="1960" spans="1:2" ht="112" hidden="1" customHeight="1" x14ac:dyDescent="0.25">
      <c r="A1960" t="s">
        <v>2033</v>
      </c>
      <c r="B1960" s="3" t="s">
        <v>6675</v>
      </c>
    </row>
    <row r="1961" spans="1:2" ht="112" hidden="1" customHeight="1" x14ac:dyDescent="0.25">
      <c r="A1961" t="s">
        <v>2034</v>
      </c>
      <c r="B1961" s="3" t="s">
        <v>4026</v>
      </c>
    </row>
    <row r="1962" spans="1:2" ht="112" hidden="1" customHeight="1" x14ac:dyDescent="0.25">
      <c r="A1962" t="s">
        <v>2035</v>
      </c>
      <c r="B1962" s="3" t="s">
        <v>10773</v>
      </c>
    </row>
    <row r="1963" spans="1:2" ht="112" hidden="1" customHeight="1" x14ac:dyDescent="0.25">
      <c r="A1963" t="s">
        <v>2036</v>
      </c>
      <c r="B1963" s="3" t="s">
        <v>10774</v>
      </c>
    </row>
    <row r="1964" spans="1:2" ht="112" hidden="1" customHeight="1" x14ac:dyDescent="0.25">
      <c r="A1964" t="s">
        <v>2037</v>
      </c>
      <c r="B1964" s="3" t="s">
        <v>7488</v>
      </c>
    </row>
    <row r="1965" spans="1:2" ht="112" hidden="1" customHeight="1" x14ac:dyDescent="0.25">
      <c r="A1965" t="s">
        <v>2038</v>
      </c>
      <c r="B1965" s="3" t="s">
        <v>6293</v>
      </c>
    </row>
    <row r="1966" spans="1:2" ht="112" hidden="1" customHeight="1" x14ac:dyDescent="0.25">
      <c r="A1966" t="s">
        <v>2039</v>
      </c>
      <c r="B1966" s="3" t="s">
        <v>6294</v>
      </c>
    </row>
    <row r="1967" spans="1:2" ht="112" hidden="1" customHeight="1" x14ac:dyDescent="0.25">
      <c r="A1967" t="s">
        <v>2040</v>
      </c>
      <c r="B1967" s="3" t="s">
        <v>6295</v>
      </c>
    </row>
    <row r="1968" spans="1:2" ht="112" hidden="1" customHeight="1" x14ac:dyDescent="0.25">
      <c r="A1968" t="s">
        <v>2041</v>
      </c>
      <c r="B1968" s="3" t="s">
        <v>4027</v>
      </c>
    </row>
    <row r="1969" spans="1:2" ht="112" hidden="1" customHeight="1" x14ac:dyDescent="0.25">
      <c r="A1969" t="s">
        <v>2042</v>
      </c>
      <c r="B1969" s="3" t="s">
        <v>6067</v>
      </c>
    </row>
    <row r="1970" spans="1:2" ht="112" hidden="1" customHeight="1" x14ac:dyDescent="0.25">
      <c r="A1970" t="s">
        <v>2043</v>
      </c>
      <c r="B1970" s="3" t="s">
        <v>6068</v>
      </c>
    </row>
    <row r="1971" spans="1:2" ht="112" hidden="1" customHeight="1" x14ac:dyDescent="0.25">
      <c r="A1971" t="s">
        <v>2044</v>
      </c>
      <c r="B1971" s="3" t="s">
        <v>7489</v>
      </c>
    </row>
    <row r="1972" spans="1:2" ht="112" hidden="1" customHeight="1" x14ac:dyDescent="0.25">
      <c r="A1972" t="s">
        <v>2045</v>
      </c>
      <c r="B1972" s="3" t="s">
        <v>4028</v>
      </c>
    </row>
    <row r="1973" spans="1:2" ht="112" hidden="1" customHeight="1" x14ac:dyDescent="0.25">
      <c r="A1973" t="s">
        <v>2046</v>
      </c>
      <c r="B1973" s="3" t="s">
        <v>4029</v>
      </c>
    </row>
    <row r="1974" spans="1:2" ht="112" hidden="1" customHeight="1" x14ac:dyDescent="0.25">
      <c r="A1974" t="s">
        <v>2047</v>
      </c>
      <c r="B1974" s="3" t="s">
        <v>4030</v>
      </c>
    </row>
    <row r="1975" spans="1:2" ht="112" hidden="1" customHeight="1" x14ac:dyDescent="0.25">
      <c r="A1975" t="s">
        <v>2048</v>
      </c>
      <c r="B1975" s="3" t="s">
        <v>4031</v>
      </c>
    </row>
    <row r="1976" spans="1:2" ht="112" hidden="1" customHeight="1" x14ac:dyDescent="0.25">
      <c r="A1976" t="s">
        <v>2049</v>
      </c>
      <c r="B1976" s="3" t="s">
        <v>4032</v>
      </c>
    </row>
    <row r="1977" spans="1:2" ht="112" hidden="1" customHeight="1" x14ac:dyDescent="0.25">
      <c r="A1977" t="s">
        <v>2050</v>
      </c>
      <c r="B1977" s="3" t="s">
        <v>4033</v>
      </c>
    </row>
    <row r="1978" spans="1:2" ht="112" hidden="1" customHeight="1" x14ac:dyDescent="0.25">
      <c r="A1978" t="s">
        <v>2051</v>
      </c>
      <c r="B1978" s="3" t="s">
        <v>4034</v>
      </c>
    </row>
    <row r="1979" spans="1:2" ht="112" hidden="1" customHeight="1" x14ac:dyDescent="0.25">
      <c r="A1979" t="s">
        <v>2052</v>
      </c>
      <c r="B1979" s="3" t="s">
        <v>4035</v>
      </c>
    </row>
    <row r="1980" spans="1:2" ht="112" hidden="1" customHeight="1" x14ac:dyDescent="0.25">
      <c r="A1980" t="s">
        <v>2053</v>
      </c>
      <c r="B1980" s="3" t="s">
        <v>6676</v>
      </c>
    </row>
    <row r="1981" spans="1:2" ht="112" hidden="1" customHeight="1" x14ac:dyDescent="0.25">
      <c r="A1981" t="s">
        <v>2054</v>
      </c>
      <c r="B1981" s="3" t="s">
        <v>6677</v>
      </c>
    </row>
    <row r="1982" spans="1:2" ht="112" hidden="1" customHeight="1" x14ac:dyDescent="0.25">
      <c r="A1982" t="s">
        <v>2055</v>
      </c>
      <c r="B1982" s="3" t="s">
        <v>6417</v>
      </c>
    </row>
    <row r="1983" spans="1:2" ht="112" hidden="1" customHeight="1" x14ac:dyDescent="0.25">
      <c r="A1983" t="s">
        <v>2056</v>
      </c>
      <c r="B1983" s="3" t="s">
        <v>6296</v>
      </c>
    </row>
    <row r="1984" spans="1:2" ht="112" hidden="1" customHeight="1" x14ac:dyDescent="0.25">
      <c r="A1984" t="s">
        <v>2057</v>
      </c>
      <c r="B1984" s="3" t="s">
        <v>6678</v>
      </c>
    </row>
    <row r="1985" spans="1:2" ht="112" hidden="1" customHeight="1" x14ac:dyDescent="0.25">
      <c r="A1985" t="s">
        <v>2058</v>
      </c>
      <c r="B1985" s="3" t="s">
        <v>6679</v>
      </c>
    </row>
    <row r="1986" spans="1:2" ht="112" hidden="1" customHeight="1" x14ac:dyDescent="0.25">
      <c r="A1986" t="s">
        <v>2059</v>
      </c>
      <c r="B1986" s="3" t="s">
        <v>6680</v>
      </c>
    </row>
    <row r="1987" spans="1:2" ht="112" hidden="1" customHeight="1" x14ac:dyDescent="0.25">
      <c r="A1987" t="s">
        <v>2060</v>
      </c>
      <c r="B1987" s="3" t="s">
        <v>4036</v>
      </c>
    </row>
    <row r="1988" spans="1:2" ht="112" hidden="1" customHeight="1" x14ac:dyDescent="0.25">
      <c r="A1988" t="s">
        <v>2061</v>
      </c>
      <c r="B1988" s="3" t="s">
        <v>4037</v>
      </c>
    </row>
    <row r="1989" spans="1:2" ht="112" hidden="1" customHeight="1" x14ac:dyDescent="0.25">
      <c r="A1989" t="s">
        <v>2062</v>
      </c>
      <c r="B1989" s="3" t="s">
        <v>4038</v>
      </c>
    </row>
    <row r="1990" spans="1:2" ht="112" hidden="1" customHeight="1" x14ac:dyDescent="0.25">
      <c r="A1990" t="s">
        <v>2063</v>
      </c>
      <c r="B1990" s="3" t="s">
        <v>4039</v>
      </c>
    </row>
    <row r="1991" spans="1:2" ht="112" hidden="1" customHeight="1" x14ac:dyDescent="0.25">
      <c r="A1991" t="s">
        <v>2064</v>
      </c>
      <c r="B1991" s="3" t="s">
        <v>4040</v>
      </c>
    </row>
    <row r="1992" spans="1:2" ht="112" hidden="1" customHeight="1" x14ac:dyDescent="0.25">
      <c r="A1992" t="s">
        <v>2065</v>
      </c>
      <c r="B1992" s="3" t="s">
        <v>4041</v>
      </c>
    </row>
    <row r="1993" spans="1:2" ht="112" hidden="1" customHeight="1" x14ac:dyDescent="0.25">
      <c r="A1993" t="s">
        <v>2066</v>
      </c>
      <c r="B1993" s="3" t="s">
        <v>4042</v>
      </c>
    </row>
    <row r="1994" spans="1:2" ht="112" hidden="1" customHeight="1" x14ac:dyDescent="0.25">
      <c r="A1994" t="s">
        <v>2067</v>
      </c>
      <c r="B1994" s="3" t="s">
        <v>4043</v>
      </c>
    </row>
    <row r="1995" spans="1:2" ht="112" hidden="1" customHeight="1" x14ac:dyDescent="0.25">
      <c r="A1995" t="s">
        <v>2068</v>
      </c>
      <c r="B1995" s="3" t="s">
        <v>4044</v>
      </c>
    </row>
    <row r="1996" spans="1:2" ht="112" hidden="1" customHeight="1" x14ac:dyDescent="0.25">
      <c r="A1996" t="s">
        <v>2069</v>
      </c>
      <c r="B1996" s="3" t="s">
        <v>4045</v>
      </c>
    </row>
    <row r="1997" spans="1:2" ht="112" hidden="1" customHeight="1" x14ac:dyDescent="0.25">
      <c r="A1997" t="s">
        <v>2070</v>
      </c>
      <c r="B1997" s="3" t="s">
        <v>4046</v>
      </c>
    </row>
    <row r="1998" spans="1:2" ht="112" hidden="1" customHeight="1" x14ac:dyDescent="0.25">
      <c r="A1998" t="s">
        <v>2071</v>
      </c>
      <c r="B1998" s="3" t="s">
        <v>4047</v>
      </c>
    </row>
    <row r="1999" spans="1:2" ht="112" hidden="1" customHeight="1" x14ac:dyDescent="0.25">
      <c r="A1999" t="s">
        <v>2072</v>
      </c>
      <c r="B1999" s="3" t="s">
        <v>6069</v>
      </c>
    </row>
    <row r="2000" spans="1:2" ht="112" hidden="1" customHeight="1" x14ac:dyDescent="0.25">
      <c r="A2000" t="s">
        <v>2073</v>
      </c>
      <c r="B2000" s="3" t="s">
        <v>10599</v>
      </c>
    </row>
    <row r="2001" spans="1:2" ht="112" hidden="1" customHeight="1" x14ac:dyDescent="0.25">
      <c r="A2001" t="s">
        <v>2074</v>
      </c>
      <c r="B2001" s="3" t="s">
        <v>6070</v>
      </c>
    </row>
    <row r="2002" spans="1:2" ht="112" hidden="1" customHeight="1" x14ac:dyDescent="0.25">
      <c r="A2002" t="s">
        <v>2078</v>
      </c>
      <c r="B2002" s="3" t="s">
        <v>6071</v>
      </c>
    </row>
    <row r="2003" spans="1:2" ht="112" hidden="1" customHeight="1" x14ac:dyDescent="0.25">
      <c r="A2003" t="s">
        <v>2082</v>
      </c>
      <c r="B2003" s="3" t="s">
        <v>6072</v>
      </c>
    </row>
    <row r="2004" spans="1:2" ht="112" hidden="1" customHeight="1" x14ac:dyDescent="0.25">
      <c r="A2004" t="s">
        <v>2083</v>
      </c>
      <c r="B2004" s="3" t="s">
        <v>5812</v>
      </c>
    </row>
    <row r="2005" spans="1:2" ht="112" hidden="1" customHeight="1" x14ac:dyDescent="0.25">
      <c r="A2005" t="s">
        <v>2084</v>
      </c>
      <c r="B2005" s="3" t="s">
        <v>7490</v>
      </c>
    </row>
    <row r="2006" spans="1:2" ht="112" hidden="1" customHeight="1" x14ac:dyDescent="0.25">
      <c r="A2006" t="s">
        <v>2085</v>
      </c>
      <c r="B2006" s="3" t="s">
        <v>4048</v>
      </c>
    </row>
    <row r="2007" spans="1:2" ht="112" hidden="1" customHeight="1" x14ac:dyDescent="0.25">
      <c r="A2007" t="s">
        <v>2086</v>
      </c>
      <c r="B2007" s="3" t="s">
        <v>4049</v>
      </c>
    </row>
    <row r="2008" spans="1:2" ht="112" hidden="1" customHeight="1" x14ac:dyDescent="0.25">
      <c r="A2008" t="s">
        <v>2087</v>
      </c>
      <c r="B2008" s="3" t="s">
        <v>7491</v>
      </c>
    </row>
    <row r="2009" spans="1:2" ht="112" hidden="1" customHeight="1" x14ac:dyDescent="0.25">
      <c r="A2009" t="s">
        <v>2088</v>
      </c>
      <c r="B2009" s="3" t="s">
        <v>4050</v>
      </c>
    </row>
    <row r="2010" spans="1:2" ht="112" hidden="1" customHeight="1" x14ac:dyDescent="0.25">
      <c r="A2010" t="s">
        <v>2089</v>
      </c>
      <c r="B2010" s="3" t="s">
        <v>4051</v>
      </c>
    </row>
    <row r="2011" spans="1:2" ht="112" hidden="1" customHeight="1" x14ac:dyDescent="0.25">
      <c r="A2011" t="s">
        <v>2090</v>
      </c>
      <c r="B2011" s="3" t="s">
        <v>6418</v>
      </c>
    </row>
    <row r="2012" spans="1:2" ht="112" hidden="1" customHeight="1" x14ac:dyDescent="0.25">
      <c r="A2012" t="s">
        <v>2091</v>
      </c>
      <c r="B2012" s="3" t="s">
        <v>6297</v>
      </c>
    </row>
    <row r="2013" spans="1:2" ht="112" hidden="1" customHeight="1" x14ac:dyDescent="0.25">
      <c r="A2013" t="s">
        <v>7826</v>
      </c>
      <c r="B2013" s="3" t="s">
        <v>7492</v>
      </c>
    </row>
    <row r="2014" spans="1:2" ht="112" hidden="1" customHeight="1" x14ac:dyDescent="0.25">
      <c r="A2014" t="s">
        <v>3045</v>
      </c>
      <c r="B2014" s="3" t="s">
        <v>6681</v>
      </c>
    </row>
    <row r="2015" spans="1:2" ht="112" hidden="1" customHeight="1" x14ac:dyDescent="0.25">
      <c r="A2015" t="s">
        <v>2092</v>
      </c>
      <c r="B2015" s="3" t="s">
        <v>4052</v>
      </c>
    </row>
    <row r="2016" spans="1:2" ht="112" hidden="1" customHeight="1" x14ac:dyDescent="0.25">
      <c r="A2016" t="s">
        <v>2093</v>
      </c>
      <c r="B2016" s="3" t="s">
        <v>6298</v>
      </c>
    </row>
    <row r="2017" spans="1:2" ht="112" hidden="1" customHeight="1" x14ac:dyDescent="0.25">
      <c r="A2017" t="s">
        <v>2094</v>
      </c>
      <c r="B2017" s="3" t="s">
        <v>6299</v>
      </c>
    </row>
    <row r="2018" spans="1:2" ht="112" hidden="1" customHeight="1" x14ac:dyDescent="0.25">
      <c r="A2018" t="s">
        <v>2095</v>
      </c>
      <c r="B2018" s="3" t="s">
        <v>6073</v>
      </c>
    </row>
    <row r="2019" spans="1:2" ht="112" hidden="1" customHeight="1" x14ac:dyDescent="0.25">
      <c r="A2019" t="s">
        <v>2096</v>
      </c>
      <c r="B2019" s="3" t="s">
        <v>6682</v>
      </c>
    </row>
    <row r="2020" spans="1:2" ht="112" hidden="1" customHeight="1" x14ac:dyDescent="0.25">
      <c r="A2020" t="s">
        <v>2097</v>
      </c>
      <c r="B2020" s="3" t="s">
        <v>7493</v>
      </c>
    </row>
    <row r="2021" spans="1:2" ht="112" hidden="1" customHeight="1" x14ac:dyDescent="0.25">
      <c r="A2021" t="s">
        <v>2098</v>
      </c>
      <c r="B2021" s="3" t="s">
        <v>6473</v>
      </c>
    </row>
    <row r="2022" spans="1:2" ht="112" hidden="1" customHeight="1" x14ac:dyDescent="0.25">
      <c r="A2022" t="s">
        <v>2099</v>
      </c>
      <c r="B2022" s="3" t="s">
        <v>7494</v>
      </c>
    </row>
    <row r="2023" spans="1:2" ht="112" hidden="1" customHeight="1" x14ac:dyDescent="0.25">
      <c r="A2023" t="s">
        <v>2100</v>
      </c>
      <c r="B2023" s="3" t="s">
        <v>7495</v>
      </c>
    </row>
    <row r="2024" spans="1:2" ht="112" hidden="1" customHeight="1" x14ac:dyDescent="0.25">
      <c r="A2024" t="s">
        <v>2101</v>
      </c>
      <c r="B2024" s="3" t="s">
        <v>7496</v>
      </c>
    </row>
    <row r="2025" spans="1:2" ht="112" hidden="1" customHeight="1" x14ac:dyDescent="0.25">
      <c r="A2025" t="s">
        <v>2102</v>
      </c>
      <c r="B2025" s="3" t="s">
        <v>7497</v>
      </c>
    </row>
    <row r="2026" spans="1:2" ht="112" hidden="1" customHeight="1" x14ac:dyDescent="0.25">
      <c r="A2026" t="s">
        <v>2103</v>
      </c>
      <c r="B2026" s="3" t="s">
        <v>7498</v>
      </c>
    </row>
    <row r="2027" spans="1:2" ht="112" hidden="1" customHeight="1" x14ac:dyDescent="0.25">
      <c r="A2027" t="s">
        <v>2104</v>
      </c>
      <c r="B2027" s="3" t="s">
        <v>7499</v>
      </c>
    </row>
    <row r="2028" spans="1:2" ht="112" hidden="1" customHeight="1" x14ac:dyDescent="0.25">
      <c r="A2028" t="s">
        <v>2105</v>
      </c>
      <c r="B2028" s="3" t="s">
        <v>6474</v>
      </c>
    </row>
    <row r="2029" spans="1:2" ht="112" hidden="1" customHeight="1" x14ac:dyDescent="0.25">
      <c r="A2029" t="s">
        <v>2106</v>
      </c>
      <c r="B2029" s="3" t="s">
        <v>7500</v>
      </c>
    </row>
    <row r="2030" spans="1:2" ht="112" hidden="1" customHeight="1" x14ac:dyDescent="0.25">
      <c r="A2030" t="s">
        <v>2107</v>
      </c>
      <c r="B2030" s="3" t="s">
        <v>6475</v>
      </c>
    </row>
    <row r="2031" spans="1:2" ht="112" hidden="1" customHeight="1" x14ac:dyDescent="0.25">
      <c r="A2031" t="s">
        <v>2108</v>
      </c>
      <c r="B2031" s="3" t="s">
        <v>6476</v>
      </c>
    </row>
    <row r="2032" spans="1:2" ht="112" hidden="1" customHeight="1" x14ac:dyDescent="0.25">
      <c r="A2032" t="s">
        <v>2109</v>
      </c>
      <c r="B2032" s="3" t="s">
        <v>7501</v>
      </c>
    </row>
    <row r="2033" spans="1:2" ht="112" hidden="1" customHeight="1" x14ac:dyDescent="0.25">
      <c r="A2033" t="s">
        <v>2110</v>
      </c>
      <c r="B2033" s="3" t="s">
        <v>7502</v>
      </c>
    </row>
    <row r="2034" spans="1:2" ht="112" hidden="1" customHeight="1" x14ac:dyDescent="0.25">
      <c r="A2034" t="s">
        <v>2111</v>
      </c>
      <c r="B2034" s="3" t="s">
        <v>7503</v>
      </c>
    </row>
    <row r="2035" spans="1:2" ht="112" hidden="1" customHeight="1" x14ac:dyDescent="0.25">
      <c r="A2035" t="s">
        <v>2112</v>
      </c>
      <c r="B2035" s="3" t="s">
        <v>7504</v>
      </c>
    </row>
    <row r="2036" spans="1:2" ht="112" hidden="1" customHeight="1" x14ac:dyDescent="0.25">
      <c r="A2036" t="s">
        <v>2113</v>
      </c>
      <c r="B2036" s="3" t="s">
        <v>7505</v>
      </c>
    </row>
    <row r="2037" spans="1:2" ht="112" hidden="1" customHeight="1" x14ac:dyDescent="0.25">
      <c r="A2037" t="s">
        <v>2114</v>
      </c>
      <c r="B2037" s="3" t="s">
        <v>4053</v>
      </c>
    </row>
    <row r="2038" spans="1:2" ht="112" hidden="1" customHeight="1" x14ac:dyDescent="0.25">
      <c r="A2038" t="s">
        <v>2115</v>
      </c>
      <c r="B2038" s="3" t="s">
        <v>4054</v>
      </c>
    </row>
    <row r="2039" spans="1:2" ht="112" hidden="1" customHeight="1" x14ac:dyDescent="0.25">
      <c r="A2039" t="s">
        <v>2116</v>
      </c>
      <c r="B2039" s="3" t="s">
        <v>4055</v>
      </c>
    </row>
    <row r="2040" spans="1:2" ht="112" hidden="1" customHeight="1" x14ac:dyDescent="0.25">
      <c r="A2040" t="s">
        <v>2117</v>
      </c>
      <c r="B2040" s="3" t="s">
        <v>4056</v>
      </c>
    </row>
    <row r="2041" spans="1:2" ht="112" hidden="1" customHeight="1" x14ac:dyDescent="0.25">
      <c r="A2041" t="s">
        <v>2118</v>
      </c>
      <c r="B2041" s="3" t="s">
        <v>7506</v>
      </c>
    </row>
    <row r="2042" spans="1:2" ht="112" hidden="1" customHeight="1" x14ac:dyDescent="0.25">
      <c r="A2042" t="s">
        <v>2119</v>
      </c>
      <c r="B2042" s="3" t="s">
        <v>7507</v>
      </c>
    </row>
    <row r="2043" spans="1:2" ht="112" hidden="1" customHeight="1" x14ac:dyDescent="0.25">
      <c r="A2043" t="s">
        <v>2120</v>
      </c>
      <c r="B2043" s="3" t="s">
        <v>5850</v>
      </c>
    </row>
    <row r="2044" spans="1:2" ht="112" hidden="1" customHeight="1" x14ac:dyDescent="0.25">
      <c r="A2044" t="s">
        <v>2121</v>
      </c>
      <c r="B2044" s="3" t="s">
        <v>6477</v>
      </c>
    </row>
    <row r="2045" spans="1:2" ht="112" hidden="1" customHeight="1" x14ac:dyDescent="0.25">
      <c r="A2045" t="s">
        <v>2122</v>
      </c>
      <c r="B2045" s="3" t="s">
        <v>6478</v>
      </c>
    </row>
    <row r="2046" spans="1:2" ht="112" hidden="1" customHeight="1" x14ac:dyDescent="0.25">
      <c r="A2046" t="s">
        <v>2123</v>
      </c>
      <c r="B2046" s="3" t="s">
        <v>6479</v>
      </c>
    </row>
    <row r="2047" spans="1:2" ht="112" hidden="1" customHeight="1" x14ac:dyDescent="0.25">
      <c r="A2047" t="s">
        <v>2124</v>
      </c>
      <c r="B2047" s="3" t="s">
        <v>4057</v>
      </c>
    </row>
    <row r="2048" spans="1:2" ht="112" hidden="1" customHeight="1" x14ac:dyDescent="0.25">
      <c r="A2048" t="s">
        <v>2125</v>
      </c>
      <c r="B2048" s="3" t="s">
        <v>4058</v>
      </c>
    </row>
    <row r="2049" spans="1:2" ht="112" hidden="1" customHeight="1" x14ac:dyDescent="0.25">
      <c r="A2049" t="s">
        <v>2126</v>
      </c>
      <c r="B2049" s="3" t="s">
        <v>7508</v>
      </c>
    </row>
    <row r="2050" spans="1:2" ht="112" hidden="1" customHeight="1" x14ac:dyDescent="0.25">
      <c r="A2050" t="s">
        <v>2127</v>
      </c>
      <c r="B2050" s="3" t="s">
        <v>4059</v>
      </c>
    </row>
    <row r="2051" spans="1:2" ht="112" hidden="1" customHeight="1" x14ac:dyDescent="0.25">
      <c r="A2051" t="s">
        <v>2128</v>
      </c>
      <c r="B2051" s="3" t="s">
        <v>6480</v>
      </c>
    </row>
    <row r="2052" spans="1:2" ht="112" hidden="1" customHeight="1" x14ac:dyDescent="0.25">
      <c r="A2052" t="s">
        <v>2129</v>
      </c>
      <c r="B2052" s="3" t="s">
        <v>6481</v>
      </c>
    </row>
    <row r="2053" spans="1:2" ht="112" hidden="1" customHeight="1" x14ac:dyDescent="0.25">
      <c r="A2053" t="s">
        <v>2130</v>
      </c>
      <c r="B2053" s="3" t="s">
        <v>4060</v>
      </c>
    </row>
    <row r="2054" spans="1:2" ht="112" hidden="1" customHeight="1" x14ac:dyDescent="0.25">
      <c r="A2054" t="s">
        <v>2131</v>
      </c>
      <c r="B2054" s="3" t="s">
        <v>4061</v>
      </c>
    </row>
    <row r="2055" spans="1:2" ht="112" hidden="1" customHeight="1" x14ac:dyDescent="0.25">
      <c r="A2055" t="s">
        <v>2132</v>
      </c>
      <c r="B2055" s="3" t="s">
        <v>4062</v>
      </c>
    </row>
    <row r="2056" spans="1:2" ht="112" hidden="1" customHeight="1" x14ac:dyDescent="0.25">
      <c r="A2056" t="s">
        <v>2133</v>
      </c>
      <c r="B2056" s="3" t="s">
        <v>4063</v>
      </c>
    </row>
    <row r="2057" spans="1:2" ht="112" hidden="1" customHeight="1" x14ac:dyDescent="0.25">
      <c r="A2057" t="s">
        <v>2134</v>
      </c>
      <c r="B2057" s="3" t="s">
        <v>4064</v>
      </c>
    </row>
    <row r="2058" spans="1:2" ht="112" hidden="1" customHeight="1" x14ac:dyDescent="0.25">
      <c r="A2058" t="s">
        <v>2135</v>
      </c>
      <c r="B2058" s="3" t="s">
        <v>4065</v>
      </c>
    </row>
    <row r="2059" spans="1:2" ht="112" hidden="1" customHeight="1" x14ac:dyDescent="0.25">
      <c r="A2059" t="s">
        <v>2136</v>
      </c>
      <c r="B2059" s="3" t="s">
        <v>4066</v>
      </c>
    </row>
    <row r="2060" spans="1:2" ht="112" hidden="1" customHeight="1" x14ac:dyDescent="0.25">
      <c r="A2060" t="s">
        <v>2137</v>
      </c>
      <c r="B2060" s="3" t="s">
        <v>6300</v>
      </c>
    </row>
    <row r="2061" spans="1:2" ht="112" hidden="1" customHeight="1" x14ac:dyDescent="0.25">
      <c r="A2061" t="s">
        <v>2138</v>
      </c>
      <c r="B2061" s="3" t="s">
        <v>4067</v>
      </c>
    </row>
    <row r="2062" spans="1:2" ht="112" hidden="1" customHeight="1" x14ac:dyDescent="0.25">
      <c r="A2062" t="s">
        <v>2139</v>
      </c>
      <c r="B2062" s="3" t="s">
        <v>4068</v>
      </c>
    </row>
    <row r="2063" spans="1:2" ht="112" hidden="1" customHeight="1" x14ac:dyDescent="0.25">
      <c r="A2063" t="s">
        <v>2140</v>
      </c>
      <c r="B2063" s="3" t="s">
        <v>4069</v>
      </c>
    </row>
    <row r="2064" spans="1:2" ht="112" hidden="1" customHeight="1" x14ac:dyDescent="0.25">
      <c r="A2064" t="s">
        <v>2141</v>
      </c>
      <c r="B2064" s="3" t="s">
        <v>4070</v>
      </c>
    </row>
    <row r="2065" spans="1:2" ht="112" hidden="1" customHeight="1" x14ac:dyDescent="0.25">
      <c r="A2065" t="s">
        <v>2142</v>
      </c>
      <c r="B2065" s="3" t="s">
        <v>4071</v>
      </c>
    </row>
    <row r="2066" spans="1:2" ht="112" hidden="1" customHeight="1" x14ac:dyDescent="0.25">
      <c r="A2066" t="s">
        <v>2143</v>
      </c>
      <c r="B2066" s="3" t="s">
        <v>4072</v>
      </c>
    </row>
    <row r="2067" spans="1:2" ht="112" hidden="1" customHeight="1" x14ac:dyDescent="0.25">
      <c r="A2067" t="s">
        <v>2144</v>
      </c>
      <c r="B2067" s="3" t="s">
        <v>4073</v>
      </c>
    </row>
    <row r="2068" spans="1:2" ht="112" hidden="1" customHeight="1" x14ac:dyDescent="0.25">
      <c r="A2068" t="s">
        <v>2145</v>
      </c>
      <c r="B2068" s="3" t="s">
        <v>4074</v>
      </c>
    </row>
    <row r="2069" spans="1:2" ht="112" hidden="1" customHeight="1" x14ac:dyDescent="0.25">
      <c r="A2069" t="s">
        <v>2146</v>
      </c>
      <c r="B2069" s="3" t="s">
        <v>4075</v>
      </c>
    </row>
    <row r="2070" spans="1:2" ht="112" hidden="1" customHeight="1" x14ac:dyDescent="0.25">
      <c r="A2070" t="s">
        <v>2147</v>
      </c>
      <c r="B2070" s="3" t="s">
        <v>5813</v>
      </c>
    </row>
    <row r="2071" spans="1:2" ht="112" hidden="1" customHeight="1" x14ac:dyDescent="0.25">
      <c r="A2071" t="s">
        <v>2148</v>
      </c>
      <c r="B2071" s="3" t="s">
        <v>6683</v>
      </c>
    </row>
    <row r="2072" spans="1:2" ht="112" hidden="1" customHeight="1" x14ac:dyDescent="0.25">
      <c r="A2072" t="s">
        <v>2149</v>
      </c>
      <c r="B2072" s="3" t="s">
        <v>4076</v>
      </c>
    </row>
    <row r="2073" spans="1:2" ht="112" hidden="1" customHeight="1" x14ac:dyDescent="0.25">
      <c r="A2073" t="s">
        <v>2150</v>
      </c>
      <c r="B2073" s="3" t="s">
        <v>4077</v>
      </c>
    </row>
    <row r="2074" spans="1:2" ht="112" hidden="1" customHeight="1" x14ac:dyDescent="0.25">
      <c r="A2074" t="s">
        <v>2151</v>
      </c>
      <c r="B2074" s="3" t="s">
        <v>4078</v>
      </c>
    </row>
    <row r="2075" spans="1:2" ht="112" hidden="1" customHeight="1" x14ac:dyDescent="0.25">
      <c r="A2075" t="s">
        <v>2152</v>
      </c>
      <c r="B2075" s="3" t="s">
        <v>6074</v>
      </c>
    </row>
    <row r="2076" spans="1:2" ht="112" hidden="1" customHeight="1" x14ac:dyDescent="0.25">
      <c r="A2076" t="s">
        <v>2153</v>
      </c>
      <c r="B2076" s="3" t="s">
        <v>4079</v>
      </c>
    </row>
    <row r="2077" spans="1:2" ht="112" hidden="1" customHeight="1" x14ac:dyDescent="0.25">
      <c r="A2077" t="s">
        <v>2154</v>
      </c>
      <c r="B2077" s="3" t="s">
        <v>4080</v>
      </c>
    </row>
    <row r="2078" spans="1:2" ht="112" hidden="1" customHeight="1" x14ac:dyDescent="0.25">
      <c r="A2078" t="s">
        <v>2155</v>
      </c>
      <c r="B2078" s="3" t="s">
        <v>4081</v>
      </c>
    </row>
    <row r="2079" spans="1:2" ht="112" hidden="1" customHeight="1" x14ac:dyDescent="0.25">
      <c r="A2079" t="s">
        <v>2156</v>
      </c>
      <c r="B2079" s="3" t="s">
        <v>4082</v>
      </c>
    </row>
    <row r="2080" spans="1:2" ht="112" hidden="1" customHeight="1" x14ac:dyDescent="0.25">
      <c r="A2080" t="s">
        <v>2157</v>
      </c>
      <c r="B2080" s="3" t="s">
        <v>4083</v>
      </c>
    </row>
    <row r="2081" spans="1:2" ht="112" hidden="1" customHeight="1" x14ac:dyDescent="0.25">
      <c r="A2081" t="s">
        <v>2158</v>
      </c>
      <c r="B2081" s="3" t="s">
        <v>6075</v>
      </c>
    </row>
    <row r="2082" spans="1:2" ht="112" hidden="1" customHeight="1" x14ac:dyDescent="0.25">
      <c r="A2082" t="s">
        <v>2159</v>
      </c>
      <c r="B2082" s="3" t="s">
        <v>6419</v>
      </c>
    </row>
    <row r="2083" spans="1:2" ht="112" hidden="1" customHeight="1" x14ac:dyDescent="0.25">
      <c r="A2083" t="s">
        <v>2160</v>
      </c>
      <c r="B2083" s="3" t="s">
        <v>6076</v>
      </c>
    </row>
    <row r="2084" spans="1:2" ht="112" hidden="1" customHeight="1" x14ac:dyDescent="0.25">
      <c r="A2084" t="s">
        <v>2161</v>
      </c>
      <c r="B2084" s="3" t="s">
        <v>6077</v>
      </c>
    </row>
    <row r="2085" spans="1:2" ht="112" hidden="1" customHeight="1" x14ac:dyDescent="0.25">
      <c r="A2085" t="s">
        <v>2162</v>
      </c>
      <c r="B2085" s="3" t="s">
        <v>6078</v>
      </c>
    </row>
    <row r="2086" spans="1:2" ht="112" hidden="1" customHeight="1" x14ac:dyDescent="0.25">
      <c r="A2086" t="s">
        <v>2163</v>
      </c>
      <c r="B2086" s="3" t="s">
        <v>4084</v>
      </c>
    </row>
    <row r="2087" spans="1:2" ht="112" hidden="1" customHeight="1" x14ac:dyDescent="0.25">
      <c r="A2087" t="s">
        <v>2164</v>
      </c>
      <c r="B2087" s="3" t="s">
        <v>4085</v>
      </c>
    </row>
    <row r="2088" spans="1:2" ht="112" hidden="1" customHeight="1" x14ac:dyDescent="0.25">
      <c r="A2088" t="s">
        <v>2165</v>
      </c>
      <c r="B2088" s="3" t="s">
        <v>4086</v>
      </c>
    </row>
    <row r="2089" spans="1:2" ht="112" hidden="1" customHeight="1" x14ac:dyDescent="0.25">
      <c r="A2089" t="s">
        <v>2166</v>
      </c>
      <c r="B2089" s="3" t="s">
        <v>4087</v>
      </c>
    </row>
    <row r="2090" spans="1:2" ht="112" hidden="1" customHeight="1" x14ac:dyDescent="0.25">
      <c r="A2090" t="s">
        <v>2167</v>
      </c>
      <c r="B2090" s="3" t="s">
        <v>4088</v>
      </c>
    </row>
    <row r="2091" spans="1:2" ht="112" hidden="1" customHeight="1" x14ac:dyDescent="0.25">
      <c r="A2091" t="s">
        <v>2168</v>
      </c>
      <c r="B2091" s="3" t="s">
        <v>6684</v>
      </c>
    </row>
    <row r="2092" spans="1:2" ht="112" hidden="1" customHeight="1" x14ac:dyDescent="0.25">
      <c r="A2092" t="s">
        <v>2169</v>
      </c>
      <c r="B2092" s="3" t="s">
        <v>6301</v>
      </c>
    </row>
    <row r="2093" spans="1:2" ht="112" hidden="1" customHeight="1" x14ac:dyDescent="0.25">
      <c r="A2093" t="s">
        <v>2170</v>
      </c>
      <c r="B2093" s="3" t="s">
        <v>4089</v>
      </c>
    </row>
    <row r="2094" spans="1:2" ht="112" hidden="1" customHeight="1" x14ac:dyDescent="0.25">
      <c r="A2094" t="s">
        <v>2171</v>
      </c>
      <c r="B2094" s="3" t="s">
        <v>4090</v>
      </c>
    </row>
    <row r="2095" spans="1:2" ht="112" hidden="1" customHeight="1" x14ac:dyDescent="0.25">
      <c r="A2095" t="s">
        <v>2172</v>
      </c>
      <c r="B2095" s="3" t="s">
        <v>4091</v>
      </c>
    </row>
    <row r="2096" spans="1:2" ht="112" hidden="1" customHeight="1" x14ac:dyDescent="0.25">
      <c r="A2096" t="s">
        <v>2173</v>
      </c>
      <c r="B2096" s="3" t="s">
        <v>4092</v>
      </c>
    </row>
    <row r="2097" spans="1:2" ht="112" hidden="1" customHeight="1" x14ac:dyDescent="0.25">
      <c r="A2097" t="s">
        <v>2174</v>
      </c>
      <c r="B2097" s="3" t="s">
        <v>4093</v>
      </c>
    </row>
    <row r="2098" spans="1:2" ht="112" hidden="1" customHeight="1" x14ac:dyDescent="0.25">
      <c r="A2098" t="s">
        <v>2175</v>
      </c>
      <c r="B2098" s="3" t="s">
        <v>4094</v>
      </c>
    </row>
    <row r="2099" spans="1:2" ht="112" hidden="1" customHeight="1" x14ac:dyDescent="0.25">
      <c r="A2099" t="s">
        <v>2176</v>
      </c>
      <c r="B2099" s="3" t="s">
        <v>4095</v>
      </c>
    </row>
    <row r="2100" spans="1:2" ht="112" hidden="1" customHeight="1" x14ac:dyDescent="0.25">
      <c r="A2100" t="s">
        <v>2177</v>
      </c>
      <c r="B2100" s="3" t="s">
        <v>4096</v>
      </c>
    </row>
    <row r="2101" spans="1:2" ht="112" hidden="1" customHeight="1" x14ac:dyDescent="0.25">
      <c r="A2101" t="s">
        <v>2178</v>
      </c>
      <c r="B2101" s="3" t="s">
        <v>4097</v>
      </c>
    </row>
    <row r="2102" spans="1:2" ht="112" hidden="1" customHeight="1" x14ac:dyDescent="0.25">
      <c r="A2102" t="s">
        <v>2179</v>
      </c>
      <c r="B2102" s="3" t="s">
        <v>4098</v>
      </c>
    </row>
    <row r="2103" spans="1:2" ht="112" hidden="1" customHeight="1" x14ac:dyDescent="0.25">
      <c r="A2103" t="s">
        <v>2180</v>
      </c>
      <c r="B2103" s="3" t="s">
        <v>5814</v>
      </c>
    </row>
    <row r="2104" spans="1:2" ht="112" hidden="1" customHeight="1" x14ac:dyDescent="0.25">
      <c r="A2104" t="s">
        <v>2181</v>
      </c>
      <c r="B2104" s="3" t="s">
        <v>6302</v>
      </c>
    </row>
    <row r="2105" spans="1:2" ht="112" hidden="1" customHeight="1" x14ac:dyDescent="0.25">
      <c r="A2105" t="s">
        <v>2182</v>
      </c>
      <c r="B2105" s="3" t="s">
        <v>4099</v>
      </c>
    </row>
    <row r="2106" spans="1:2" ht="112" hidden="1" customHeight="1" x14ac:dyDescent="0.25">
      <c r="A2106" t="s">
        <v>2183</v>
      </c>
      <c r="B2106" s="3" t="s">
        <v>6303</v>
      </c>
    </row>
    <row r="2107" spans="1:2" ht="112" hidden="1" customHeight="1" x14ac:dyDescent="0.25">
      <c r="A2107" t="s">
        <v>2184</v>
      </c>
      <c r="B2107" s="3" t="s">
        <v>6304</v>
      </c>
    </row>
    <row r="2108" spans="1:2" ht="112" hidden="1" customHeight="1" x14ac:dyDescent="0.25">
      <c r="A2108" t="s">
        <v>2185</v>
      </c>
      <c r="B2108" s="3" t="s">
        <v>6305</v>
      </c>
    </row>
    <row r="2109" spans="1:2" ht="112" hidden="1" customHeight="1" x14ac:dyDescent="0.25">
      <c r="A2109" t="s">
        <v>2186</v>
      </c>
      <c r="B2109" s="3" t="s">
        <v>6685</v>
      </c>
    </row>
    <row r="2110" spans="1:2" ht="112" hidden="1" customHeight="1" x14ac:dyDescent="0.25">
      <c r="A2110" t="s">
        <v>2187</v>
      </c>
      <c r="B2110" s="3" t="s">
        <v>4100</v>
      </c>
    </row>
    <row r="2111" spans="1:2" ht="112" hidden="1" customHeight="1" x14ac:dyDescent="0.25">
      <c r="A2111" t="s">
        <v>2188</v>
      </c>
      <c r="B2111" s="3" t="s">
        <v>4101</v>
      </c>
    </row>
    <row r="2112" spans="1:2" ht="112" hidden="1" customHeight="1" x14ac:dyDescent="0.25">
      <c r="A2112" t="s">
        <v>2189</v>
      </c>
      <c r="B2112" s="3" t="s">
        <v>4102</v>
      </c>
    </row>
    <row r="2113" spans="1:2" ht="112" hidden="1" customHeight="1" x14ac:dyDescent="0.25">
      <c r="A2113" t="s">
        <v>2190</v>
      </c>
      <c r="B2113" s="3" t="s">
        <v>4103</v>
      </c>
    </row>
    <row r="2114" spans="1:2" ht="112" hidden="1" customHeight="1" x14ac:dyDescent="0.25">
      <c r="A2114" t="s">
        <v>2191</v>
      </c>
      <c r="B2114" s="3" t="s">
        <v>4104</v>
      </c>
    </row>
    <row r="2115" spans="1:2" ht="112" hidden="1" customHeight="1" x14ac:dyDescent="0.25">
      <c r="A2115" t="s">
        <v>2192</v>
      </c>
      <c r="B2115" s="3" t="s">
        <v>4105</v>
      </c>
    </row>
    <row r="2116" spans="1:2" ht="112" hidden="1" customHeight="1" x14ac:dyDescent="0.25">
      <c r="A2116" t="s">
        <v>2193</v>
      </c>
      <c r="B2116" s="3" t="s">
        <v>4106</v>
      </c>
    </row>
    <row r="2117" spans="1:2" ht="112" hidden="1" customHeight="1" x14ac:dyDescent="0.25">
      <c r="A2117" t="s">
        <v>2194</v>
      </c>
      <c r="B2117" s="3" t="s">
        <v>4107</v>
      </c>
    </row>
    <row r="2118" spans="1:2" ht="112" hidden="1" customHeight="1" x14ac:dyDescent="0.25">
      <c r="A2118" t="s">
        <v>2195</v>
      </c>
      <c r="B2118" s="3" t="s">
        <v>6507</v>
      </c>
    </row>
    <row r="2119" spans="1:2" ht="112" hidden="1" customHeight="1" x14ac:dyDescent="0.25">
      <c r="A2119" t="s">
        <v>2196</v>
      </c>
      <c r="B2119" s="3" t="s">
        <v>6508</v>
      </c>
    </row>
    <row r="2120" spans="1:2" ht="112" hidden="1" customHeight="1" x14ac:dyDescent="0.25">
      <c r="A2120" t="s">
        <v>2197</v>
      </c>
      <c r="B2120" s="3" t="s">
        <v>6509</v>
      </c>
    </row>
    <row r="2121" spans="1:2" ht="112" hidden="1" customHeight="1" x14ac:dyDescent="0.25">
      <c r="A2121" t="s">
        <v>2198</v>
      </c>
      <c r="B2121" s="3" t="s">
        <v>6510</v>
      </c>
    </row>
    <row r="2122" spans="1:2" ht="112" hidden="1" customHeight="1" x14ac:dyDescent="0.25">
      <c r="A2122" t="s">
        <v>2199</v>
      </c>
      <c r="B2122" s="3" t="s">
        <v>4108</v>
      </c>
    </row>
    <row r="2123" spans="1:2" ht="112" hidden="1" customHeight="1" x14ac:dyDescent="0.25">
      <c r="A2123" t="s">
        <v>2200</v>
      </c>
      <c r="B2123" s="3" t="s">
        <v>4109</v>
      </c>
    </row>
    <row r="2124" spans="1:2" ht="112" hidden="1" customHeight="1" x14ac:dyDescent="0.25">
      <c r="A2124" t="s">
        <v>2201</v>
      </c>
      <c r="B2124" s="3" t="s">
        <v>4110</v>
      </c>
    </row>
    <row r="2125" spans="1:2" ht="112" hidden="1" customHeight="1" x14ac:dyDescent="0.25">
      <c r="A2125" t="s">
        <v>2202</v>
      </c>
      <c r="B2125" s="3" t="s">
        <v>4111</v>
      </c>
    </row>
    <row r="2126" spans="1:2" ht="112" hidden="1" customHeight="1" x14ac:dyDescent="0.25">
      <c r="A2126" t="s">
        <v>2203</v>
      </c>
      <c r="B2126" s="3" t="s">
        <v>6511</v>
      </c>
    </row>
    <row r="2127" spans="1:2" ht="112" hidden="1" customHeight="1" x14ac:dyDescent="0.25">
      <c r="A2127" t="s">
        <v>2204</v>
      </c>
      <c r="B2127" s="3" t="s">
        <v>6512</v>
      </c>
    </row>
    <row r="2128" spans="1:2" ht="112" hidden="1" customHeight="1" x14ac:dyDescent="0.25">
      <c r="A2128" t="s">
        <v>2205</v>
      </c>
      <c r="B2128" s="3" t="s">
        <v>4112</v>
      </c>
    </row>
    <row r="2129" spans="1:2" ht="112" hidden="1" customHeight="1" x14ac:dyDescent="0.25">
      <c r="A2129" t="s">
        <v>2206</v>
      </c>
      <c r="B2129" s="3" t="s">
        <v>4113</v>
      </c>
    </row>
    <row r="2130" spans="1:2" ht="112" hidden="1" customHeight="1" x14ac:dyDescent="0.25">
      <c r="A2130" t="s">
        <v>2207</v>
      </c>
      <c r="B2130" s="3" t="s">
        <v>4114</v>
      </c>
    </row>
    <row r="2131" spans="1:2" ht="112" hidden="1" customHeight="1" x14ac:dyDescent="0.25">
      <c r="A2131" t="s">
        <v>2208</v>
      </c>
      <c r="B2131" s="3" t="s">
        <v>4115</v>
      </c>
    </row>
    <row r="2132" spans="1:2" ht="112" hidden="1" customHeight="1" x14ac:dyDescent="0.25">
      <c r="A2132" t="s">
        <v>2209</v>
      </c>
      <c r="B2132" s="3" t="s">
        <v>4116</v>
      </c>
    </row>
    <row r="2133" spans="1:2" ht="112" hidden="1" customHeight="1" x14ac:dyDescent="0.25">
      <c r="A2133" t="s">
        <v>2210</v>
      </c>
      <c r="B2133" s="3" t="s">
        <v>4117</v>
      </c>
    </row>
    <row r="2134" spans="1:2" ht="112" hidden="1" customHeight="1" x14ac:dyDescent="0.25">
      <c r="A2134" t="s">
        <v>2211</v>
      </c>
      <c r="B2134" s="3" t="s">
        <v>4118</v>
      </c>
    </row>
    <row r="2135" spans="1:2" ht="112" hidden="1" customHeight="1" x14ac:dyDescent="0.25">
      <c r="A2135" t="s">
        <v>2212</v>
      </c>
      <c r="B2135" s="3" t="s">
        <v>4119</v>
      </c>
    </row>
    <row r="2136" spans="1:2" ht="112" hidden="1" customHeight="1" x14ac:dyDescent="0.25">
      <c r="A2136" t="s">
        <v>2213</v>
      </c>
      <c r="B2136" s="3" t="s">
        <v>4120</v>
      </c>
    </row>
    <row r="2137" spans="1:2" ht="112" hidden="1" customHeight="1" x14ac:dyDescent="0.25">
      <c r="A2137" t="s">
        <v>2214</v>
      </c>
      <c r="B2137" s="3" t="s">
        <v>4121</v>
      </c>
    </row>
    <row r="2138" spans="1:2" ht="112" hidden="1" customHeight="1" x14ac:dyDescent="0.25">
      <c r="A2138" t="s">
        <v>2215</v>
      </c>
      <c r="B2138" s="3" t="s">
        <v>4122</v>
      </c>
    </row>
    <row r="2139" spans="1:2" ht="112" hidden="1" customHeight="1" x14ac:dyDescent="0.25">
      <c r="A2139" t="s">
        <v>2216</v>
      </c>
      <c r="B2139" s="3" t="s">
        <v>6306</v>
      </c>
    </row>
    <row r="2140" spans="1:2" ht="112" hidden="1" customHeight="1" x14ac:dyDescent="0.25">
      <c r="A2140" t="s">
        <v>2217</v>
      </c>
      <c r="B2140" s="3" t="s">
        <v>6307</v>
      </c>
    </row>
    <row r="2141" spans="1:2" ht="112" hidden="1" customHeight="1" x14ac:dyDescent="0.25">
      <c r="A2141" t="s">
        <v>2218</v>
      </c>
      <c r="B2141" s="3" t="s">
        <v>6686</v>
      </c>
    </row>
    <row r="2142" spans="1:2" ht="112" hidden="1" customHeight="1" x14ac:dyDescent="0.25">
      <c r="A2142" t="s">
        <v>2219</v>
      </c>
      <c r="B2142" s="3" t="s">
        <v>6079</v>
      </c>
    </row>
    <row r="2143" spans="1:2" ht="112" hidden="1" customHeight="1" x14ac:dyDescent="0.25">
      <c r="A2143" t="s">
        <v>2220</v>
      </c>
      <c r="B2143" s="3" t="s">
        <v>4123</v>
      </c>
    </row>
    <row r="2144" spans="1:2" ht="112" hidden="1" customHeight="1" x14ac:dyDescent="0.25">
      <c r="A2144" t="s">
        <v>2221</v>
      </c>
      <c r="B2144" s="3" t="s">
        <v>5136</v>
      </c>
    </row>
    <row r="2145" spans="1:2" ht="112" hidden="1" customHeight="1" x14ac:dyDescent="0.25">
      <c r="A2145" t="s">
        <v>2222</v>
      </c>
      <c r="B2145" s="3" t="s">
        <v>6080</v>
      </c>
    </row>
    <row r="2146" spans="1:2" ht="112" hidden="1" customHeight="1" x14ac:dyDescent="0.25">
      <c r="A2146" t="s">
        <v>2223</v>
      </c>
      <c r="B2146" s="3" t="s">
        <v>6081</v>
      </c>
    </row>
    <row r="2147" spans="1:2" ht="112" hidden="1" customHeight="1" x14ac:dyDescent="0.25">
      <c r="A2147" t="s">
        <v>2224</v>
      </c>
      <c r="B2147" s="3" t="s">
        <v>6082</v>
      </c>
    </row>
    <row r="2148" spans="1:2" ht="112" hidden="1" customHeight="1" x14ac:dyDescent="0.25">
      <c r="A2148" t="s">
        <v>2225</v>
      </c>
      <c r="B2148" s="3" t="s">
        <v>6083</v>
      </c>
    </row>
    <row r="2149" spans="1:2" ht="112" hidden="1" customHeight="1" x14ac:dyDescent="0.25">
      <c r="A2149" t="s">
        <v>2226</v>
      </c>
      <c r="B2149" s="3" t="s">
        <v>6084</v>
      </c>
    </row>
    <row r="2150" spans="1:2" ht="112" hidden="1" customHeight="1" x14ac:dyDescent="0.25">
      <c r="A2150" t="s">
        <v>2227</v>
      </c>
      <c r="B2150" s="3" t="s">
        <v>4124</v>
      </c>
    </row>
    <row r="2151" spans="1:2" ht="112" hidden="1" customHeight="1" x14ac:dyDescent="0.25">
      <c r="A2151" t="s">
        <v>2228</v>
      </c>
      <c r="B2151" s="3" t="s">
        <v>4125</v>
      </c>
    </row>
    <row r="2152" spans="1:2" ht="112" hidden="1" customHeight="1" x14ac:dyDescent="0.25">
      <c r="A2152" t="s">
        <v>2229</v>
      </c>
      <c r="B2152" s="3" t="s">
        <v>6085</v>
      </c>
    </row>
    <row r="2153" spans="1:2" ht="112" hidden="1" customHeight="1" x14ac:dyDescent="0.25">
      <c r="A2153" t="s">
        <v>2230</v>
      </c>
      <c r="B2153" s="3" t="s">
        <v>6086</v>
      </c>
    </row>
    <row r="2154" spans="1:2" ht="112" hidden="1" customHeight="1" x14ac:dyDescent="0.25">
      <c r="A2154" t="s">
        <v>2231</v>
      </c>
      <c r="B2154" s="3" t="s">
        <v>4126</v>
      </c>
    </row>
    <row r="2155" spans="1:2" ht="112" hidden="1" customHeight="1" x14ac:dyDescent="0.25">
      <c r="A2155" t="s">
        <v>2232</v>
      </c>
      <c r="B2155" s="3" t="s">
        <v>6087</v>
      </c>
    </row>
    <row r="2156" spans="1:2" ht="112" hidden="1" customHeight="1" x14ac:dyDescent="0.25">
      <c r="A2156" t="s">
        <v>2233</v>
      </c>
      <c r="B2156" s="3" t="s">
        <v>6088</v>
      </c>
    </row>
    <row r="2157" spans="1:2" ht="112" hidden="1" customHeight="1" x14ac:dyDescent="0.25">
      <c r="A2157" t="s">
        <v>2234</v>
      </c>
      <c r="B2157" s="3" t="s">
        <v>6089</v>
      </c>
    </row>
    <row r="2158" spans="1:2" ht="112" hidden="1" customHeight="1" x14ac:dyDescent="0.25">
      <c r="A2158" t="s">
        <v>2235</v>
      </c>
      <c r="B2158" s="3" t="s">
        <v>6090</v>
      </c>
    </row>
    <row r="2159" spans="1:2" ht="112" hidden="1" customHeight="1" x14ac:dyDescent="0.25">
      <c r="A2159" t="s">
        <v>2236</v>
      </c>
      <c r="B2159" s="3" t="s">
        <v>4127</v>
      </c>
    </row>
    <row r="2160" spans="1:2" ht="112" hidden="1" customHeight="1" x14ac:dyDescent="0.25">
      <c r="A2160" t="s">
        <v>2237</v>
      </c>
      <c r="B2160" s="3" t="s">
        <v>6308</v>
      </c>
    </row>
    <row r="2161" spans="1:2" ht="112" hidden="1" customHeight="1" x14ac:dyDescent="0.25">
      <c r="A2161" t="s">
        <v>2238</v>
      </c>
      <c r="B2161" s="3" t="s">
        <v>6091</v>
      </c>
    </row>
    <row r="2162" spans="1:2" ht="112" hidden="1" customHeight="1" x14ac:dyDescent="0.25">
      <c r="A2162" t="s">
        <v>2239</v>
      </c>
      <c r="B2162" s="3" t="s">
        <v>6092</v>
      </c>
    </row>
    <row r="2163" spans="1:2" ht="112" hidden="1" customHeight="1" x14ac:dyDescent="0.25">
      <c r="A2163" t="s">
        <v>2240</v>
      </c>
      <c r="B2163" s="3" t="s">
        <v>4128</v>
      </c>
    </row>
    <row r="2164" spans="1:2" ht="112" hidden="1" customHeight="1" x14ac:dyDescent="0.25">
      <c r="A2164" t="s">
        <v>2241</v>
      </c>
      <c r="B2164" s="3" t="s">
        <v>6093</v>
      </c>
    </row>
    <row r="2165" spans="1:2" ht="112" hidden="1" customHeight="1" x14ac:dyDescent="0.25">
      <c r="A2165" t="s">
        <v>2242</v>
      </c>
      <c r="B2165" s="3" t="s">
        <v>6094</v>
      </c>
    </row>
    <row r="2166" spans="1:2" ht="112" hidden="1" customHeight="1" x14ac:dyDescent="0.25">
      <c r="A2166" t="s">
        <v>2243</v>
      </c>
      <c r="B2166" s="3" t="s">
        <v>6095</v>
      </c>
    </row>
    <row r="2167" spans="1:2" ht="112" hidden="1" customHeight="1" x14ac:dyDescent="0.25">
      <c r="A2167" t="s">
        <v>2244</v>
      </c>
      <c r="B2167" s="3" t="s">
        <v>6096</v>
      </c>
    </row>
    <row r="2168" spans="1:2" ht="112" hidden="1" customHeight="1" x14ac:dyDescent="0.25">
      <c r="A2168" t="s">
        <v>2245</v>
      </c>
      <c r="B2168" s="3" t="s">
        <v>6097</v>
      </c>
    </row>
    <row r="2169" spans="1:2" ht="112" hidden="1" customHeight="1" x14ac:dyDescent="0.25">
      <c r="A2169" t="s">
        <v>2246</v>
      </c>
      <c r="B2169" s="3" t="s">
        <v>6098</v>
      </c>
    </row>
    <row r="2170" spans="1:2" ht="112" hidden="1" customHeight="1" x14ac:dyDescent="0.25">
      <c r="A2170" t="s">
        <v>2247</v>
      </c>
      <c r="B2170" s="3" t="s">
        <v>6099</v>
      </c>
    </row>
    <row r="2171" spans="1:2" ht="112" hidden="1" customHeight="1" x14ac:dyDescent="0.25">
      <c r="A2171" t="s">
        <v>2248</v>
      </c>
      <c r="B2171" s="3" t="s">
        <v>5851</v>
      </c>
    </row>
    <row r="2172" spans="1:2" ht="112" hidden="1" customHeight="1" x14ac:dyDescent="0.25">
      <c r="A2172" t="s">
        <v>2249</v>
      </c>
      <c r="B2172" s="3" t="s">
        <v>5852</v>
      </c>
    </row>
    <row r="2173" spans="1:2" ht="112" hidden="1" customHeight="1" x14ac:dyDescent="0.25">
      <c r="A2173" t="s">
        <v>2250</v>
      </c>
      <c r="B2173" s="3" t="s">
        <v>5853</v>
      </c>
    </row>
    <row r="2174" spans="1:2" ht="112" hidden="1" customHeight="1" x14ac:dyDescent="0.25">
      <c r="A2174" t="s">
        <v>2251</v>
      </c>
      <c r="B2174" s="3" t="s">
        <v>5854</v>
      </c>
    </row>
    <row r="2175" spans="1:2" ht="112" hidden="1" customHeight="1" x14ac:dyDescent="0.25">
      <c r="A2175" t="s">
        <v>2252</v>
      </c>
      <c r="B2175" s="3" t="s">
        <v>4129</v>
      </c>
    </row>
    <row r="2176" spans="1:2" ht="112" hidden="1" customHeight="1" x14ac:dyDescent="0.25">
      <c r="A2176" t="s">
        <v>2253</v>
      </c>
      <c r="B2176" s="3" t="s">
        <v>5855</v>
      </c>
    </row>
    <row r="2177" spans="1:2" ht="112" hidden="1" customHeight="1" x14ac:dyDescent="0.25">
      <c r="A2177" t="s">
        <v>2254</v>
      </c>
      <c r="B2177" s="3" t="s">
        <v>6309</v>
      </c>
    </row>
    <row r="2178" spans="1:2" ht="112" hidden="1" customHeight="1" x14ac:dyDescent="0.25">
      <c r="A2178" t="s">
        <v>2255</v>
      </c>
      <c r="B2178" s="3" t="s">
        <v>6310</v>
      </c>
    </row>
    <row r="2179" spans="1:2" ht="112" hidden="1" customHeight="1" x14ac:dyDescent="0.25">
      <c r="A2179" t="s">
        <v>2256</v>
      </c>
      <c r="B2179" s="3" t="s">
        <v>6311</v>
      </c>
    </row>
    <row r="2180" spans="1:2" ht="112" hidden="1" customHeight="1" x14ac:dyDescent="0.25">
      <c r="A2180" t="s">
        <v>2257</v>
      </c>
      <c r="B2180" s="3" t="s">
        <v>6312</v>
      </c>
    </row>
    <row r="2181" spans="1:2" ht="112" hidden="1" customHeight="1" x14ac:dyDescent="0.25">
      <c r="A2181" t="s">
        <v>2258</v>
      </c>
      <c r="B2181" s="3" t="s">
        <v>4130</v>
      </c>
    </row>
    <row r="2182" spans="1:2" ht="112" hidden="1" customHeight="1" x14ac:dyDescent="0.25">
      <c r="A2182" t="s">
        <v>2259</v>
      </c>
      <c r="B2182" s="3" t="s">
        <v>6313</v>
      </c>
    </row>
    <row r="2183" spans="1:2" ht="112" hidden="1" customHeight="1" x14ac:dyDescent="0.25">
      <c r="A2183" t="s">
        <v>2260</v>
      </c>
      <c r="B2183" s="3" t="s">
        <v>6314</v>
      </c>
    </row>
    <row r="2184" spans="1:2" ht="112" hidden="1" customHeight="1" x14ac:dyDescent="0.25">
      <c r="A2184" t="s">
        <v>2261</v>
      </c>
      <c r="B2184" s="3" t="s">
        <v>6315</v>
      </c>
    </row>
    <row r="2185" spans="1:2" ht="112" hidden="1" customHeight="1" x14ac:dyDescent="0.25">
      <c r="A2185" t="s">
        <v>2262</v>
      </c>
      <c r="B2185" s="3" t="s">
        <v>4131</v>
      </c>
    </row>
    <row r="2186" spans="1:2" ht="112" hidden="1" customHeight="1" x14ac:dyDescent="0.25">
      <c r="A2186" t="s">
        <v>2263</v>
      </c>
      <c r="B2186" s="3" t="s">
        <v>6687</v>
      </c>
    </row>
    <row r="2187" spans="1:2" ht="112" hidden="1" customHeight="1" x14ac:dyDescent="0.25">
      <c r="A2187" t="s">
        <v>2264</v>
      </c>
      <c r="B2187" s="3" t="s">
        <v>6316</v>
      </c>
    </row>
    <row r="2188" spans="1:2" ht="112" hidden="1" customHeight="1" x14ac:dyDescent="0.25">
      <c r="A2188" t="s">
        <v>2265</v>
      </c>
      <c r="B2188" s="3" t="s">
        <v>6317</v>
      </c>
    </row>
    <row r="2189" spans="1:2" ht="112" hidden="1" customHeight="1" x14ac:dyDescent="0.25">
      <c r="A2189" t="s">
        <v>2266</v>
      </c>
      <c r="B2189" s="3" t="s">
        <v>6318</v>
      </c>
    </row>
    <row r="2190" spans="1:2" ht="112" hidden="1" customHeight="1" x14ac:dyDescent="0.25">
      <c r="A2190" t="s">
        <v>2267</v>
      </c>
      <c r="B2190" s="3" t="s">
        <v>5815</v>
      </c>
    </row>
    <row r="2191" spans="1:2" ht="112" hidden="1" customHeight="1" x14ac:dyDescent="0.25">
      <c r="A2191" t="s">
        <v>2268</v>
      </c>
      <c r="B2191" s="3" t="s">
        <v>6319</v>
      </c>
    </row>
    <row r="2192" spans="1:2" ht="112" hidden="1" customHeight="1" x14ac:dyDescent="0.25">
      <c r="A2192" t="s">
        <v>2269</v>
      </c>
      <c r="B2192" s="3" t="s">
        <v>6420</v>
      </c>
    </row>
    <row r="2193" spans="1:2" ht="112" hidden="1" customHeight="1" x14ac:dyDescent="0.25">
      <c r="A2193" t="s">
        <v>2270</v>
      </c>
      <c r="B2193" s="3" t="s">
        <v>6688</v>
      </c>
    </row>
    <row r="2194" spans="1:2" ht="112" hidden="1" customHeight="1" x14ac:dyDescent="0.25">
      <c r="A2194" t="s">
        <v>2271</v>
      </c>
      <c r="B2194" s="3" t="s">
        <v>6320</v>
      </c>
    </row>
    <row r="2195" spans="1:2" ht="112" hidden="1" customHeight="1" x14ac:dyDescent="0.25">
      <c r="A2195" t="s">
        <v>2272</v>
      </c>
      <c r="B2195" s="3" t="s">
        <v>6321</v>
      </c>
    </row>
    <row r="2196" spans="1:2" ht="112" hidden="1" customHeight="1" x14ac:dyDescent="0.25">
      <c r="A2196" t="s">
        <v>2273</v>
      </c>
      <c r="B2196" s="3" t="s">
        <v>6100</v>
      </c>
    </row>
    <row r="2197" spans="1:2" ht="112" hidden="1" customHeight="1" x14ac:dyDescent="0.25">
      <c r="A2197" t="s">
        <v>2274</v>
      </c>
      <c r="B2197" s="3" t="s">
        <v>6689</v>
      </c>
    </row>
    <row r="2198" spans="1:2" ht="112" hidden="1" customHeight="1" x14ac:dyDescent="0.25">
      <c r="A2198" t="s">
        <v>2276</v>
      </c>
      <c r="B2198" s="3" t="s">
        <v>6101</v>
      </c>
    </row>
    <row r="2199" spans="1:2" ht="112" hidden="1" customHeight="1" x14ac:dyDescent="0.25">
      <c r="A2199" t="s">
        <v>2278</v>
      </c>
      <c r="B2199" s="3" t="s">
        <v>6102</v>
      </c>
    </row>
    <row r="2200" spans="1:2" ht="112" hidden="1" customHeight="1" x14ac:dyDescent="0.25">
      <c r="A2200" t="s">
        <v>2280</v>
      </c>
      <c r="B2200" s="3" t="s">
        <v>6103</v>
      </c>
    </row>
    <row r="2201" spans="1:2" ht="112" hidden="1" customHeight="1" x14ac:dyDescent="0.25">
      <c r="A2201" t="s">
        <v>2281</v>
      </c>
      <c r="B2201" s="3" t="s">
        <v>6104</v>
      </c>
    </row>
    <row r="2202" spans="1:2" ht="112" hidden="1" customHeight="1" x14ac:dyDescent="0.25">
      <c r="A2202" t="s">
        <v>2282</v>
      </c>
      <c r="B2202" s="3" t="s">
        <v>4132</v>
      </c>
    </row>
    <row r="2203" spans="1:2" ht="112" hidden="1" customHeight="1" x14ac:dyDescent="0.25">
      <c r="A2203" t="s">
        <v>2283</v>
      </c>
      <c r="B2203" s="3" t="s">
        <v>4133</v>
      </c>
    </row>
    <row r="2204" spans="1:2" ht="112" hidden="1" customHeight="1" x14ac:dyDescent="0.25">
      <c r="A2204" t="s">
        <v>2284</v>
      </c>
      <c r="B2204" s="3" t="s">
        <v>5856</v>
      </c>
    </row>
    <row r="2205" spans="1:2" ht="112" hidden="1" customHeight="1" x14ac:dyDescent="0.25">
      <c r="A2205" t="s">
        <v>2285</v>
      </c>
      <c r="B2205" s="3" t="s">
        <v>7509</v>
      </c>
    </row>
    <row r="2206" spans="1:2" ht="112" hidden="1" customHeight="1" x14ac:dyDescent="0.25">
      <c r="A2206" t="s">
        <v>2286</v>
      </c>
      <c r="B2206" s="3" t="s">
        <v>5857</v>
      </c>
    </row>
    <row r="2207" spans="1:2" ht="112" hidden="1" customHeight="1" x14ac:dyDescent="0.25">
      <c r="A2207" t="s">
        <v>2287</v>
      </c>
      <c r="B2207" s="3" t="s">
        <v>6690</v>
      </c>
    </row>
    <row r="2208" spans="1:2" ht="112" hidden="1" customHeight="1" x14ac:dyDescent="0.25">
      <c r="A2208" t="s">
        <v>2288</v>
      </c>
      <c r="B2208" s="3" t="s">
        <v>4135</v>
      </c>
    </row>
    <row r="2209" spans="1:2" ht="112" hidden="1" customHeight="1" x14ac:dyDescent="0.25">
      <c r="A2209" t="s">
        <v>2289</v>
      </c>
      <c r="B2209" s="3" t="s">
        <v>4136</v>
      </c>
    </row>
    <row r="2210" spans="1:2" ht="112" hidden="1" customHeight="1" x14ac:dyDescent="0.25">
      <c r="A2210" t="s">
        <v>2290</v>
      </c>
      <c r="B2210" s="3" t="s">
        <v>4137</v>
      </c>
    </row>
    <row r="2211" spans="1:2" ht="112" hidden="1" customHeight="1" x14ac:dyDescent="0.25">
      <c r="A2211" t="s">
        <v>2291</v>
      </c>
      <c r="B2211" s="3" t="s">
        <v>4138</v>
      </c>
    </row>
    <row r="2212" spans="1:2" ht="112" hidden="1" customHeight="1" x14ac:dyDescent="0.25">
      <c r="A2212" t="s">
        <v>2292</v>
      </c>
      <c r="B2212" s="3" t="s">
        <v>4139</v>
      </c>
    </row>
    <row r="2213" spans="1:2" ht="112" hidden="1" customHeight="1" x14ac:dyDescent="0.25">
      <c r="A2213" t="s">
        <v>2293</v>
      </c>
      <c r="B2213" s="3" t="s">
        <v>4140</v>
      </c>
    </row>
    <row r="2214" spans="1:2" ht="112" hidden="1" customHeight="1" x14ac:dyDescent="0.25">
      <c r="A2214" t="s">
        <v>2294</v>
      </c>
      <c r="B2214" s="3" t="s">
        <v>4141</v>
      </c>
    </row>
    <row r="2215" spans="1:2" ht="112" hidden="1" customHeight="1" x14ac:dyDescent="0.25">
      <c r="A2215" t="s">
        <v>2295</v>
      </c>
      <c r="B2215" s="3" t="s">
        <v>4142</v>
      </c>
    </row>
    <row r="2216" spans="1:2" ht="112" hidden="1" customHeight="1" x14ac:dyDescent="0.25">
      <c r="A2216" t="s">
        <v>2296</v>
      </c>
      <c r="B2216" s="3" t="s">
        <v>4143</v>
      </c>
    </row>
    <row r="2217" spans="1:2" ht="112" hidden="1" customHeight="1" x14ac:dyDescent="0.25">
      <c r="A2217" t="s">
        <v>2297</v>
      </c>
      <c r="B2217" s="3" t="s">
        <v>4144</v>
      </c>
    </row>
    <row r="2218" spans="1:2" ht="112" hidden="1" customHeight="1" x14ac:dyDescent="0.25">
      <c r="A2218" t="s">
        <v>2298</v>
      </c>
      <c r="B2218" s="3" t="s">
        <v>4145</v>
      </c>
    </row>
    <row r="2219" spans="1:2" ht="112" hidden="1" customHeight="1" x14ac:dyDescent="0.25">
      <c r="A2219" t="s">
        <v>2299</v>
      </c>
      <c r="B2219" s="3" t="s">
        <v>4146</v>
      </c>
    </row>
    <row r="2220" spans="1:2" ht="112" hidden="1" customHeight="1" x14ac:dyDescent="0.25">
      <c r="A2220" t="s">
        <v>2300</v>
      </c>
      <c r="B2220" s="3" t="s">
        <v>4147</v>
      </c>
    </row>
    <row r="2221" spans="1:2" ht="112" hidden="1" customHeight="1" x14ac:dyDescent="0.25">
      <c r="A2221" t="s">
        <v>2301</v>
      </c>
      <c r="B2221" s="3" t="s">
        <v>4148</v>
      </c>
    </row>
    <row r="2222" spans="1:2" ht="112" hidden="1" customHeight="1" x14ac:dyDescent="0.25">
      <c r="A2222" t="s">
        <v>2302</v>
      </c>
      <c r="B2222" s="3" t="s">
        <v>4149</v>
      </c>
    </row>
    <row r="2223" spans="1:2" ht="112" hidden="1" customHeight="1" x14ac:dyDescent="0.25">
      <c r="A2223" t="s">
        <v>2303</v>
      </c>
      <c r="B2223" s="3" t="s">
        <v>4150</v>
      </c>
    </row>
    <row r="2224" spans="1:2" ht="112" hidden="1" customHeight="1" x14ac:dyDescent="0.25">
      <c r="A2224" t="s">
        <v>2304</v>
      </c>
      <c r="B2224" s="3" t="s">
        <v>6468</v>
      </c>
    </row>
    <row r="2225" spans="1:2" ht="112" hidden="1" customHeight="1" x14ac:dyDescent="0.25">
      <c r="A2225" t="s">
        <v>2305</v>
      </c>
      <c r="B2225" s="3" t="s">
        <v>4151</v>
      </c>
    </row>
    <row r="2226" spans="1:2" ht="112" hidden="1" customHeight="1" x14ac:dyDescent="0.25">
      <c r="A2226" t="s">
        <v>2306</v>
      </c>
      <c r="B2226" s="3" t="s">
        <v>4152</v>
      </c>
    </row>
    <row r="2227" spans="1:2" ht="112" hidden="1" customHeight="1" x14ac:dyDescent="0.25">
      <c r="A2227" t="s">
        <v>2307</v>
      </c>
      <c r="B2227" s="3" t="s">
        <v>4153</v>
      </c>
    </row>
    <row r="2228" spans="1:2" ht="112" hidden="1" customHeight="1" x14ac:dyDescent="0.25">
      <c r="A2228" t="s">
        <v>2308</v>
      </c>
      <c r="B2228" s="3" t="s">
        <v>4154</v>
      </c>
    </row>
    <row r="2229" spans="1:2" ht="112" hidden="1" customHeight="1" x14ac:dyDescent="0.25">
      <c r="A2229" t="s">
        <v>2309</v>
      </c>
      <c r="B2229" s="3" t="s">
        <v>4155</v>
      </c>
    </row>
    <row r="2230" spans="1:2" ht="112" hidden="1" customHeight="1" x14ac:dyDescent="0.25">
      <c r="A2230" t="s">
        <v>2310</v>
      </c>
      <c r="B2230" s="3" t="s">
        <v>4156</v>
      </c>
    </row>
    <row r="2231" spans="1:2" ht="112" hidden="1" customHeight="1" x14ac:dyDescent="0.25">
      <c r="A2231" t="s">
        <v>2311</v>
      </c>
      <c r="B2231" s="3" t="s">
        <v>4157</v>
      </c>
    </row>
    <row r="2232" spans="1:2" ht="112" hidden="1" customHeight="1" x14ac:dyDescent="0.25">
      <c r="A2232" t="s">
        <v>2312</v>
      </c>
      <c r="B2232" s="3" t="s">
        <v>4158</v>
      </c>
    </row>
    <row r="2233" spans="1:2" ht="112" hidden="1" customHeight="1" x14ac:dyDescent="0.25">
      <c r="A2233" t="s">
        <v>2313</v>
      </c>
      <c r="B2233" s="3" t="s">
        <v>4159</v>
      </c>
    </row>
    <row r="2234" spans="1:2" ht="112" hidden="1" customHeight="1" x14ac:dyDescent="0.25">
      <c r="A2234" t="s">
        <v>2314</v>
      </c>
      <c r="B2234" s="3" t="s">
        <v>4160</v>
      </c>
    </row>
    <row r="2235" spans="1:2" ht="112" hidden="1" customHeight="1" x14ac:dyDescent="0.25">
      <c r="A2235" t="s">
        <v>2315</v>
      </c>
      <c r="B2235" s="3" t="s">
        <v>4161</v>
      </c>
    </row>
    <row r="2236" spans="1:2" ht="112" hidden="1" customHeight="1" x14ac:dyDescent="0.25">
      <c r="A2236" t="s">
        <v>2316</v>
      </c>
      <c r="B2236" s="3" t="s">
        <v>4162</v>
      </c>
    </row>
    <row r="2237" spans="1:2" ht="112" hidden="1" customHeight="1" x14ac:dyDescent="0.25">
      <c r="A2237" t="s">
        <v>2317</v>
      </c>
      <c r="B2237" s="3" t="s">
        <v>4163</v>
      </c>
    </row>
    <row r="2238" spans="1:2" ht="112" hidden="1" customHeight="1" x14ac:dyDescent="0.25">
      <c r="A2238" t="s">
        <v>2318</v>
      </c>
      <c r="B2238" s="3" t="s">
        <v>4164</v>
      </c>
    </row>
    <row r="2239" spans="1:2" ht="112" hidden="1" customHeight="1" x14ac:dyDescent="0.25">
      <c r="A2239" t="s">
        <v>2319</v>
      </c>
      <c r="B2239" s="3" t="s">
        <v>4165</v>
      </c>
    </row>
    <row r="2240" spans="1:2" ht="112" hidden="1" customHeight="1" x14ac:dyDescent="0.25">
      <c r="A2240" t="s">
        <v>2320</v>
      </c>
      <c r="B2240" s="3" t="s">
        <v>4166</v>
      </c>
    </row>
    <row r="2241" spans="1:2" ht="112" hidden="1" customHeight="1" x14ac:dyDescent="0.25">
      <c r="A2241" t="s">
        <v>2321</v>
      </c>
      <c r="B2241" s="3" t="s">
        <v>4167</v>
      </c>
    </row>
    <row r="2242" spans="1:2" ht="112" hidden="1" customHeight="1" x14ac:dyDescent="0.25">
      <c r="A2242" t="s">
        <v>2322</v>
      </c>
      <c r="B2242" s="3" t="s">
        <v>4168</v>
      </c>
    </row>
    <row r="2243" spans="1:2" ht="112" hidden="1" customHeight="1" x14ac:dyDescent="0.25">
      <c r="A2243" t="s">
        <v>2323</v>
      </c>
      <c r="B2243" s="3" t="s">
        <v>4169</v>
      </c>
    </row>
    <row r="2244" spans="1:2" ht="112" hidden="1" customHeight="1" x14ac:dyDescent="0.25">
      <c r="A2244" t="s">
        <v>2324</v>
      </c>
      <c r="B2244" s="3" t="s">
        <v>4170</v>
      </c>
    </row>
    <row r="2245" spans="1:2" ht="112" hidden="1" customHeight="1" x14ac:dyDescent="0.25">
      <c r="A2245" t="s">
        <v>2325</v>
      </c>
      <c r="B2245" s="3" t="s">
        <v>6691</v>
      </c>
    </row>
    <row r="2246" spans="1:2" ht="112" hidden="1" customHeight="1" x14ac:dyDescent="0.25">
      <c r="A2246" t="s">
        <v>2328</v>
      </c>
      <c r="B2246" s="3" t="s">
        <v>6105</v>
      </c>
    </row>
    <row r="2247" spans="1:2" ht="112" hidden="1" customHeight="1" x14ac:dyDescent="0.25">
      <c r="A2247" t="s">
        <v>2329</v>
      </c>
      <c r="B2247" s="3" t="s">
        <v>4171</v>
      </c>
    </row>
    <row r="2248" spans="1:2" ht="112" hidden="1" customHeight="1" x14ac:dyDescent="0.25">
      <c r="A2248" t="s">
        <v>2330</v>
      </c>
      <c r="B2248" s="3" t="s">
        <v>4172</v>
      </c>
    </row>
    <row r="2249" spans="1:2" ht="112" hidden="1" customHeight="1" x14ac:dyDescent="0.25">
      <c r="A2249" t="s">
        <v>2331</v>
      </c>
      <c r="B2249" s="3" t="s">
        <v>4173</v>
      </c>
    </row>
    <row r="2250" spans="1:2" ht="112" hidden="1" customHeight="1" x14ac:dyDescent="0.25">
      <c r="A2250" t="s">
        <v>2332</v>
      </c>
      <c r="B2250" s="3" t="s">
        <v>6322</v>
      </c>
    </row>
    <row r="2251" spans="1:2" ht="112" hidden="1" customHeight="1" x14ac:dyDescent="0.25">
      <c r="A2251" t="s">
        <v>2333</v>
      </c>
      <c r="B2251" s="3" t="s">
        <v>6106</v>
      </c>
    </row>
    <row r="2252" spans="1:2" ht="112" hidden="1" customHeight="1" x14ac:dyDescent="0.25">
      <c r="A2252" t="s">
        <v>2334</v>
      </c>
      <c r="B2252" s="3" t="s">
        <v>7510</v>
      </c>
    </row>
    <row r="2253" spans="1:2" ht="112" hidden="1" customHeight="1" x14ac:dyDescent="0.25">
      <c r="A2253" t="s">
        <v>2335</v>
      </c>
      <c r="B2253" s="3" t="s">
        <v>6692</v>
      </c>
    </row>
    <row r="2254" spans="1:2" ht="112" hidden="1" customHeight="1" x14ac:dyDescent="0.25">
      <c r="A2254" t="s">
        <v>2336</v>
      </c>
      <c r="B2254" s="3" t="s">
        <v>6693</v>
      </c>
    </row>
    <row r="2255" spans="1:2" ht="112" hidden="1" customHeight="1" x14ac:dyDescent="0.25">
      <c r="A2255" t="s">
        <v>2337</v>
      </c>
      <c r="B2255" s="3" t="s">
        <v>6694</v>
      </c>
    </row>
    <row r="2256" spans="1:2" ht="112" hidden="1" customHeight="1" x14ac:dyDescent="0.25">
      <c r="A2256" t="s">
        <v>2338</v>
      </c>
      <c r="B2256" s="3" t="s">
        <v>6695</v>
      </c>
    </row>
    <row r="2257" spans="1:2" ht="112" hidden="1" customHeight="1" x14ac:dyDescent="0.25">
      <c r="A2257" t="s">
        <v>2339</v>
      </c>
      <c r="B2257" s="3" t="s">
        <v>5444</v>
      </c>
    </row>
    <row r="2258" spans="1:2" ht="112" hidden="1" customHeight="1" x14ac:dyDescent="0.25">
      <c r="A2258" t="s">
        <v>2340</v>
      </c>
      <c r="B2258" s="3" t="s">
        <v>5445</v>
      </c>
    </row>
    <row r="2259" spans="1:2" ht="112" hidden="1" customHeight="1" x14ac:dyDescent="0.25">
      <c r="A2259" t="s">
        <v>2341</v>
      </c>
      <c r="B2259" s="3" t="s">
        <v>6323</v>
      </c>
    </row>
    <row r="2260" spans="1:2" ht="112" hidden="1" customHeight="1" x14ac:dyDescent="0.25">
      <c r="A2260" t="s">
        <v>2342</v>
      </c>
      <c r="B2260" s="3" t="s">
        <v>4174</v>
      </c>
    </row>
    <row r="2261" spans="1:2" ht="112" hidden="1" customHeight="1" x14ac:dyDescent="0.25">
      <c r="A2261" t="s">
        <v>2343</v>
      </c>
      <c r="B2261" s="3" t="s">
        <v>4175</v>
      </c>
    </row>
    <row r="2262" spans="1:2" ht="112" hidden="1" customHeight="1" x14ac:dyDescent="0.25">
      <c r="A2262" t="s">
        <v>2344</v>
      </c>
      <c r="B2262" s="3" t="s">
        <v>4176</v>
      </c>
    </row>
    <row r="2263" spans="1:2" ht="112" hidden="1" customHeight="1" x14ac:dyDescent="0.25">
      <c r="A2263" t="s">
        <v>2345</v>
      </c>
      <c r="B2263" s="3" t="s">
        <v>4177</v>
      </c>
    </row>
    <row r="2264" spans="1:2" ht="112" hidden="1" customHeight="1" x14ac:dyDescent="0.25">
      <c r="A2264" t="s">
        <v>2346</v>
      </c>
      <c r="B2264" s="3" t="s">
        <v>4178</v>
      </c>
    </row>
    <row r="2265" spans="1:2" ht="112" hidden="1" customHeight="1" x14ac:dyDescent="0.25">
      <c r="A2265" t="s">
        <v>2347</v>
      </c>
      <c r="B2265" s="3" t="s">
        <v>4179</v>
      </c>
    </row>
    <row r="2266" spans="1:2" ht="112" hidden="1" customHeight="1" x14ac:dyDescent="0.25">
      <c r="A2266" t="s">
        <v>2348</v>
      </c>
      <c r="B2266" s="3" t="s">
        <v>6107</v>
      </c>
    </row>
    <row r="2267" spans="1:2" ht="112" hidden="1" customHeight="1" x14ac:dyDescent="0.25">
      <c r="A2267" t="s">
        <v>2349</v>
      </c>
      <c r="B2267" s="3" t="s">
        <v>6108</v>
      </c>
    </row>
    <row r="2268" spans="1:2" ht="112" hidden="1" customHeight="1" x14ac:dyDescent="0.25">
      <c r="A2268" t="s">
        <v>2350</v>
      </c>
      <c r="B2268" s="3" t="s">
        <v>6109</v>
      </c>
    </row>
    <row r="2269" spans="1:2" ht="112" hidden="1" customHeight="1" x14ac:dyDescent="0.25">
      <c r="A2269" t="s">
        <v>2351</v>
      </c>
      <c r="B2269" s="3" t="s">
        <v>6110</v>
      </c>
    </row>
    <row r="2270" spans="1:2" ht="112" hidden="1" customHeight="1" x14ac:dyDescent="0.25">
      <c r="A2270" t="s">
        <v>2352</v>
      </c>
      <c r="B2270" s="3" t="s">
        <v>6111</v>
      </c>
    </row>
    <row r="2271" spans="1:2" ht="112" hidden="1" customHeight="1" x14ac:dyDescent="0.25">
      <c r="A2271" t="s">
        <v>2353</v>
      </c>
      <c r="B2271" s="3" t="s">
        <v>6112</v>
      </c>
    </row>
    <row r="2272" spans="1:2" ht="112" hidden="1" customHeight="1" x14ac:dyDescent="0.25">
      <c r="A2272" t="s">
        <v>2354</v>
      </c>
      <c r="B2272" s="3" t="s">
        <v>4180</v>
      </c>
    </row>
    <row r="2273" spans="1:2" ht="112" hidden="1" customHeight="1" x14ac:dyDescent="0.25">
      <c r="A2273" t="s">
        <v>2355</v>
      </c>
      <c r="B2273" s="3" t="s">
        <v>6421</v>
      </c>
    </row>
    <row r="2274" spans="1:2" ht="112" hidden="1" customHeight="1" x14ac:dyDescent="0.25">
      <c r="A2274" t="s">
        <v>2356</v>
      </c>
      <c r="B2274" s="3" t="s">
        <v>4181</v>
      </c>
    </row>
    <row r="2275" spans="1:2" ht="112" hidden="1" customHeight="1" x14ac:dyDescent="0.25">
      <c r="A2275" t="s">
        <v>2357</v>
      </c>
      <c r="B2275" s="3" t="s">
        <v>7511</v>
      </c>
    </row>
    <row r="2276" spans="1:2" ht="112" hidden="1" customHeight="1" x14ac:dyDescent="0.25">
      <c r="A2276" t="s">
        <v>2358</v>
      </c>
      <c r="B2276" s="3" t="s">
        <v>4183</v>
      </c>
    </row>
    <row r="2277" spans="1:2" ht="112" hidden="1" customHeight="1" x14ac:dyDescent="0.25">
      <c r="A2277" t="s">
        <v>2359</v>
      </c>
      <c r="B2277" s="3" t="s">
        <v>4184</v>
      </c>
    </row>
    <row r="2278" spans="1:2" ht="112" hidden="1" customHeight="1" x14ac:dyDescent="0.25">
      <c r="A2278" t="s">
        <v>2360</v>
      </c>
      <c r="B2278" s="3" t="s">
        <v>4185</v>
      </c>
    </row>
    <row r="2279" spans="1:2" ht="112" hidden="1" customHeight="1" x14ac:dyDescent="0.25">
      <c r="A2279" t="s">
        <v>2361</v>
      </c>
      <c r="B2279" s="3" t="s">
        <v>4186</v>
      </c>
    </row>
    <row r="2280" spans="1:2" ht="112" hidden="1" customHeight="1" x14ac:dyDescent="0.25">
      <c r="A2280" t="s">
        <v>2362</v>
      </c>
      <c r="B2280" s="3" t="s">
        <v>4187</v>
      </c>
    </row>
    <row r="2281" spans="1:2" ht="112" hidden="1" customHeight="1" x14ac:dyDescent="0.25">
      <c r="A2281" t="s">
        <v>2363</v>
      </c>
      <c r="B2281" s="3" t="s">
        <v>4188</v>
      </c>
    </row>
    <row r="2282" spans="1:2" ht="112" hidden="1" customHeight="1" x14ac:dyDescent="0.25">
      <c r="A2282" t="s">
        <v>2364</v>
      </c>
      <c r="B2282" s="3" t="s">
        <v>4189</v>
      </c>
    </row>
    <row r="2283" spans="1:2" ht="112" hidden="1" customHeight="1" x14ac:dyDescent="0.25">
      <c r="A2283" t="s">
        <v>2365</v>
      </c>
      <c r="B2283" s="3" t="s">
        <v>4190</v>
      </c>
    </row>
    <row r="2284" spans="1:2" ht="112" hidden="1" customHeight="1" x14ac:dyDescent="0.25">
      <c r="A2284" t="s">
        <v>2366</v>
      </c>
      <c r="B2284" s="3" t="s">
        <v>4191</v>
      </c>
    </row>
    <row r="2285" spans="1:2" ht="112" hidden="1" customHeight="1" x14ac:dyDescent="0.25">
      <c r="A2285" t="s">
        <v>2367</v>
      </c>
      <c r="B2285" s="3" t="s">
        <v>4192</v>
      </c>
    </row>
    <row r="2286" spans="1:2" ht="112" hidden="1" customHeight="1" x14ac:dyDescent="0.25">
      <c r="A2286" t="s">
        <v>2368</v>
      </c>
      <c r="B2286" s="3" t="s">
        <v>4193</v>
      </c>
    </row>
    <row r="2287" spans="1:2" ht="112" hidden="1" customHeight="1" x14ac:dyDescent="0.25">
      <c r="A2287" t="s">
        <v>2369</v>
      </c>
      <c r="B2287" s="3" t="s">
        <v>4194</v>
      </c>
    </row>
    <row r="2288" spans="1:2" ht="112" hidden="1" customHeight="1" x14ac:dyDescent="0.25">
      <c r="A2288" t="s">
        <v>2370</v>
      </c>
      <c r="B2288" s="3" t="s">
        <v>4195</v>
      </c>
    </row>
    <row r="2289" spans="1:2" ht="112" hidden="1" customHeight="1" x14ac:dyDescent="0.25">
      <c r="A2289" t="s">
        <v>2371</v>
      </c>
      <c r="B2289" s="3" t="s">
        <v>4196</v>
      </c>
    </row>
    <row r="2290" spans="1:2" ht="112" hidden="1" customHeight="1" x14ac:dyDescent="0.25">
      <c r="A2290" t="s">
        <v>2372</v>
      </c>
      <c r="B2290" s="3" t="s">
        <v>4197</v>
      </c>
    </row>
    <row r="2291" spans="1:2" ht="112" hidden="1" customHeight="1" x14ac:dyDescent="0.25">
      <c r="A2291" t="s">
        <v>2373</v>
      </c>
      <c r="B2291" s="3" t="s">
        <v>4198</v>
      </c>
    </row>
    <row r="2292" spans="1:2" ht="112" hidden="1" customHeight="1" x14ac:dyDescent="0.25">
      <c r="A2292" t="s">
        <v>2374</v>
      </c>
      <c r="B2292" s="3" t="s">
        <v>4199</v>
      </c>
    </row>
    <row r="2293" spans="1:2" ht="112" hidden="1" customHeight="1" x14ac:dyDescent="0.25">
      <c r="A2293" t="s">
        <v>2375</v>
      </c>
      <c r="B2293" s="3" t="s">
        <v>4200</v>
      </c>
    </row>
    <row r="2294" spans="1:2" ht="112" hidden="1" customHeight="1" x14ac:dyDescent="0.25">
      <c r="A2294" t="s">
        <v>2376</v>
      </c>
      <c r="B2294" s="3" t="s">
        <v>4201</v>
      </c>
    </row>
    <row r="2295" spans="1:2" ht="112" hidden="1" customHeight="1" x14ac:dyDescent="0.25">
      <c r="A2295" t="s">
        <v>2377</v>
      </c>
      <c r="B2295" s="3" t="s">
        <v>4202</v>
      </c>
    </row>
    <row r="2296" spans="1:2" ht="112" hidden="1" customHeight="1" x14ac:dyDescent="0.25">
      <c r="A2296" t="s">
        <v>2378</v>
      </c>
      <c r="B2296" s="3" t="s">
        <v>4203</v>
      </c>
    </row>
    <row r="2297" spans="1:2" ht="112" hidden="1" customHeight="1" x14ac:dyDescent="0.25">
      <c r="A2297" t="s">
        <v>2379</v>
      </c>
      <c r="B2297" s="3" t="s">
        <v>4204</v>
      </c>
    </row>
    <row r="2298" spans="1:2" ht="112" hidden="1" customHeight="1" x14ac:dyDescent="0.25">
      <c r="A2298" t="s">
        <v>2380</v>
      </c>
      <c r="B2298" s="3" t="s">
        <v>4205</v>
      </c>
    </row>
    <row r="2299" spans="1:2" ht="112" hidden="1" customHeight="1" x14ac:dyDescent="0.25">
      <c r="A2299" t="s">
        <v>2381</v>
      </c>
      <c r="B2299" s="3" t="s">
        <v>4206</v>
      </c>
    </row>
    <row r="2300" spans="1:2" ht="112" hidden="1" customHeight="1" x14ac:dyDescent="0.25">
      <c r="A2300" t="s">
        <v>2382</v>
      </c>
      <c r="B2300" s="3" t="s">
        <v>4207</v>
      </c>
    </row>
    <row r="2301" spans="1:2" ht="112" hidden="1" customHeight="1" x14ac:dyDescent="0.25">
      <c r="A2301" t="s">
        <v>2383</v>
      </c>
      <c r="B2301" s="3" t="s">
        <v>6324</v>
      </c>
    </row>
    <row r="2302" spans="1:2" ht="112" hidden="1" customHeight="1" x14ac:dyDescent="0.25">
      <c r="A2302" t="s">
        <v>2384</v>
      </c>
      <c r="B2302" s="3" t="s">
        <v>6325</v>
      </c>
    </row>
    <row r="2303" spans="1:2" ht="112" hidden="1" customHeight="1" x14ac:dyDescent="0.25">
      <c r="A2303" t="s">
        <v>2385</v>
      </c>
      <c r="B2303" s="3" t="s">
        <v>4208</v>
      </c>
    </row>
    <row r="2304" spans="1:2" ht="112" hidden="1" customHeight="1" x14ac:dyDescent="0.25">
      <c r="A2304" t="s">
        <v>2386</v>
      </c>
      <c r="B2304" s="3" t="s">
        <v>4209</v>
      </c>
    </row>
    <row r="2305" spans="1:2" ht="112" hidden="1" customHeight="1" x14ac:dyDescent="0.25">
      <c r="A2305" t="s">
        <v>2387</v>
      </c>
      <c r="B2305" s="3" t="s">
        <v>4210</v>
      </c>
    </row>
    <row r="2306" spans="1:2" ht="112" hidden="1" customHeight="1" x14ac:dyDescent="0.25">
      <c r="A2306" t="s">
        <v>2388</v>
      </c>
      <c r="B2306" s="3" t="s">
        <v>4211</v>
      </c>
    </row>
    <row r="2307" spans="1:2" ht="112" hidden="1" customHeight="1" x14ac:dyDescent="0.25">
      <c r="A2307" t="s">
        <v>2389</v>
      </c>
      <c r="B2307" s="3" t="s">
        <v>4212</v>
      </c>
    </row>
    <row r="2308" spans="1:2" ht="112" hidden="1" customHeight="1" x14ac:dyDescent="0.25">
      <c r="A2308" t="s">
        <v>2390</v>
      </c>
      <c r="B2308" s="3" t="s">
        <v>6696</v>
      </c>
    </row>
    <row r="2309" spans="1:2" ht="112" hidden="1" customHeight="1" x14ac:dyDescent="0.25">
      <c r="A2309" t="s">
        <v>2391</v>
      </c>
      <c r="B2309" s="3" t="s">
        <v>4213</v>
      </c>
    </row>
    <row r="2310" spans="1:2" ht="112" hidden="1" customHeight="1" x14ac:dyDescent="0.25">
      <c r="A2310" t="s">
        <v>2392</v>
      </c>
      <c r="B2310" s="3" t="s">
        <v>4214</v>
      </c>
    </row>
    <row r="2311" spans="1:2" ht="112" hidden="1" customHeight="1" x14ac:dyDescent="0.25">
      <c r="A2311" t="s">
        <v>2393</v>
      </c>
      <c r="B2311" s="3" t="s">
        <v>6697</v>
      </c>
    </row>
    <row r="2312" spans="1:2" ht="112" hidden="1" customHeight="1" x14ac:dyDescent="0.25">
      <c r="A2312" t="s">
        <v>2394</v>
      </c>
      <c r="B2312" s="3" t="s">
        <v>6698</v>
      </c>
    </row>
    <row r="2313" spans="1:2" ht="112" hidden="1" customHeight="1" x14ac:dyDescent="0.25">
      <c r="A2313" t="s">
        <v>2395</v>
      </c>
      <c r="B2313" s="3" t="s">
        <v>6699</v>
      </c>
    </row>
    <row r="2314" spans="1:2" ht="112" hidden="1" customHeight="1" x14ac:dyDescent="0.25">
      <c r="A2314" t="s">
        <v>2396</v>
      </c>
      <c r="B2314" s="3" t="s">
        <v>6700</v>
      </c>
    </row>
    <row r="2315" spans="1:2" ht="112" hidden="1" customHeight="1" x14ac:dyDescent="0.25">
      <c r="A2315" t="s">
        <v>2397</v>
      </c>
      <c r="B2315" s="3" t="s">
        <v>6701</v>
      </c>
    </row>
    <row r="2316" spans="1:2" ht="112" hidden="1" customHeight="1" x14ac:dyDescent="0.25">
      <c r="A2316" t="s">
        <v>2398</v>
      </c>
      <c r="B2316" s="3" t="s">
        <v>4215</v>
      </c>
    </row>
    <row r="2317" spans="1:2" ht="112" hidden="1" customHeight="1" x14ac:dyDescent="0.25">
      <c r="A2317" t="s">
        <v>2399</v>
      </c>
      <c r="B2317" s="3" t="s">
        <v>4216</v>
      </c>
    </row>
    <row r="2318" spans="1:2" ht="112" hidden="1" customHeight="1" x14ac:dyDescent="0.25">
      <c r="A2318" t="s">
        <v>2400</v>
      </c>
      <c r="B2318" s="3" t="s">
        <v>4217</v>
      </c>
    </row>
    <row r="2319" spans="1:2" ht="112" hidden="1" customHeight="1" x14ac:dyDescent="0.25">
      <c r="A2319" t="s">
        <v>2401</v>
      </c>
      <c r="B2319" s="3" t="s">
        <v>6702</v>
      </c>
    </row>
    <row r="2320" spans="1:2" ht="112" hidden="1" customHeight="1" x14ac:dyDescent="0.25">
      <c r="A2320" t="s">
        <v>2402</v>
      </c>
      <c r="B2320" s="3" t="s">
        <v>4218</v>
      </c>
    </row>
    <row r="2321" spans="1:2" ht="112" hidden="1" customHeight="1" x14ac:dyDescent="0.25">
      <c r="A2321" t="s">
        <v>2403</v>
      </c>
      <c r="B2321" s="3" t="s">
        <v>4219</v>
      </c>
    </row>
    <row r="2322" spans="1:2" ht="112" hidden="1" customHeight="1" x14ac:dyDescent="0.25">
      <c r="A2322" t="s">
        <v>2404</v>
      </c>
      <c r="B2322" s="3" t="s">
        <v>6703</v>
      </c>
    </row>
    <row r="2323" spans="1:2" ht="112" hidden="1" customHeight="1" x14ac:dyDescent="0.25">
      <c r="A2323" t="s">
        <v>2405</v>
      </c>
      <c r="B2323" s="3" t="s">
        <v>4220</v>
      </c>
    </row>
    <row r="2324" spans="1:2" ht="112" hidden="1" customHeight="1" x14ac:dyDescent="0.25">
      <c r="A2324" t="s">
        <v>2406</v>
      </c>
      <c r="B2324" s="3" t="s">
        <v>6704</v>
      </c>
    </row>
    <row r="2325" spans="1:2" ht="112" hidden="1" customHeight="1" x14ac:dyDescent="0.25">
      <c r="A2325" t="s">
        <v>2407</v>
      </c>
      <c r="B2325" s="3" t="s">
        <v>4221</v>
      </c>
    </row>
    <row r="2326" spans="1:2" ht="112" hidden="1" customHeight="1" x14ac:dyDescent="0.25">
      <c r="A2326" t="s">
        <v>2408</v>
      </c>
      <c r="B2326" s="3" t="s">
        <v>4222</v>
      </c>
    </row>
    <row r="2327" spans="1:2" ht="112" hidden="1" customHeight="1" x14ac:dyDescent="0.25">
      <c r="A2327" t="s">
        <v>2409</v>
      </c>
      <c r="B2327" s="3" t="s">
        <v>4223</v>
      </c>
    </row>
    <row r="2328" spans="1:2" ht="112" hidden="1" customHeight="1" x14ac:dyDescent="0.25">
      <c r="A2328" t="s">
        <v>2565</v>
      </c>
      <c r="B2328" s="3" t="s">
        <v>6113</v>
      </c>
    </row>
    <row r="2329" spans="1:2" ht="112" hidden="1" customHeight="1" x14ac:dyDescent="0.25">
      <c r="A2329" t="s">
        <v>2410</v>
      </c>
      <c r="B2329" s="3" t="s">
        <v>6114</v>
      </c>
    </row>
    <row r="2330" spans="1:2" ht="112" hidden="1" customHeight="1" x14ac:dyDescent="0.25">
      <c r="A2330" t="s">
        <v>2411</v>
      </c>
      <c r="B2330" s="3" t="s">
        <v>4224</v>
      </c>
    </row>
    <row r="2331" spans="1:2" ht="112" hidden="1" customHeight="1" x14ac:dyDescent="0.25">
      <c r="A2331" t="s">
        <v>2412</v>
      </c>
      <c r="B2331" s="3" t="s">
        <v>6422</v>
      </c>
    </row>
    <row r="2332" spans="1:2" ht="112" hidden="1" customHeight="1" x14ac:dyDescent="0.25">
      <c r="A2332" t="s">
        <v>2413</v>
      </c>
      <c r="B2332" s="3" t="s">
        <v>5816</v>
      </c>
    </row>
    <row r="2333" spans="1:2" ht="112" hidden="1" customHeight="1" x14ac:dyDescent="0.25">
      <c r="A2333" t="s">
        <v>2414</v>
      </c>
      <c r="B2333" s="3" t="s">
        <v>5817</v>
      </c>
    </row>
    <row r="2334" spans="1:2" ht="112" hidden="1" customHeight="1" x14ac:dyDescent="0.25">
      <c r="A2334" t="s">
        <v>2415</v>
      </c>
      <c r="B2334" s="3" t="s">
        <v>5818</v>
      </c>
    </row>
    <row r="2335" spans="1:2" ht="112" hidden="1" customHeight="1" x14ac:dyDescent="0.25">
      <c r="A2335" t="s">
        <v>2416</v>
      </c>
      <c r="B2335" s="3" t="s">
        <v>6115</v>
      </c>
    </row>
    <row r="2336" spans="1:2" ht="112" hidden="1" customHeight="1" x14ac:dyDescent="0.25">
      <c r="A2336" t="s">
        <v>2417</v>
      </c>
      <c r="B2336" s="3" t="s">
        <v>4225</v>
      </c>
    </row>
    <row r="2337" spans="1:2" ht="112" hidden="1" customHeight="1" x14ac:dyDescent="0.25">
      <c r="A2337" t="s">
        <v>2418</v>
      </c>
      <c r="B2337" s="3" t="s">
        <v>4226</v>
      </c>
    </row>
    <row r="2338" spans="1:2" ht="112" hidden="1" customHeight="1" x14ac:dyDescent="0.25">
      <c r="A2338" t="s">
        <v>2419</v>
      </c>
      <c r="B2338" s="3" t="s">
        <v>4227</v>
      </c>
    </row>
    <row r="2339" spans="1:2" ht="112" hidden="1" customHeight="1" x14ac:dyDescent="0.25">
      <c r="A2339" t="s">
        <v>2420</v>
      </c>
      <c r="B2339" s="3" t="s">
        <v>4228</v>
      </c>
    </row>
    <row r="2340" spans="1:2" ht="112" hidden="1" customHeight="1" x14ac:dyDescent="0.25">
      <c r="A2340" t="s">
        <v>2421</v>
      </c>
      <c r="B2340" s="3" t="s">
        <v>4229</v>
      </c>
    </row>
    <row r="2341" spans="1:2" ht="112" hidden="1" customHeight="1" x14ac:dyDescent="0.25">
      <c r="A2341" t="s">
        <v>2422</v>
      </c>
      <c r="B2341" s="3" t="s">
        <v>4230</v>
      </c>
    </row>
    <row r="2342" spans="1:2" ht="112" hidden="1" customHeight="1" x14ac:dyDescent="0.25">
      <c r="A2342" t="s">
        <v>2423</v>
      </c>
      <c r="B2342" s="3" t="s">
        <v>4231</v>
      </c>
    </row>
    <row r="2343" spans="1:2" ht="112" hidden="1" customHeight="1" x14ac:dyDescent="0.25">
      <c r="A2343" t="s">
        <v>2424</v>
      </c>
      <c r="B2343" s="3" t="s">
        <v>6513</v>
      </c>
    </row>
    <row r="2344" spans="1:2" ht="112" hidden="1" customHeight="1" x14ac:dyDescent="0.25">
      <c r="A2344" t="s">
        <v>2425</v>
      </c>
      <c r="B2344" s="3" t="s">
        <v>4232</v>
      </c>
    </row>
    <row r="2345" spans="1:2" ht="112" hidden="1" customHeight="1" x14ac:dyDescent="0.25">
      <c r="A2345" t="s">
        <v>2426</v>
      </c>
      <c r="B2345" s="3" t="s">
        <v>4233</v>
      </c>
    </row>
    <row r="2346" spans="1:2" ht="112" hidden="1" customHeight="1" x14ac:dyDescent="0.25">
      <c r="A2346" t="s">
        <v>2427</v>
      </c>
      <c r="B2346" s="3" t="s">
        <v>4234</v>
      </c>
    </row>
    <row r="2347" spans="1:2" ht="112" hidden="1" customHeight="1" x14ac:dyDescent="0.25">
      <c r="A2347" t="s">
        <v>2428</v>
      </c>
      <c r="B2347" s="3" t="s">
        <v>4235</v>
      </c>
    </row>
    <row r="2348" spans="1:2" ht="112" hidden="1" customHeight="1" x14ac:dyDescent="0.25">
      <c r="A2348" t="s">
        <v>2429</v>
      </c>
      <c r="B2348" s="3" t="s">
        <v>4236</v>
      </c>
    </row>
    <row r="2349" spans="1:2" ht="112" hidden="1" customHeight="1" x14ac:dyDescent="0.25">
      <c r="A2349" t="s">
        <v>2430</v>
      </c>
      <c r="B2349" s="3" t="s">
        <v>4237</v>
      </c>
    </row>
    <row r="2350" spans="1:2" ht="112" hidden="1" customHeight="1" x14ac:dyDescent="0.25">
      <c r="A2350" t="s">
        <v>2431</v>
      </c>
      <c r="B2350" s="3" t="s">
        <v>4238</v>
      </c>
    </row>
    <row r="2351" spans="1:2" ht="112" hidden="1" customHeight="1" x14ac:dyDescent="0.25">
      <c r="A2351" t="s">
        <v>2432</v>
      </c>
      <c r="B2351" s="3" t="s">
        <v>4239</v>
      </c>
    </row>
    <row r="2352" spans="1:2" ht="112" hidden="1" customHeight="1" x14ac:dyDescent="0.25">
      <c r="A2352" t="s">
        <v>2433</v>
      </c>
      <c r="B2352" s="3" t="s">
        <v>4240</v>
      </c>
    </row>
    <row r="2353" spans="1:2" ht="112" hidden="1" customHeight="1" x14ac:dyDescent="0.25">
      <c r="A2353" t="s">
        <v>2434</v>
      </c>
      <c r="B2353" s="3" t="s">
        <v>4241</v>
      </c>
    </row>
    <row r="2354" spans="1:2" ht="112" hidden="1" customHeight="1" x14ac:dyDescent="0.25">
      <c r="A2354" t="s">
        <v>2435</v>
      </c>
      <c r="B2354" s="3" t="s">
        <v>4242</v>
      </c>
    </row>
    <row r="2355" spans="1:2" ht="112" hidden="1" customHeight="1" x14ac:dyDescent="0.25">
      <c r="A2355" t="s">
        <v>2436</v>
      </c>
      <c r="B2355" s="3" t="s">
        <v>4243</v>
      </c>
    </row>
    <row r="2356" spans="1:2" ht="112" hidden="1" customHeight="1" x14ac:dyDescent="0.25">
      <c r="A2356" t="s">
        <v>2437</v>
      </c>
      <c r="B2356" s="3" t="s">
        <v>6423</v>
      </c>
    </row>
    <row r="2357" spans="1:2" ht="112" hidden="1" customHeight="1" x14ac:dyDescent="0.25">
      <c r="A2357" t="s">
        <v>2439</v>
      </c>
      <c r="B2357" s="3" t="s">
        <v>4244</v>
      </c>
    </row>
    <row r="2358" spans="1:2" ht="112" hidden="1" customHeight="1" x14ac:dyDescent="0.25">
      <c r="A2358" t="s">
        <v>2440</v>
      </c>
      <c r="B2358" s="3" t="s">
        <v>4245</v>
      </c>
    </row>
    <row r="2359" spans="1:2" ht="112" hidden="1" customHeight="1" x14ac:dyDescent="0.25">
      <c r="A2359" t="s">
        <v>2441</v>
      </c>
      <c r="B2359" s="3" t="s">
        <v>5819</v>
      </c>
    </row>
    <row r="2360" spans="1:2" ht="112" hidden="1" customHeight="1" x14ac:dyDescent="0.25">
      <c r="A2360" t="s">
        <v>2442</v>
      </c>
      <c r="B2360" s="3" t="s">
        <v>5820</v>
      </c>
    </row>
    <row r="2361" spans="1:2" ht="112" hidden="1" customHeight="1" x14ac:dyDescent="0.25">
      <c r="A2361" t="s">
        <v>2443</v>
      </c>
      <c r="B2361" s="3" t="s">
        <v>4246</v>
      </c>
    </row>
    <row r="2362" spans="1:2" ht="112" hidden="1" customHeight="1" x14ac:dyDescent="0.25">
      <c r="A2362" t="s">
        <v>2444</v>
      </c>
      <c r="B2362" s="3" t="s">
        <v>5821</v>
      </c>
    </row>
    <row r="2363" spans="1:2" ht="112" hidden="1" customHeight="1" x14ac:dyDescent="0.25">
      <c r="A2363" t="s">
        <v>2445</v>
      </c>
      <c r="B2363" s="3" t="s">
        <v>5446</v>
      </c>
    </row>
    <row r="2364" spans="1:2" ht="112" hidden="1" customHeight="1" x14ac:dyDescent="0.25">
      <c r="A2364" t="s">
        <v>2446</v>
      </c>
      <c r="B2364" s="3" t="s">
        <v>4247</v>
      </c>
    </row>
    <row r="2365" spans="1:2" ht="112" hidden="1" customHeight="1" x14ac:dyDescent="0.25">
      <c r="A2365" t="s">
        <v>2447</v>
      </c>
      <c r="B2365" s="3" t="s">
        <v>4248</v>
      </c>
    </row>
    <row r="2366" spans="1:2" ht="112" hidden="1" customHeight="1" x14ac:dyDescent="0.25">
      <c r="A2366" t="s">
        <v>2448</v>
      </c>
      <c r="B2366" s="3" t="s">
        <v>4249</v>
      </c>
    </row>
    <row r="2367" spans="1:2" ht="112" hidden="1" customHeight="1" x14ac:dyDescent="0.25">
      <c r="A2367" t="s">
        <v>2449</v>
      </c>
      <c r="B2367" s="3" t="s">
        <v>4250</v>
      </c>
    </row>
    <row r="2368" spans="1:2" ht="112" hidden="1" customHeight="1" x14ac:dyDescent="0.25">
      <c r="A2368" t="s">
        <v>2450</v>
      </c>
      <c r="B2368" s="3" t="s">
        <v>5769</v>
      </c>
    </row>
    <row r="2369" spans="1:2" ht="112" hidden="1" customHeight="1" x14ac:dyDescent="0.25">
      <c r="A2369" t="s">
        <v>2452</v>
      </c>
      <c r="B2369" s="3" t="s">
        <v>6116</v>
      </c>
    </row>
    <row r="2370" spans="1:2" ht="112" hidden="1" customHeight="1" x14ac:dyDescent="0.25">
      <c r="A2370" t="s">
        <v>2453</v>
      </c>
      <c r="B2370" s="3" t="s">
        <v>5822</v>
      </c>
    </row>
    <row r="2371" spans="1:2" ht="112" hidden="1" customHeight="1" x14ac:dyDescent="0.25">
      <c r="A2371" t="s">
        <v>2454</v>
      </c>
      <c r="B2371" s="3" t="s">
        <v>4251</v>
      </c>
    </row>
    <row r="2372" spans="1:2" ht="112" hidden="1" customHeight="1" x14ac:dyDescent="0.25">
      <c r="A2372" t="s">
        <v>2456</v>
      </c>
      <c r="B2372" s="3" t="s">
        <v>6424</v>
      </c>
    </row>
    <row r="2373" spans="1:2" ht="112" hidden="1" customHeight="1" x14ac:dyDescent="0.25">
      <c r="A2373" t="s">
        <v>2457</v>
      </c>
      <c r="B2373" s="3" t="s">
        <v>4252</v>
      </c>
    </row>
    <row r="2374" spans="1:2" ht="112" hidden="1" customHeight="1" x14ac:dyDescent="0.25">
      <c r="A2374" t="s">
        <v>2458</v>
      </c>
      <c r="B2374" s="3" t="s">
        <v>6425</v>
      </c>
    </row>
    <row r="2375" spans="1:2" ht="112" hidden="1" customHeight="1" x14ac:dyDescent="0.25">
      <c r="A2375" t="s">
        <v>2459</v>
      </c>
      <c r="B2375" s="3" t="s">
        <v>6426</v>
      </c>
    </row>
    <row r="2376" spans="1:2" ht="112" hidden="1" customHeight="1" x14ac:dyDescent="0.25">
      <c r="A2376" t="s">
        <v>2460</v>
      </c>
      <c r="B2376" s="3" t="s">
        <v>6705</v>
      </c>
    </row>
    <row r="2377" spans="1:2" ht="112" hidden="1" customHeight="1" x14ac:dyDescent="0.25">
      <c r="A2377" t="s">
        <v>2461</v>
      </c>
      <c r="B2377" s="3" t="s">
        <v>4253</v>
      </c>
    </row>
    <row r="2378" spans="1:2" ht="112" hidden="1" customHeight="1" x14ac:dyDescent="0.25">
      <c r="A2378" t="s">
        <v>2462</v>
      </c>
      <c r="B2378" s="3" t="s">
        <v>6326</v>
      </c>
    </row>
    <row r="2379" spans="1:2" ht="112" hidden="1" customHeight="1" x14ac:dyDescent="0.25">
      <c r="A2379" t="s">
        <v>2463</v>
      </c>
      <c r="B2379" s="3" t="s">
        <v>4254</v>
      </c>
    </row>
    <row r="2380" spans="1:2" ht="112" hidden="1" customHeight="1" x14ac:dyDescent="0.25">
      <c r="A2380" t="s">
        <v>2464</v>
      </c>
      <c r="B2380" s="3" t="s">
        <v>6706</v>
      </c>
    </row>
    <row r="2381" spans="1:2" ht="112" hidden="1" customHeight="1" x14ac:dyDescent="0.25">
      <c r="A2381" t="s">
        <v>2465</v>
      </c>
      <c r="B2381" s="3" t="s">
        <v>6707</v>
      </c>
    </row>
    <row r="2382" spans="1:2" ht="112" hidden="1" customHeight="1" x14ac:dyDescent="0.25">
      <c r="A2382" t="s">
        <v>2466</v>
      </c>
      <c r="B2382" s="3" t="s">
        <v>6427</v>
      </c>
    </row>
    <row r="2383" spans="1:2" ht="112" hidden="1" customHeight="1" x14ac:dyDescent="0.25">
      <c r="A2383" t="s">
        <v>2467</v>
      </c>
      <c r="B2383" s="3" t="s">
        <v>6428</v>
      </c>
    </row>
    <row r="2384" spans="1:2" ht="112" hidden="1" customHeight="1" x14ac:dyDescent="0.25">
      <c r="A2384" t="s">
        <v>2468</v>
      </c>
      <c r="B2384" s="3" t="s">
        <v>6429</v>
      </c>
    </row>
    <row r="2385" spans="1:2" ht="112" hidden="1" customHeight="1" x14ac:dyDescent="0.25">
      <c r="A2385" t="s">
        <v>2469</v>
      </c>
      <c r="B2385" s="3" t="s">
        <v>6430</v>
      </c>
    </row>
    <row r="2386" spans="1:2" ht="112" hidden="1" customHeight="1" x14ac:dyDescent="0.25">
      <c r="A2386" t="s">
        <v>2470</v>
      </c>
      <c r="B2386" s="3" t="s">
        <v>6431</v>
      </c>
    </row>
    <row r="2387" spans="1:2" ht="112" hidden="1" customHeight="1" x14ac:dyDescent="0.25">
      <c r="A2387" t="s">
        <v>2471</v>
      </c>
      <c r="B2387" s="3" t="s">
        <v>6432</v>
      </c>
    </row>
    <row r="2388" spans="1:2" ht="112" hidden="1" customHeight="1" x14ac:dyDescent="0.25">
      <c r="A2388" t="s">
        <v>2472</v>
      </c>
      <c r="B2388" s="3" t="s">
        <v>5447</v>
      </c>
    </row>
    <row r="2389" spans="1:2" ht="112" hidden="1" customHeight="1" x14ac:dyDescent="0.25">
      <c r="A2389" t="s">
        <v>2473</v>
      </c>
      <c r="B2389" s="3" t="s">
        <v>6327</v>
      </c>
    </row>
    <row r="2390" spans="1:2" ht="112" hidden="1" customHeight="1" x14ac:dyDescent="0.25">
      <c r="A2390" t="s">
        <v>2474</v>
      </c>
      <c r="B2390" s="3" t="s">
        <v>4255</v>
      </c>
    </row>
    <row r="2391" spans="1:2" ht="112" hidden="1" customHeight="1" x14ac:dyDescent="0.25">
      <c r="A2391" t="s">
        <v>2478</v>
      </c>
      <c r="B2391" s="3" t="s">
        <v>6433</v>
      </c>
    </row>
    <row r="2392" spans="1:2" ht="112" hidden="1" customHeight="1" x14ac:dyDescent="0.25">
      <c r="A2392" t="s">
        <v>2479</v>
      </c>
      <c r="B2392" s="3" t="s">
        <v>6117</v>
      </c>
    </row>
    <row r="2393" spans="1:2" ht="112" hidden="1" customHeight="1" x14ac:dyDescent="0.25">
      <c r="A2393" t="s">
        <v>2480</v>
      </c>
      <c r="B2393" s="3" t="s">
        <v>6328</v>
      </c>
    </row>
    <row r="2394" spans="1:2" ht="112" hidden="1" customHeight="1" x14ac:dyDescent="0.25">
      <c r="A2394" t="s">
        <v>2481</v>
      </c>
      <c r="B2394" s="3" t="s">
        <v>6434</v>
      </c>
    </row>
    <row r="2395" spans="1:2" ht="112" hidden="1" customHeight="1" x14ac:dyDescent="0.25">
      <c r="A2395" t="s">
        <v>2482</v>
      </c>
      <c r="B2395" s="3" t="s">
        <v>6118</v>
      </c>
    </row>
    <row r="2396" spans="1:2" ht="112" hidden="1" customHeight="1" x14ac:dyDescent="0.25">
      <c r="A2396" t="s">
        <v>2483</v>
      </c>
      <c r="B2396" s="3" t="s">
        <v>5823</v>
      </c>
    </row>
    <row r="2397" spans="1:2" ht="112" hidden="1" customHeight="1" x14ac:dyDescent="0.25">
      <c r="A2397" t="s">
        <v>2484</v>
      </c>
      <c r="B2397" s="3" t="s">
        <v>6119</v>
      </c>
    </row>
    <row r="2398" spans="1:2" ht="112" hidden="1" customHeight="1" x14ac:dyDescent="0.25">
      <c r="A2398" t="s">
        <v>2485</v>
      </c>
      <c r="B2398" s="3" t="s">
        <v>6329</v>
      </c>
    </row>
    <row r="2399" spans="1:2" ht="112" hidden="1" customHeight="1" x14ac:dyDescent="0.25">
      <c r="A2399" t="s">
        <v>2486</v>
      </c>
      <c r="B2399" s="3" t="s">
        <v>4256</v>
      </c>
    </row>
    <row r="2400" spans="1:2" ht="112" hidden="1" customHeight="1" x14ac:dyDescent="0.25">
      <c r="A2400" t="s">
        <v>2487</v>
      </c>
      <c r="B2400" s="3" t="s">
        <v>4257</v>
      </c>
    </row>
    <row r="2401" spans="1:2" ht="112" hidden="1" customHeight="1" x14ac:dyDescent="0.25">
      <c r="A2401" t="s">
        <v>7827</v>
      </c>
      <c r="B2401" s="3" t="s">
        <v>4258</v>
      </c>
    </row>
    <row r="2402" spans="1:2" ht="112" hidden="1" customHeight="1" x14ac:dyDescent="0.25">
      <c r="A2402" t="s">
        <v>2488</v>
      </c>
      <c r="B2402" s="3" t="s">
        <v>4259</v>
      </c>
    </row>
    <row r="2403" spans="1:2" ht="112" hidden="1" customHeight="1" x14ac:dyDescent="0.25">
      <c r="A2403" t="s">
        <v>2567</v>
      </c>
      <c r="B2403" s="3" t="s">
        <v>4260</v>
      </c>
    </row>
    <row r="2404" spans="1:2" ht="112" hidden="1" customHeight="1" x14ac:dyDescent="0.25">
      <c r="A2404" t="s">
        <v>2568</v>
      </c>
      <c r="B2404" s="3" t="s">
        <v>4261</v>
      </c>
    </row>
    <row r="2405" spans="1:2" ht="112" hidden="1" customHeight="1" x14ac:dyDescent="0.25">
      <c r="A2405" t="s">
        <v>2569</v>
      </c>
      <c r="B2405" s="3" t="s">
        <v>6482</v>
      </c>
    </row>
    <row r="2406" spans="1:2" ht="112" hidden="1" customHeight="1" x14ac:dyDescent="0.25">
      <c r="A2406" t="s">
        <v>2570</v>
      </c>
      <c r="B2406" s="3" t="s">
        <v>4262</v>
      </c>
    </row>
    <row r="2407" spans="1:2" ht="112" hidden="1" customHeight="1" x14ac:dyDescent="0.25">
      <c r="A2407" t="s">
        <v>2571</v>
      </c>
      <c r="B2407" s="3" t="s">
        <v>4263</v>
      </c>
    </row>
    <row r="2408" spans="1:2" ht="112" hidden="1" customHeight="1" x14ac:dyDescent="0.25">
      <c r="A2408" t="s">
        <v>2572</v>
      </c>
      <c r="B2408" s="3" t="s">
        <v>4264</v>
      </c>
    </row>
    <row r="2409" spans="1:2" ht="112" hidden="1" customHeight="1" x14ac:dyDescent="0.25">
      <c r="A2409" t="s">
        <v>2573</v>
      </c>
      <c r="B2409" s="3" t="s">
        <v>6435</v>
      </c>
    </row>
    <row r="2410" spans="1:2" ht="112" hidden="1" customHeight="1" x14ac:dyDescent="0.25">
      <c r="A2410" t="s">
        <v>2574</v>
      </c>
      <c r="B2410" s="3" t="s">
        <v>6436</v>
      </c>
    </row>
    <row r="2411" spans="1:2" ht="112" hidden="1" customHeight="1" x14ac:dyDescent="0.25">
      <c r="A2411" t="s">
        <v>2575</v>
      </c>
      <c r="B2411" s="3" t="s">
        <v>6330</v>
      </c>
    </row>
    <row r="2412" spans="1:2" ht="112" hidden="1" customHeight="1" x14ac:dyDescent="0.25">
      <c r="A2412" t="s">
        <v>2576</v>
      </c>
      <c r="B2412" s="3" t="s">
        <v>6331</v>
      </c>
    </row>
    <row r="2413" spans="1:2" ht="112" hidden="1" customHeight="1" x14ac:dyDescent="0.25">
      <c r="A2413" t="s">
        <v>2489</v>
      </c>
      <c r="B2413" s="3" t="s">
        <v>6437</v>
      </c>
    </row>
    <row r="2414" spans="1:2" ht="112" hidden="1" customHeight="1" x14ac:dyDescent="0.25">
      <c r="A2414" t="s">
        <v>2490</v>
      </c>
      <c r="B2414" s="3" t="s">
        <v>6438</v>
      </c>
    </row>
    <row r="2415" spans="1:2" ht="112" hidden="1" customHeight="1" x14ac:dyDescent="0.25">
      <c r="A2415" t="s">
        <v>2491</v>
      </c>
      <c r="B2415" s="3" t="s">
        <v>6439</v>
      </c>
    </row>
    <row r="2416" spans="1:2" ht="112" hidden="1" customHeight="1" x14ac:dyDescent="0.25">
      <c r="A2416" t="s">
        <v>2492</v>
      </c>
      <c r="B2416" s="3" t="s">
        <v>6440</v>
      </c>
    </row>
    <row r="2417" spans="1:2" ht="112" hidden="1" customHeight="1" x14ac:dyDescent="0.25">
      <c r="A2417" t="s">
        <v>2493</v>
      </c>
      <c r="B2417" s="3" t="s">
        <v>6441</v>
      </c>
    </row>
    <row r="2418" spans="1:2" ht="112" hidden="1" customHeight="1" x14ac:dyDescent="0.25">
      <c r="A2418" t="s">
        <v>2494</v>
      </c>
      <c r="B2418" s="3" t="s">
        <v>6442</v>
      </c>
    </row>
    <row r="2419" spans="1:2" ht="112" hidden="1" customHeight="1" x14ac:dyDescent="0.25">
      <c r="A2419" t="s">
        <v>2495</v>
      </c>
      <c r="B2419" s="3" t="s">
        <v>6443</v>
      </c>
    </row>
    <row r="2420" spans="1:2" ht="112" hidden="1" customHeight="1" x14ac:dyDescent="0.25">
      <c r="A2420" t="s">
        <v>2496</v>
      </c>
      <c r="B2420" s="3" t="s">
        <v>6444</v>
      </c>
    </row>
    <row r="2421" spans="1:2" ht="112" hidden="1" customHeight="1" x14ac:dyDescent="0.25">
      <c r="A2421" t="s">
        <v>2497</v>
      </c>
      <c r="B2421" s="3" t="s">
        <v>6120</v>
      </c>
    </row>
    <row r="2422" spans="1:2" ht="112" hidden="1" customHeight="1" x14ac:dyDescent="0.25">
      <c r="A2422" t="s">
        <v>7828</v>
      </c>
      <c r="B2422" s="3" t="s">
        <v>4265</v>
      </c>
    </row>
    <row r="2423" spans="1:2" ht="112" hidden="1" customHeight="1" x14ac:dyDescent="0.25">
      <c r="A2423" t="s">
        <v>2498</v>
      </c>
      <c r="B2423" s="3" t="s">
        <v>4266</v>
      </c>
    </row>
    <row r="2424" spans="1:2" ht="112" hidden="1" customHeight="1" x14ac:dyDescent="0.25">
      <c r="A2424" t="s">
        <v>2499</v>
      </c>
      <c r="B2424" s="3" t="s">
        <v>4267</v>
      </c>
    </row>
    <row r="2425" spans="1:2" ht="112" hidden="1" customHeight="1" x14ac:dyDescent="0.25">
      <c r="A2425" t="s">
        <v>2500</v>
      </c>
      <c r="B2425" s="3" t="s">
        <v>5824</v>
      </c>
    </row>
    <row r="2426" spans="1:2" ht="112" hidden="1" customHeight="1" x14ac:dyDescent="0.25">
      <c r="A2426" t="s">
        <v>2501</v>
      </c>
      <c r="B2426" s="3" t="s">
        <v>4268</v>
      </c>
    </row>
    <row r="2427" spans="1:2" ht="112" hidden="1" customHeight="1" x14ac:dyDescent="0.25">
      <c r="A2427" t="s">
        <v>2502</v>
      </c>
      <c r="B2427" s="3" t="s">
        <v>4269</v>
      </c>
    </row>
    <row r="2428" spans="1:2" ht="112" hidden="1" customHeight="1" x14ac:dyDescent="0.25">
      <c r="A2428" t="s">
        <v>2503</v>
      </c>
      <c r="B2428" s="3" t="s">
        <v>4270</v>
      </c>
    </row>
    <row r="2429" spans="1:2" ht="112" hidden="1" customHeight="1" x14ac:dyDescent="0.25">
      <c r="A2429" t="s">
        <v>2577</v>
      </c>
      <c r="B2429" s="3" t="s">
        <v>5766</v>
      </c>
    </row>
    <row r="2430" spans="1:2" ht="112" hidden="1" customHeight="1" x14ac:dyDescent="0.25">
      <c r="A2430" t="s">
        <v>2578</v>
      </c>
      <c r="B2430" s="3" t="s">
        <v>5767</v>
      </c>
    </row>
    <row r="2431" spans="1:2" ht="112" hidden="1" customHeight="1" x14ac:dyDescent="0.25">
      <c r="A2431" t="s">
        <v>2579</v>
      </c>
      <c r="B2431" s="3" t="s">
        <v>4271</v>
      </c>
    </row>
    <row r="2432" spans="1:2" ht="112" hidden="1" customHeight="1" x14ac:dyDescent="0.25">
      <c r="A2432" t="s">
        <v>2580</v>
      </c>
      <c r="B2432" s="3" t="s">
        <v>4272</v>
      </c>
    </row>
    <row r="2433" spans="1:2" ht="112" hidden="1" customHeight="1" x14ac:dyDescent="0.25">
      <c r="A2433" t="s">
        <v>2217</v>
      </c>
      <c r="B2433" s="3" t="s">
        <v>6307</v>
      </c>
    </row>
    <row r="2434" spans="1:2" ht="112" hidden="1" customHeight="1" x14ac:dyDescent="0.25">
      <c r="A2434" t="s">
        <v>2218</v>
      </c>
      <c r="B2434" s="3" t="s">
        <v>6686</v>
      </c>
    </row>
    <row r="2435" spans="1:2" ht="112" hidden="1" customHeight="1" x14ac:dyDescent="0.25">
      <c r="A2435" t="s">
        <v>2219</v>
      </c>
      <c r="B2435" s="3" t="s">
        <v>6079</v>
      </c>
    </row>
    <row r="2436" spans="1:2" ht="112" hidden="1" customHeight="1" x14ac:dyDescent="0.25">
      <c r="A2436" t="s">
        <v>2220</v>
      </c>
      <c r="B2436" s="3" t="s">
        <v>4123</v>
      </c>
    </row>
    <row r="2437" spans="1:2" ht="112" hidden="1" customHeight="1" x14ac:dyDescent="0.25">
      <c r="A2437" t="s">
        <v>2221</v>
      </c>
      <c r="B2437" s="3" t="s">
        <v>5136</v>
      </c>
    </row>
    <row r="2438" spans="1:2" ht="112" hidden="1" customHeight="1" x14ac:dyDescent="0.25">
      <c r="A2438" t="s">
        <v>2222</v>
      </c>
      <c r="B2438" s="3" t="s">
        <v>6080</v>
      </c>
    </row>
    <row r="2439" spans="1:2" ht="112" hidden="1" customHeight="1" x14ac:dyDescent="0.25">
      <c r="A2439" t="s">
        <v>2223</v>
      </c>
      <c r="B2439" s="3" t="s">
        <v>6081</v>
      </c>
    </row>
    <row r="2440" spans="1:2" ht="112" hidden="1" customHeight="1" x14ac:dyDescent="0.25">
      <c r="A2440" t="s">
        <v>2224</v>
      </c>
      <c r="B2440" s="3" t="s">
        <v>6082</v>
      </c>
    </row>
    <row r="2441" spans="1:2" ht="112" hidden="1" customHeight="1" x14ac:dyDescent="0.25">
      <c r="A2441" t="s">
        <v>2225</v>
      </c>
      <c r="B2441" s="3" t="s">
        <v>6083</v>
      </c>
    </row>
    <row r="2442" spans="1:2" ht="112" hidden="1" customHeight="1" x14ac:dyDescent="0.25">
      <c r="A2442" t="s">
        <v>2226</v>
      </c>
      <c r="B2442" s="3" t="s">
        <v>6084</v>
      </c>
    </row>
    <row r="2443" spans="1:2" ht="112" hidden="1" customHeight="1" x14ac:dyDescent="0.25">
      <c r="A2443" t="s">
        <v>2227</v>
      </c>
      <c r="B2443" s="3" t="s">
        <v>4124</v>
      </c>
    </row>
    <row r="2444" spans="1:2" ht="112" hidden="1" customHeight="1" x14ac:dyDescent="0.25">
      <c r="A2444" t="s">
        <v>2228</v>
      </c>
      <c r="B2444" s="3" t="s">
        <v>4125</v>
      </c>
    </row>
    <row r="2445" spans="1:2" ht="112" hidden="1" customHeight="1" x14ac:dyDescent="0.25">
      <c r="A2445" t="s">
        <v>2229</v>
      </c>
      <c r="B2445" s="3" t="s">
        <v>6085</v>
      </c>
    </row>
    <row r="2446" spans="1:2" ht="112" hidden="1" customHeight="1" x14ac:dyDescent="0.25">
      <c r="A2446" t="s">
        <v>2230</v>
      </c>
      <c r="B2446" s="3" t="s">
        <v>6086</v>
      </c>
    </row>
    <row r="2447" spans="1:2" ht="112" hidden="1" customHeight="1" x14ac:dyDescent="0.25">
      <c r="A2447" t="s">
        <v>2231</v>
      </c>
      <c r="B2447" s="3" t="s">
        <v>4126</v>
      </c>
    </row>
    <row r="2448" spans="1:2" ht="112" hidden="1" customHeight="1" x14ac:dyDescent="0.25">
      <c r="A2448" t="s">
        <v>2232</v>
      </c>
      <c r="B2448" s="3" t="s">
        <v>6087</v>
      </c>
    </row>
    <row r="2449" spans="1:2" ht="112" hidden="1" customHeight="1" x14ac:dyDescent="0.25">
      <c r="A2449" t="s">
        <v>2233</v>
      </c>
      <c r="B2449" s="3" t="s">
        <v>6088</v>
      </c>
    </row>
    <row r="2450" spans="1:2" ht="112" hidden="1" customHeight="1" x14ac:dyDescent="0.25">
      <c r="A2450" t="s">
        <v>2234</v>
      </c>
      <c r="B2450" s="3" t="s">
        <v>6089</v>
      </c>
    </row>
    <row r="2451" spans="1:2" ht="112" hidden="1" customHeight="1" x14ac:dyDescent="0.25">
      <c r="A2451" t="s">
        <v>2235</v>
      </c>
      <c r="B2451" s="3" t="s">
        <v>6090</v>
      </c>
    </row>
    <row r="2452" spans="1:2" ht="112" hidden="1" customHeight="1" x14ac:dyDescent="0.25">
      <c r="A2452" t="s">
        <v>2236</v>
      </c>
      <c r="B2452" s="3" t="s">
        <v>4127</v>
      </c>
    </row>
    <row r="2453" spans="1:2" ht="112" hidden="1" customHeight="1" x14ac:dyDescent="0.25">
      <c r="A2453" t="s">
        <v>2237</v>
      </c>
      <c r="B2453" s="3" t="s">
        <v>6308</v>
      </c>
    </row>
    <row r="2454" spans="1:2" ht="112" hidden="1" customHeight="1" x14ac:dyDescent="0.25">
      <c r="A2454" t="s">
        <v>2238</v>
      </c>
      <c r="B2454" s="3" t="s">
        <v>6091</v>
      </c>
    </row>
    <row r="2455" spans="1:2" ht="112" hidden="1" customHeight="1" x14ac:dyDescent="0.25">
      <c r="A2455" t="s">
        <v>2239</v>
      </c>
      <c r="B2455" s="3" t="s">
        <v>6092</v>
      </c>
    </row>
    <row r="2456" spans="1:2" ht="112" hidden="1" customHeight="1" x14ac:dyDescent="0.25">
      <c r="A2456" t="s">
        <v>2240</v>
      </c>
      <c r="B2456" s="3" t="s">
        <v>4128</v>
      </c>
    </row>
    <row r="2457" spans="1:2" ht="112" hidden="1" customHeight="1" x14ac:dyDescent="0.25">
      <c r="A2457" t="s">
        <v>2241</v>
      </c>
      <c r="B2457" s="3" t="s">
        <v>6093</v>
      </c>
    </row>
    <row r="2458" spans="1:2" ht="112" hidden="1" customHeight="1" x14ac:dyDescent="0.25">
      <c r="A2458" t="s">
        <v>2242</v>
      </c>
      <c r="B2458" s="3" t="s">
        <v>6094</v>
      </c>
    </row>
    <row r="2459" spans="1:2" ht="112" hidden="1" customHeight="1" x14ac:dyDescent="0.25">
      <c r="A2459" t="s">
        <v>2243</v>
      </c>
      <c r="B2459" s="3" t="s">
        <v>6095</v>
      </c>
    </row>
    <row r="2460" spans="1:2" ht="112" hidden="1" customHeight="1" x14ac:dyDescent="0.25">
      <c r="A2460" t="s">
        <v>2244</v>
      </c>
      <c r="B2460" s="3" t="s">
        <v>6096</v>
      </c>
    </row>
    <row r="2461" spans="1:2" ht="112" hidden="1" customHeight="1" x14ac:dyDescent="0.25">
      <c r="A2461" t="s">
        <v>2245</v>
      </c>
      <c r="B2461" s="3" t="s">
        <v>6097</v>
      </c>
    </row>
    <row r="2462" spans="1:2" ht="112" hidden="1" customHeight="1" x14ac:dyDescent="0.25">
      <c r="A2462" t="s">
        <v>2246</v>
      </c>
      <c r="B2462" s="3" t="s">
        <v>6098</v>
      </c>
    </row>
    <row r="2463" spans="1:2" ht="112" hidden="1" customHeight="1" x14ac:dyDescent="0.25">
      <c r="A2463" t="s">
        <v>2247</v>
      </c>
      <c r="B2463" s="3" t="s">
        <v>6099</v>
      </c>
    </row>
    <row r="2464" spans="1:2" ht="112" hidden="1" customHeight="1" x14ac:dyDescent="0.25">
      <c r="A2464" t="s">
        <v>2248</v>
      </c>
      <c r="B2464" s="3" t="s">
        <v>5851</v>
      </c>
    </row>
    <row r="2465" spans="1:2" ht="112" hidden="1" customHeight="1" x14ac:dyDescent="0.25">
      <c r="A2465" t="s">
        <v>2249</v>
      </c>
      <c r="B2465" s="3" t="s">
        <v>5852</v>
      </c>
    </row>
    <row r="2466" spans="1:2" ht="112" hidden="1" customHeight="1" x14ac:dyDescent="0.25">
      <c r="A2466" t="s">
        <v>2250</v>
      </c>
      <c r="B2466" s="3" t="s">
        <v>5853</v>
      </c>
    </row>
    <row r="2467" spans="1:2" ht="112" hidden="1" customHeight="1" x14ac:dyDescent="0.25">
      <c r="A2467" t="s">
        <v>2251</v>
      </c>
      <c r="B2467" s="3" t="s">
        <v>5854</v>
      </c>
    </row>
    <row r="2468" spans="1:2" ht="112" hidden="1" customHeight="1" x14ac:dyDescent="0.25">
      <c r="A2468" t="s">
        <v>2252</v>
      </c>
      <c r="B2468" s="3" t="s">
        <v>4129</v>
      </c>
    </row>
    <row r="2469" spans="1:2" ht="112" hidden="1" customHeight="1" x14ac:dyDescent="0.25">
      <c r="A2469" t="s">
        <v>2253</v>
      </c>
      <c r="B2469" s="3" t="s">
        <v>5855</v>
      </c>
    </row>
    <row r="2470" spans="1:2" ht="112" hidden="1" customHeight="1" x14ac:dyDescent="0.25">
      <c r="A2470" t="s">
        <v>2254</v>
      </c>
      <c r="B2470" s="3" t="s">
        <v>6309</v>
      </c>
    </row>
    <row r="2471" spans="1:2" ht="112" hidden="1" customHeight="1" x14ac:dyDescent="0.25">
      <c r="A2471" t="s">
        <v>2255</v>
      </c>
      <c r="B2471" s="3" t="s">
        <v>6310</v>
      </c>
    </row>
    <row r="2472" spans="1:2" ht="112" hidden="1" customHeight="1" x14ac:dyDescent="0.25">
      <c r="A2472" t="s">
        <v>2256</v>
      </c>
      <c r="B2472" s="3" t="s">
        <v>6311</v>
      </c>
    </row>
    <row r="2473" spans="1:2" ht="112" hidden="1" customHeight="1" x14ac:dyDescent="0.25">
      <c r="A2473" t="s">
        <v>2257</v>
      </c>
      <c r="B2473" s="3" t="s">
        <v>6312</v>
      </c>
    </row>
    <row r="2474" spans="1:2" ht="112" hidden="1" customHeight="1" x14ac:dyDescent="0.25">
      <c r="A2474" t="s">
        <v>2258</v>
      </c>
      <c r="B2474" s="3" t="s">
        <v>4130</v>
      </c>
    </row>
    <row r="2475" spans="1:2" ht="112" hidden="1" customHeight="1" x14ac:dyDescent="0.25">
      <c r="A2475" t="s">
        <v>2259</v>
      </c>
      <c r="B2475" s="3" t="s">
        <v>6313</v>
      </c>
    </row>
    <row r="2476" spans="1:2" ht="112" hidden="1" customHeight="1" x14ac:dyDescent="0.25">
      <c r="A2476" t="s">
        <v>2260</v>
      </c>
      <c r="B2476" s="3" t="s">
        <v>6314</v>
      </c>
    </row>
    <row r="2477" spans="1:2" ht="112" hidden="1" customHeight="1" x14ac:dyDescent="0.25">
      <c r="A2477" t="s">
        <v>2261</v>
      </c>
      <c r="B2477" s="3" t="s">
        <v>6315</v>
      </c>
    </row>
    <row r="2478" spans="1:2" ht="112" hidden="1" customHeight="1" x14ac:dyDescent="0.25">
      <c r="A2478" t="s">
        <v>2262</v>
      </c>
      <c r="B2478" s="3" t="s">
        <v>4131</v>
      </c>
    </row>
    <row r="2479" spans="1:2" ht="112" hidden="1" customHeight="1" x14ac:dyDescent="0.25">
      <c r="A2479" t="s">
        <v>2263</v>
      </c>
      <c r="B2479" s="3" t="s">
        <v>6687</v>
      </c>
    </row>
    <row r="2480" spans="1:2" ht="112" hidden="1" customHeight="1" x14ac:dyDescent="0.25">
      <c r="A2480" t="s">
        <v>2264</v>
      </c>
      <c r="B2480" s="3" t="s">
        <v>6316</v>
      </c>
    </row>
    <row r="2481" spans="1:2" ht="112" hidden="1" customHeight="1" x14ac:dyDescent="0.25">
      <c r="A2481" t="s">
        <v>2265</v>
      </c>
      <c r="B2481" s="3" t="s">
        <v>6317</v>
      </c>
    </row>
    <row r="2482" spans="1:2" ht="112" hidden="1" customHeight="1" x14ac:dyDescent="0.25">
      <c r="A2482" t="s">
        <v>2266</v>
      </c>
      <c r="B2482" s="3" t="s">
        <v>6318</v>
      </c>
    </row>
    <row r="2483" spans="1:2" ht="112" hidden="1" customHeight="1" x14ac:dyDescent="0.25">
      <c r="A2483" t="s">
        <v>2267</v>
      </c>
      <c r="B2483" s="3" t="s">
        <v>5815</v>
      </c>
    </row>
    <row r="2484" spans="1:2" ht="112" hidden="1" customHeight="1" x14ac:dyDescent="0.25">
      <c r="A2484" t="s">
        <v>2268</v>
      </c>
      <c r="B2484" s="3" t="s">
        <v>6319</v>
      </c>
    </row>
    <row r="2485" spans="1:2" ht="112" hidden="1" customHeight="1" x14ac:dyDescent="0.25">
      <c r="A2485" t="s">
        <v>2269</v>
      </c>
      <c r="B2485" s="3" t="s">
        <v>6420</v>
      </c>
    </row>
    <row r="2486" spans="1:2" ht="112" hidden="1" customHeight="1" x14ac:dyDescent="0.25">
      <c r="A2486" t="s">
        <v>2270</v>
      </c>
      <c r="B2486" s="3" t="s">
        <v>6688</v>
      </c>
    </row>
    <row r="2487" spans="1:2" ht="112" hidden="1" customHeight="1" x14ac:dyDescent="0.25">
      <c r="A2487" t="s">
        <v>2271</v>
      </c>
      <c r="B2487" s="3" t="s">
        <v>6320</v>
      </c>
    </row>
    <row r="2488" spans="1:2" ht="112" hidden="1" customHeight="1" x14ac:dyDescent="0.25">
      <c r="A2488" t="s">
        <v>2272</v>
      </c>
      <c r="B2488" s="3" t="s">
        <v>6321</v>
      </c>
    </row>
    <row r="2489" spans="1:2" ht="112" hidden="1" customHeight="1" x14ac:dyDescent="0.25">
      <c r="A2489" t="s">
        <v>2273</v>
      </c>
      <c r="B2489" s="3" t="s">
        <v>6100</v>
      </c>
    </row>
    <row r="2490" spans="1:2" ht="112" hidden="1" customHeight="1" x14ac:dyDescent="0.25">
      <c r="A2490" t="s">
        <v>2274</v>
      </c>
      <c r="B2490" s="3" t="s">
        <v>6689</v>
      </c>
    </row>
    <row r="2491" spans="1:2" ht="112" hidden="1" customHeight="1" x14ac:dyDescent="0.25">
      <c r="A2491" t="s">
        <v>2276</v>
      </c>
      <c r="B2491" s="3" t="s">
        <v>6101</v>
      </c>
    </row>
    <row r="2492" spans="1:2" ht="112" hidden="1" customHeight="1" x14ac:dyDescent="0.25">
      <c r="A2492" t="s">
        <v>2278</v>
      </c>
      <c r="B2492" s="3" t="s">
        <v>6102</v>
      </c>
    </row>
    <row r="2493" spans="1:2" ht="112" hidden="1" customHeight="1" x14ac:dyDescent="0.25">
      <c r="A2493" t="s">
        <v>2280</v>
      </c>
      <c r="B2493" s="3" t="s">
        <v>6103</v>
      </c>
    </row>
    <row r="2494" spans="1:2" ht="112" hidden="1" customHeight="1" x14ac:dyDescent="0.25">
      <c r="A2494" t="s">
        <v>2281</v>
      </c>
      <c r="B2494" s="3" t="s">
        <v>6104</v>
      </c>
    </row>
    <row r="2495" spans="1:2" ht="112" hidden="1" customHeight="1" x14ac:dyDescent="0.25">
      <c r="A2495" t="s">
        <v>2282</v>
      </c>
      <c r="B2495" s="3" t="s">
        <v>4132</v>
      </c>
    </row>
    <row r="2496" spans="1:2" ht="112" hidden="1" customHeight="1" x14ac:dyDescent="0.25">
      <c r="A2496" t="s">
        <v>2283</v>
      </c>
      <c r="B2496" s="3" t="s">
        <v>4133</v>
      </c>
    </row>
    <row r="2497" spans="1:2" ht="112" hidden="1" customHeight="1" x14ac:dyDescent="0.25">
      <c r="A2497" t="s">
        <v>2284</v>
      </c>
      <c r="B2497" s="3" t="s">
        <v>5856</v>
      </c>
    </row>
    <row r="2498" spans="1:2" ht="112" hidden="1" customHeight="1" x14ac:dyDescent="0.25">
      <c r="A2498" t="s">
        <v>2285</v>
      </c>
      <c r="B2498" s="3" t="s">
        <v>4134</v>
      </c>
    </row>
    <row r="2499" spans="1:2" ht="112" hidden="1" customHeight="1" x14ac:dyDescent="0.25">
      <c r="A2499" t="s">
        <v>2286</v>
      </c>
      <c r="B2499" s="3" t="s">
        <v>5857</v>
      </c>
    </row>
    <row r="2500" spans="1:2" ht="112" hidden="1" customHeight="1" x14ac:dyDescent="0.25">
      <c r="A2500" t="s">
        <v>2287</v>
      </c>
      <c r="B2500" s="3" t="s">
        <v>6690</v>
      </c>
    </row>
    <row r="2501" spans="1:2" ht="112" hidden="1" customHeight="1" x14ac:dyDescent="0.25">
      <c r="A2501" t="s">
        <v>2288</v>
      </c>
      <c r="B2501" s="3" t="s">
        <v>4135</v>
      </c>
    </row>
    <row r="2502" spans="1:2" ht="112" hidden="1" customHeight="1" x14ac:dyDescent="0.25">
      <c r="A2502" t="s">
        <v>2289</v>
      </c>
      <c r="B2502" s="3" t="s">
        <v>4136</v>
      </c>
    </row>
    <row r="2503" spans="1:2" ht="112" hidden="1" customHeight="1" x14ac:dyDescent="0.25">
      <c r="A2503" t="s">
        <v>2290</v>
      </c>
      <c r="B2503" s="3" t="s">
        <v>4137</v>
      </c>
    </row>
    <row r="2504" spans="1:2" ht="112" hidden="1" customHeight="1" x14ac:dyDescent="0.25">
      <c r="A2504" t="s">
        <v>2291</v>
      </c>
      <c r="B2504" s="3" t="s">
        <v>4138</v>
      </c>
    </row>
    <row r="2505" spans="1:2" ht="112" hidden="1" customHeight="1" x14ac:dyDescent="0.25">
      <c r="A2505" t="s">
        <v>2292</v>
      </c>
      <c r="B2505" s="3" t="s">
        <v>4139</v>
      </c>
    </row>
    <row r="2506" spans="1:2" ht="112" hidden="1" customHeight="1" x14ac:dyDescent="0.25">
      <c r="A2506" t="s">
        <v>2293</v>
      </c>
      <c r="B2506" s="3" t="s">
        <v>4140</v>
      </c>
    </row>
    <row r="2507" spans="1:2" ht="112" hidden="1" customHeight="1" x14ac:dyDescent="0.25">
      <c r="A2507" t="s">
        <v>2294</v>
      </c>
      <c r="B2507" s="3" t="s">
        <v>4141</v>
      </c>
    </row>
    <row r="2508" spans="1:2" ht="112" hidden="1" customHeight="1" x14ac:dyDescent="0.25">
      <c r="A2508" t="s">
        <v>2295</v>
      </c>
      <c r="B2508" s="3" t="s">
        <v>4142</v>
      </c>
    </row>
    <row r="2509" spans="1:2" ht="112" hidden="1" customHeight="1" x14ac:dyDescent="0.25">
      <c r="A2509" t="s">
        <v>2296</v>
      </c>
      <c r="B2509" s="3" t="s">
        <v>4143</v>
      </c>
    </row>
    <row r="2510" spans="1:2" ht="112" hidden="1" customHeight="1" x14ac:dyDescent="0.25">
      <c r="A2510" t="s">
        <v>2297</v>
      </c>
      <c r="B2510" s="3" t="s">
        <v>4144</v>
      </c>
    </row>
    <row r="2511" spans="1:2" ht="112" hidden="1" customHeight="1" x14ac:dyDescent="0.25">
      <c r="A2511" t="s">
        <v>2298</v>
      </c>
      <c r="B2511" s="3" t="s">
        <v>4145</v>
      </c>
    </row>
    <row r="2512" spans="1:2" ht="112" hidden="1" customHeight="1" x14ac:dyDescent="0.25">
      <c r="A2512" t="s">
        <v>2299</v>
      </c>
      <c r="B2512" s="3" t="s">
        <v>4146</v>
      </c>
    </row>
    <row r="2513" spans="1:2" ht="112" hidden="1" customHeight="1" x14ac:dyDescent="0.25">
      <c r="A2513" t="s">
        <v>2300</v>
      </c>
      <c r="B2513" s="3" t="s">
        <v>4147</v>
      </c>
    </row>
    <row r="2514" spans="1:2" ht="112" hidden="1" customHeight="1" x14ac:dyDescent="0.25">
      <c r="A2514" t="s">
        <v>2301</v>
      </c>
      <c r="B2514" s="3" t="s">
        <v>4148</v>
      </c>
    </row>
    <row r="2515" spans="1:2" ht="112" hidden="1" customHeight="1" x14ac:dyDescent="0.25">
      <c r="A2515" t="s">
        <v>2302</v>
      </c>
      <c r="B2515" s="3" t="s">
        <v>4149</v>
      </c>
    </row>
    <row r="2516" spans="1:2" ht="112" hidden="1" customHeight="1" x14ac:dyDescent="0.25">
      <c r="A2516" t="s">
        <v>2303</v>
      </c>
      <c r="B2516" s="3" t="s">
        <v>4150</v>
      </c>
    </row>
    <row r="2517" spans="1:2" ht="112" hidden="1" customHeight="1" x14ac:dyDescent="0.25">
      <c r="A2517" t="s">
        <v>2304</v>
      </c>
      <c r="B2517" s="3" t="s">
        <v>6468</v>
      </c>
    </row>
    <row r="2518" spans="1:2" ht="112" hidden="1" customHeight="1" x14ac:dyDescent="0.25">
      <c r="A2518" t="s">
        <v>2305</v>
      </c>
      <c r="B2518" s="3" t="s">
        <v>4151</v>
      </c>
    </row>
    <row r="2519" spans="1:2" ht="112" hidden="1" customHeight="1" x14ac:dyDescent="0.25">
      <c r="A2519" t="s">
        <v>2306</v>
      </c>
      <c r="B2519" s="3" t="s">
        <v>4152</v>
      </c>
    </row>
    <row r="2520" spans="1:2" ht="112" hidden="1" customHeight="1" x14ac:dyDescent="0.25">
      <c r="A2520" t="s">
        <v>2307</v>
      </c>
      <c r="B2520" s="3" t="s">
        <v>4153</v>
      </c>
    </row>
    <row r="2521" spans="1:2" ht="112" hidden="1" customHeight="1" x14ac:dyDescent="0.25">
      <c r="A2521" t="s">
        <v>2308</v>
      </c>
      <c r="B2521" s="3" t="s">
        <v>4154</v>
      </c>
    </row>
    <row r="2522" spans="1:2" ht="112" hidden="1" customHeight="1" x14ac:dyDescent="0.25">
      <c r="A2522" t="s">
        <v>2309</v>
      </c>
      <c r="B2522" s="3" t="s">
        <v>4155</v>
      </c>
    </row>
    <row r="2523" spans="1:2" ht="112" hidden="1" customHeight="1" x14ac:dyDescent="0.25">
      <c r="A2523" t="s">
        <v>2310</v>
      </c>
      <c r="B2523" s="3" t="s">
        <v>4156</v>
      </c>
    </row>
    <row r="2524" spans="1:2" ht="112" hidden="1" customHeight="1" x14ac:dyDescent="0.25">
      <c r="A2524" t="s">
        <v>2311</v>
      </c>
      <c r="B2524" s="3" t="s">
        <v>4157</v>
      </c>
    </row>
    <row r="2525" spans="1:2" ht="112" hidden="1" customHeight="1" x14ac:dyDescent="0.25">
      <c r="A2525" t="s">
        <v>2312</v>
      </c>
      <c r="B2525" s="3" t="s">
        <v>4158</v>
      </c>
    </row>
    <row r="2526" spans="1:2" ht="112" hidden="1" customHeight="1" x14ac:dyDescent="0.25">
      <c r="A2526" t="s">
        <v>2313</v>
      </c>
      <c r="B2526" s="3" t="s">
        <v>4159</v>
      </c>
    </row>
    <row r="2527" spans="1:2" ht="112" hidden="1" customHeight="1" x14ac:dyDescent="0.25">
      <c r="A2527" t="s">
        <v>2314</v>
      </c>
      <c r="B2527" s="3" t="s">
        <v>4160</v>
      </c>
    </row>
    <row r="2528" spans="1:2" ht="112" hidden="1" customHeight="1" x14ac:dyDescent="0.25">
      <c r="A2528" t="s">
        <v>2315</v>
      </c>
      <c r="B2528" s="3" t="s">
        <v>4161</v>
      </c>
    </row>
    <row r="2529" spans="1:2" ht="112" hidden="1" customHeight="1" x14ac:dyDescent="0.25">
      <c r="A2529" t="s">
        <v>2316</v>
      </c>
      <c r="B2529" s="3" t="s">
        <v>4162</v>
      </c>
    </row>
    <row r="2530" spans="1:2" ht="112" hidden="1" customHeight="1" x14ac:dyDescent="0.25">
      <c r="A2530" t="s">
        <v>2317</v>
      </c>
      <c r="B2530" s="3" t="s">
        <v>4163</v>
      </c>
    </row>
    <row r="2531" spans="1:2" ht="112" hidden="1" customHeight="1" x14ac:dyDescent="0.25">
      <c r="A2531" t="s">
        <v>2318</v>
      </c>
      <c r="B2531" s="3" t="s">
        <v>4164</v>
      </c>
    </row>
    <row r="2532" spans="1:2" ht="112" hidden="1" customHeight="1" x14ac:dyDescent="0.25">
      <c r="A2532" t="s">
        <v>2319</v>
      </c>
      <c r="B2532" s="3" t="s">
        <v>4165</v>
      </c>
    </row>
    <row r="2533" spans="1:2" ht="112" hidden="1" customHeight="1" x14ac:dyDescent="0.25">
      <c r="A2533" t="s">
        <v>2320</v>
      </c>
      <c r="B2533" s="3" t="s">
        <v>4166</v>
      </c>
    </row>
    <row r="2534" spans="1:2" ht="112" hidden="1" customHeight="1" x14ac:dyDescent="0.25">
      <c r="A2534" t="s">
        <v>2321</v>
      </c>
      <c r="B2534" s="3" t="s">
        <v>4167</v>
      </c>
    </row>
    <row r="2535" spans="1:2" ht="112" hidden="1" customHeight="1" x14ac:dyDescent="0.25">
      <c r="A2535" t="s">
        <v>2322</v>
      </c>
      <c r="B2535" s="3" t="s">
        <v>4168</v>
      </c>
    </row>
    <row r="2536" spans="1:2" ht="112" hidden="1" customHeight="1" x14ac:dyDescent="0.25">
      <c r="A2536" t="s">
        <v>2323</v>
      </c>
      <c r="B2536" s="3" t="s">
        <v>4169</v>
      </c>
    </row>
    <row r="2537" spans="1:2" ht="112" hidden="1" customHeight="1" x14ac:dyDescent="0.25">
      <c r="A2537" t="s">
        <v>2324</v>
      </c>
      <c r="B2537" s="3" t="s">
        <v>4170</v>
      </c>
    </row>
    <row r="2538" spans="1:2" ht="112" hidden="1" customHeight="1" x14ac:dyDescent="0.25">
      <c r="A2538" t="s">
        <v>2325</v>
      </c>
      <c r="B2538" s="3" t="s">
        <v>6691</v>
      </c>
    </row>
    <row r="2539" spans="1:2" ht="112" hidden="1" customHeight="1" x14ac:dyDescent="0.25">
      <c r="A2539" t="s">
        <v>2328</v>
      </c>
      <c r="B2539" s="3" t="s">
        <v>6105</v>
      </c>
    </row>
    <row r="2540" spans="1:2" ht="112" hidden="1" customHeight="1" x14ac:dyDescent="0.25">
      <c r="A2540" t="s">
        <v>2329</v>
      </c>
      <c r="B2540" s="3" t="s">
        <v>4171</v>
      </c>
    </row>
    <row r="2541" spans="1:2" ht="112" hidden="1" customHeight="1" x14ac:dyDescent="0.25">
      <c r="A2541" t="s">
        <v>2330</v>
      </c>
      <c r="B2541" s="3" t="s">
        <v>4172</v>
      </c>
    </row>
    <row r="2542" spans="1:2" ht="112" hidden="1" customHeight="1" x14ac:dyDescent="0.25">
      <c r="A2542" t="s">
        <v>2331</v>
      </c>
      <c r="B2542" s="3" t="s">
        <v>4173</v>
      </c>
    </row>
    <row r="2543" spans="1:2" ht="112" hidden="1" customHeight="1" x14ac:dyDescent="0.25">
      <c r="A2543" t="s">
        <v>2332</v>
      </c>
      <c r="B2543" s="3" t="s">
        <v>6322</v>
      </c>
    </row>
    <row r="2544" spans="1:2" ht="112" hidden="1" customHeight="1" x14ac:dyDescent="0.25">
      <c r="A2544" t="s">
        <v>2333</v>
      </c>
      <c r="B2544" s="3" t="s">
        <v>6106</v>
      </c>
    </row>
    <row r="2545" spans="1:2" ht="112" hidden="1" customHeight="1" x14ac:dyDescent="0.25">
      <c r="A2545" t="s">
        <v>2334</v>
      </c>
      <c r="B2545" s="3" t="s">
        <v>7510</v>
      </c>
    </row>
    <row r="2546" spans="1:2" ht="112" hidden="1" customHeight="1" x14ac:dyDescent="0.25">
      <c r="A2546" t="s">
        <v>2335</v>
      </c>
      <c r="B2546" s="3" t="s">
        <v>6692</v>
      </c>
    </row>
    <row r="2547" spans="1:2" ht="112" hidden="1" customHeight="1" x14ac:dyDescent="0.25">
      <c r="A2547" t="s">
        <v>2336</v>
      </c>
      <c r="B2547" s="3" t="s">
        <v>6693</v>
      </c>
    </row>
    <row r="2548" spans="1:2" ht="112" hidden="1" customHeight="1" x14ac:dyDescent="0.25">
      <c r="A2548" t="s">
        <v>2337</v>
      </c>
      <c r="B2548" s="3" t="s">
        <v>6694</v>
      </c>
    </row>
    <row r="2549" spans="1:2" ht="112" hidden="1" customHeight="1" x14ac:dyDescent="0.25">
      <c r="A2549" t="s">
        <v>2338</v>
      </c>
      <c r="B2549" s="3" t="s">
        <v>6695</v>
      </c>
    </row>
    <row r="2550" spans="1:2" ht="112" hidden="1" customHeight="1" x14ac:dyDescent="0.25">
      <c r="A2550" t="s">
        <v>2339</v>
      </c>
      <c r="B2550" s="3" t="s">
        <v>5444</v>
      </c>
    </row>
    <row r="2551" spans="1:2" ht="112" hidden="1" customHeight="1" x14ac:dyDescent="0.25">
      <c r="A2551" t="s">
        <v>2340</v>
      </c>
      <c r="B2551" s="3" t="s">
        <v>5445</v>
      </c>
    </row>
    <row r="2552" spans="1:2" ht="112" hidden="1" customHeight="1" x14ac:dyDescent="0.25">
      <c r="A2552" t="s">
        <v>2341</v>
      </c>
      <c r="B2552" s="3" t="s">
        <v>6323</v>
      </c>
    </row>
    <row r="2553" spans="1:2" ht="112" hidden="1" customHeight="1" x14ac:dyDescent="0.25">
      <c r="A2553" t="s">
        <v>2342</v>
      </c>
      <c r="B2553" s="3" t="s">
        <v>4174</v>
      </c>
    </row>
    <row r="2554" spans="1:2" ht="112" hidden="1" customHeight="1" x14ac:dyDescent="0.25">
      <c r="A2554" t="s">
        <v>2343</v>
      </c>
      <c r="B2554" s="3" t="s">
        <v>4175</v>
      </c>
    </row>
    <row r="2555" spans="1:2" ht="112" hidden="1" customHeight="1" x14ac:dyDescent="0.25">
      <c r="A2555" t="s">
        <v>2344</v>
      </c>
      <c r="B2555" s="3" t="s">
        <v>4176</v>
      </c>
    </row>
    <row r="2556" spans="1:2" ht="112" hidden="1" customHeight="1" x14ac:dyDescent="0.25">
      <c r="A2556" t="s">
        <v>2345</v>
      </c>
      <c r="B2556" s="3" t="s">
        <v>4177</v>
      </c>
    </row>
    <row r="2557" spans="1:2" ht="112" hidden="1" customHeight="1" x14ac:dyDescent="0.25">
      <c r="A2557" t="s">
        <v>2346</v>
      </c>
      <c r="B2557" s="3" t="s">
        <v>4178</v>
      </c>
    </row>
    <row r="2558" spans="1:2" ht="112" hidden="1" customHeight="1" x14ac:dyDescent="0.25">
      <c r="A2558" t="s">
        <v>2347</v>
      </c>
      <c r="B2558" s="3" t="s">
        <v>4179</v>
      </c>
    </row>
    <row r="2559" spans="1:2" ht="112" hidden="1" customHeight="1" x14ac:dyDescent="0.25">
      <c r="A2559" t="s">
        <v>2348</v>
      </c>
      <c r="B2559" s="3" t="s">
        <v>6107</v>
      </c>
    </row>
    <row r="2560" spans="1:2" ht="112" hidden="1" customHeight="1" x14ac:dyDescent="0.25">
      <c r="A2560" t="s">
        <v>2349</v>
      </c>
      <c r="B2560" s="3" t="s">
        <v>6108</v>
      </c>
    </row>
    <row r="2561" spans="1:2" ht="112" hidden="1" customHeight="1" x14ac:dyDescent="0.25">
      <c r="A2561" t="s">
        <v>2350</v>
      </c>
      <c r="B2561" s="3" t="s">
        <v>6109</v>
      </c>
    </row>
    <row r="2562" spans="1:2" ht="112" hidden="1" customHeight="1" x14ac:dyDescent="0.25">
      <c r="A2562" t="s">
        <v>2351</v>
      </c>
      <c r="B2562" s="3" t="s">
        <v>6110</v>
      </c>
    </row>
    <row r="2563" spans="1:2" ht="112" hidden="1" customHeight="1" x14ac:dyDescent="0.25">
      <c r="A2563" t="s">
        <v>2352</v>
      </c>
      <c r="B2563" s="3" t="s">
        <v>6111</v>
      </c>
    </row>
    <row r="2564" spans="1:2" ht="112" hidden="1" customHeight="1" x14ac:dyDescent="0.25">
      <c r="A2564" t="s">
        <v>2353</v>
      </c>
      <c r="B2564" s="3" t="s">
        <v>6112</v>
      </c>
    </row>
    <row r="2565" spans="1:2" ht="112" hidden="1" customHeight="1" x14ac:dyDescent="0.25">
      <c r="A2565" t="s">
        <v>2354</v>
      </c>
      <c r="B2565" s="3" t="s">
        <v>4180</v>
      </c>
    </row>
    <row r="2566" spans="1:2" ht="112" hidden="1" customHeight="1" x14ac:dyDescent="0.25">
      <c r="A2566" t="s">
        <v>2355</v>
      </c>
      <c r="B2566" s="3" t="s">
        <v>6421</v>
      </c>
    </row>
    <row r="2567" spans="1:2" ht="112" hidden="1" customHeight="1" x14ac:dyDescent="0.25">
      <c r="A2567" t="s">
        <v>2356</v>
      </c>
      <c r="B2567" s="3" t="s">
        <v>4181</v>
      </c>
    </row>
    <row r="2568" spans="1:2" ht="112" hidden="1" customHeight="1" x14ac:dyDescent="0.25">
      <c r="A2568" t="s">
        <v>2357</v>
      </c>
      <c r="B2568" s="3" t="s">
        <v>4182</v>
      </c>
    </row>
    <row r="2569" spans="1:2" ht="112" hidden="1" customHeight="1" x14ac:dyDescent="0.25">
      <c r="A2569" t="s">
        <v>2358</v>
      </c>
      <c r="B2569" s="3" t="s">
        <v>4183</v>
      </c>
    </row>
    <row r="2570" spans="1:2" ht="112" hidden="1" customHeight="1" x14ac:dyDescent="0.25">
      <c r="A2570" t="s">
        <v>2359</v>
      </c>
      <c r="B2570" s="3" t="s">
        <v>4184</v>
      </c>
    </row>
    <row r="2571" spans="1:2" ht="112" hidden="1" customHeight="1" x14ac:dyDescent="0.25">
      <c r="A2571" t="s">
        <v>2360</v>
      </c>
      <c r="B2571" s="3" t="s">
        <v>4185</v>
      </c>
    </row>
    <row r="2572" spans="1:2" ht="112" hidden="1" customHeight="1" x14ac:dyDescent="0.25">
      <c r="A2572" t="s">
        <v>2361</v>
      </c>
      <c r="B2572" s="3" t="s">
        <v>4186</v>
      </c>
    </row>
    <row r="2573" spans="1:2" ht="112" hidden="1" customHeight="1" x14ac:dyDescent="0.25">
      <c r="A2573" t="s">
        <v>2362</v>
      </c>
      <c r="B2573" s="3" t="s">
        <v>4187</v>
      </c>
    </row>
    <row r="2574" spans="1:2" ht="112" hidden="1" customHeight="1" x14ac:dyDescent="0.25">
      <c r="A2574" t="s">
        <v>2363</v>
      </c>
      <c r="B2574" s="3" t="s">
        <v>4188</v>
      </c>
    </row>
    <row r="2575" spans="1:2" ht="112" hidden="1" customHeight="1" x14ac:dyDescent="0.25">
      <c r="A2575" t="s">
        <v>2364</v>
      </c>
      <c r="B2575" s="3" t="s">
        <v>4189</v>
      </c>
    </row>
    <row r="2576" spans="1:2" ht="112" hidden="1" customHeight="1" x14ac:dyDescent="0.25">
      <c r="A2576" t="s">
        <v>2365</v>
      </c>
      <c r="B2576" s="3" t="s">
        <v>4190</v>
      </c>
    </row>
    <row r="2577" spans="1:2" ht="112" hidden="1" customHeight="1" x14ac:dyDescent="0.25">
      <c r="A2577" t="s">
        <v>2366</v>
      </c>
      <c r="B2577" s="3" t="s">
        <v>4191</v>
      </c>
    </row>
    <row r="2578" spans="1:2" ht="112" hidden="1" customHeight="1" x14ac:dyDescent="0.25">
      <c r="A2578" t="s">
        <v>2367</v>
      </c>
      <c r="B2578" s="3" t="s">
        <v>4192</v>
      </c>
    </row>
    <row r="2579" spans="1:2" ht="112" hidden="1" customHeight="1" x14ac:dyDescent="0.25">
      <c r="A2579" t="s">
        <v>2368</v>
      </c>
      <c r="B2579" s="3" t="s">
        <v>4193</v>
      </c>
    </row>
    <row r="2580" spans="1:2" ht="112" hidden="1" customHeight="1" x14ac:dyDescent="0.25">
      <c r="A2580" t="s">
        <v>2369</v>
      </c>
      <c r="B2580" s="3" t="s">
        <v>4194</v>
      </c>
    </row>
    <row r="2581" spans="1:2" ht="112" hidden="1" customHeight="1" x14ac:dyDescent="0.25">
      <c r="A2581" t="s">
        <v>2370</v>
      </c>
      <c r="B2581" s="3" t="s">
        <v>4195</v>
      </c>
    </row>
    <row r="2582" spans="1:2" ht="112" hidden="1" customHeight="1" x14ac:dyDescent="0.25">
      <c r="A2582" t="s">
        <v>2371</v>
      </c>
      <c r="B2582" s="3" t="s">
        <v>4196</v>
      </c>
    </row>
    <row r="2583" spans="1:2" ht="112" hidden="1" customHeight="1" x14ac:dyDescent="0.25">
      <c r="A2583" t="s">
        <v>2372</v>
      </c>
      <c r="B2583" s="3" t="s">
        <v>4197</v>
      </c>
    </row>
    <row r="2584" spans="1:2" ht="112" hidden="1" customHeight="1" x14ac:dyDescent="0.25">
      <c r="A2584" t="s">
        <v>2373</v>
      </c>
      <c r="B2584" s="3" t="s">
        <v>4198</v>
      </c>
    </row>
    <row r="2585" spans="1:2" ht="112" hidden="1" customHeight="1" x14ac:dyDescent="0.25">
      <c r="A2585" t="s">
        <v>2374</v>
      </c>
      <c r="B2585" s="3" t="s">
        <v>4199</v>
      </c>
    </row>
    <row r="2586" spans="1:2" ht="112" hidden="1" customHeight="1" x14ac:dyDescent="0.25">
      <c r="A2586" t="s">
        <v>2375</v>
      </c>
      <c r="B2586" s="3" t="s">
        <v>4200</v>
      </c>
    </row>
    <row r="2587" spans="1:2" ht="112" hidden="1" customHeight="1" x14ac:dyDescent="0.25">
      <c r="A2587" t="s">
        <v>2376</v>
      </c>
      <c r="B2587" s="3" t="s">
        <v>4201</v>
      </c>
    </row>
    <row r="2588" spans="1:2" ht="112" hidden="1" customHeight="1" x14ac:dyDescent="0.25">
      <c r="A2588" t="s">
        <v>2377</v>
      </c>
      <c r="B2588" s="3" t="s">
        <v>4202</v>
      </c>
    </row>
    <row r="2589" spans="1:2" ht="112" hidden="1" customHeight="1" x14ac:dyDescent="0.25">
      <c r="A2589" t="s">
        <v>2378</v>
      </c>
      <c r="B2589" s="3" t="s">
        <v>4203</v>
      </c>
    </row>
    <row r="2590" spans="1:2" ht="112" hidden="1" customHeight="1" x14ac:dyDescent="0.25">
      <c r="A2590" t="s">
        <v>2379</v>
      </c>
      <c r="B2590" s="3" t="s">
        <v>4204</v>
      </c>
    </row>
    <row r="2591" spans="1:2" ht="112" hidden="1" customHeight="1" x14ac:dyDescent="0.25">
      <c r="A2591" t="s">
        <v>2380</v>
      </c>
      <c r="B2591" s="3" t="s">
        <v>4205</v>
      </c>
    </row>
    <row r="2592" spans="1:2" ht="112" hidden="1" customHeight="1" x14ac:dyDescent="0.25">
      <c r="A2592" t="s">
        <v>2381</v>
      </c>
      <c r="B2592" s="3" t="s">
        <v>4206</v>
      </c>
    </row>
    <row r="2593" spans="1:2" ht="112" hidden="1" customHeight="1" x14ac:dyDescent="0.25">
      <c r="A2593" t="s">
        <v>2382</v>
      </c>
      <c r="B2593" s="3" t="s">
        <v>4207</v>
      </c>
    </row>
    <row r="2594" spans="1:2" ht="112" hidden="1" customHeight="1" x14ac:dyDescent="0.25">
      <c r="A2594" t="s">
        <v>2383</v>
      </c>
      <c r="B2594" s="3" t="s">
        <v>6324</v>
      </c>
    </row>
    <row r="2595" spans="1:2" ht="112" hidden="1" customHeight="1" x14ac:dyDescent="0.25">
      <c r="A2595" t="s">
        <v>2384</v>
      </c>
      <c r="B2595" s="3" t="s">
        <v>6325</v>
      </c>
    </row>
    <row r="2596" spans="1:2" ht="112" hidden="1" customHeight="1" x14ac:dyDescent="0.25">
      <c r="A2596" t="s">
        <v>2385</v>
      </c>
      <c r="B2596" s="3" t="s">
        <v>4208</v>
      </c>
    </row>
    <row r="2597" spans="1:2" ht="112" hidden="1" customHeight="1" x14ac:dyDescent="0.25">
      <c r="A2597" t="s">
        <v>2386</v>
      </c>
      <c r="B2597" s="3" t="s">
        <v>4209</v>
      </c>
    </row>
    <row r="2598" spans="1:2" ht="112" hidden="1" customHeight="1" x14ac:dyDescent="0.25">
      <c r="A2598" t="s">
        <v>2387</v>
      </c>
      <c r="B2598" s="3" t="s">
        <v>4210</v>
      </c>
    </row>
    <row r="2599" spans="1:2" ht="112" hidden="1" customHeight="1" x14ac:dyDescent="0.25">
      <c r="A2599" t="s">
        <v>2388</v>
      </c>
      <c r="B2599" s="3" t="s">
        <v>4211</v>
      </c>
    </row>
    <row r="2600" spans="1:2" ht="112" hidden="1" customHeight="1" x14ac:dyDescent="0.25">
      <c r="A2600" t="s">
        <v>2389</v>
      </c>
      <c r="B2600" s="3" t="s">
        <v>4212</v>
      </c>
    </row>
    <row r="2601" spans="1:2" ht="112" hidden="1" customHeight="1" x14ac:dyDescent="0.25">
      <c r="A2601" t="s">
        <v>2390</v>
      </c>
      <c r="B2601" s="3" t="s">
        <v>6696</v>
      </c>
    </row>
    <row r="2602" spans="1:2" ht="112" hidden="1" customHeight="1" x14ac:dyDescent="0.25">
      <c r="A2602" t="s">
        <v>2391</v>
      </c>
      <c r="B2602" s="3" t="s">
        <v>4213</v>
      </c>
    </row>
    <row r="2603" spans="1:2" ht="112" hidden="1" customHeight="1" x14ac:dyDescent="0.25">
      <c r="A2603" t="s">
        <v>2392</v>
      </c>
      <c r="B2603" s="3" t="s">
        <v>4214</v>
      </c>
    </row>
    <row r="2604" spans="1:2" ht="112" hidden="1" customHeight="1" x14ac:dyDescent="0.25">
      <c r="A2604" t="s">
        <v>2393</v>
      </c>
      <c r="B2604" s="3" t="s">
        <v>6697</v>
      </c>
    </row>
    <row r="2605" spans="1:2" ht="112" hidden="1" customHeight="1" x14ac:dyDescent="0.25">
      <c r="A2605" t="s">
        <v>2394</v>
      </c>
      <c r="B2605" s="3" t="s">
        <v>6698</v>
      </c>
    </row>
    <row r="2606" spans="1:2" ht="112" hidden="1" customHeight="1" x14ac:dyDescent="0.25">
      <c r="A2606" t="s">
        <v>2395</v>
      </c>
      <c r="B2606" s="3" t="s">
        <v>6699</v>
      </c>
    </row>
    <row r="2607" spans="1:2" ht="112" hidden="1" customHeight="1" x14ac:dyDescent="0.25">
      <c r="A2607" t="s">
        <v>2396</v>
      </c>
      <c r="B2607" s="3" t="s">
        <v>6700</v>
      </c>
    </row>
    <row r="2608" spans="1:2" ht="112" hidden="1" customHeight="1" x14ac:dyDescent="0.25">
      <c r="A2608" t="s">
        <v>2397</v>
      </c>
      <c r="B2608" s="3" t="s">
        <v>6701</v>
      </c>
    </row>
    <row r="2609" spans="1:2" ht="112" hidden="1" customHeight="1" x14ac:dyDescent="0.25">
      <c r="A2609" t="s">
        <v>2398</v>
      </c>
      <c r="B2609" s="3" t="s">
        <v>4215</v>
      </c>
    </row>
    <row r="2610" spans="1:2" ht="112" hidden="1" customHeight="1" x14ac:dyDescent="0.25">
      <c r="A2610" t="s">
        <v>2399</v>
      </c>
      <c r="B2610" s="3" t="s">
        <v>4216</v>
      </c>
    </row>
    <row r="2611" spans="1:2" ht="112" hidden="1" customHeight="1" x14ac:dyDescent="0.25">
      <c r="A2611" t="s">
        <v>2400</v>
      </c>
      <c r="B2611" s="3" t="s">
        <v>4217</v>
      </c>
    </row>
    <row r="2612" spans="1:2" ht="112" hidden="1" customHeight="1" x14ac:dyDescent="0.25">
      <c r="A2612" t="s">
        <v>2401</v>
      </c>
      <c r="B2612" s="3" t="s">
        <v>6702</v>
      </c>
    </row>
    <row r="2613" spans="1:2" ht="112" hidden="1" customHeight="1" x14ac:dyDescent="0.25">
      <c r="A2613" t="s">
        <v>2402</v>
      </c>
      <c r="B2613" s="3" t="s">
        <v>4218</v>
      </c>
    </row>
    <row r="2614" spans="1:2" ht="112" hidden="1" customHeight="1" x14ac:dyDescent="0.25">
      <c r="A2614" t="s">
        <v>2403</v>
      </c>
      <c r="B2614" s="3" t="s">
        <v>4219</v>
      </c>
    </row>
    <row r="2615" spans="1:2" ht="112" hidden="1" customHeight="1" x14ac:dyDescent="0.25">
      <c r="A2615" t="s">
        <v>2404</v>
      </c>
      <c r="B2615" s="3" t="s">
        <v>6703</v>
      </c>
    </row>
    <row r="2616" spans="1:2" ht="112" hidden="1" customHeight="1" x14ac:dyDescent="0.25">
      <c r="A2616" t="s">
        <v>2405</v>
      </c>
      <c r="B2616" s="3" t="s">
        <v>4220</v>
      </c>
    </row>
    <row r="2617" spans="1:2" ht="112" hidden="1" customHeight="1" x14ac:dyDescent="0.25">
      <c r="A2617" t="s">
        <v>2406</v>
      </c>
      <c r="B2617" s="3" t="s">
        <v>6704</v>
      </c>
    </row>
    <row r="2618" spans="1:2" ht="112" hidden="1" customHeight="1" x14ac:dyDescent="0.25">
      <c r="A2618" t="s">
        <v>2407</v>
      </c>
      <c r="B2618" s="3" t="s">
        <v>4221</v>
      </c>
    </row>
    <row r="2619" spans="1:2" ht="112" hidden="1" customHeight="1" x14ac:dyDescent="0.25">
      <c r="A2619" t="s">
        <v>2408</v>
      </c>
      <c r="B2619" s="3" t="s">
        <v>4222</v>
      </c>
    </row>
    <row r="2620" spans="1:2" ht="112" hidden="1" customHeight="1" x14ac:dyDescent="0.25">
      <c r="A2620" t="s">
        <v>2409</v>
      </c>
      <c r="B2620" s="3" t="s">
        <v>4223</v>
      </c>
    </row>
    <row r="2621" spans="1:2" ht="112" hidden="1" customHeight="1" x14ac:dyDescent="0.25">
      <c r="A2621" t="s">
        <v>2565</v>
      </c>
      <c r="B2621" s="3" t="s">
        <v>6113</v>
      </c>
    </row>
    <row r="2622" spans="1:2" ht="112" hidden="1" customHeight="1" x14ac:dyDescent="0.25">
      <c r="A2622" t="s">
        <v>2410</v>
      </c>
      <c r="B2622" s="3" t="s">
        <v>6114</v>
      </c>
    </row>
    <row r="2623" spans="1:2" ht="112" hidden="1" customHeight="1" x14ac:dyDescent="0.25">
      <c r="A2623" t="s">
        <v>2411</v>
      </c>
      <c r="B2623" s="3" t="s">
        <v>4224</v>
      </c>
    </row>
    <row r="2624" spans="1:2" ht="112" hidden="1" customHeight="1" x14ac:dyDescent="0.25">
      <c r="A2624" t="s">
        <v>2412</v>
      </c>
      <c r="B2624" s="3" t="s">
        <v>6422</v>
      </c>
    </row>
    <row r="2625" spans="1:2" ht="112" hidden="1" customHeight="1" x14ac:dyDescent="0.25">
      <c r="A2625" t="s">
        <v>2413</v>
      </c>
      <c r="B2625" s="3" t="s">
        <v>5816</v>
      </c>
    </row>
    <row r="2626" spans="1:2" ht="112" hidden="1" customHeight="1" x14ac:dyDescent="0.25">
      <c r="A2626" t="s">
        <v>2414</v>
      </c>
      <c r="B2626" s="3" t="s">
        <v>5817</v>
      </c>
    </row>
    <row r="2627" spans="1:2" ht="112" hidden="1" customHeight="1" x14ac:dyDescent="0.25">
      <c r="A2627" t="s">
        <v>2415</v>
      </c>
      <c r="B2627" s="3" t="s">
        <v>5818</v>
      </c>
    </row>
    <row r="2628" spans="1:2" ht="112" hidden="1" customHeight="1" x14ac:dyDescent="0.25">
      <c r="A2628" t="s">
        <v>2416</v>
      </c>
      <c r="B2628" s="3" t="s">
        <v>6115</v>
      </c>
    </row>
    <row r="2629" spans="1:2" ht="112" hidden="1" customHeight="1" x14ac:dyDescent="0.25">
      <c r="A2629" t="s">
        <v>2417</v>
      </c>
      <c r="B2629" s="3" t="s">
        <v>4225</v>
      </c>
    </row>
    <row r="2630" spans="1:2" ht="112" hidden="1" customHeight="1" x14ac:dyDescent="0.25">
      <c r="A2630" t="s">
        <v>2418</v>
      </c>
      <c r="B2630" s="3" t="s">
        <v>4226</v>
      </c>
    </row>
    <row r="2631" spans="1:2" ht="112" hidden="1" customHeight="1" x14ac:dyDescent="0.25">
      <c r="A2631" t="s">
        <v>2419</v>
      </c>
      <c r="B2631" s="3" t="s">
        <v>4227</v>
      </c>
    </row>
    <row r="2632" spans="1:2" ht="112" hidden="1" customHeight="1" x14ac:dyDescent="0.25">
      <c r="A2632" t="s">
        <v>2420</v>
      </c>
      <c r="B2632" s="3" t="s">
        <v>4228</v>
      </c>
    </row>
    <row r="2633" spans="1:2" ht="112" hidden="1" customHeight="1" x14ac:dyDescent="0.25">
      <c r="A2633" t="s">
        <v>2421</v>
      </c>
      <c r="B2633" s="3" t="s">
        <v>4229</v>
      </c>
    </row>
    <row r="2634" spans="1:2" ht="112" hidden="1" customHeight="1" x14ac:dyDescent="0.25">
      <c r="A2634" t="s">
        <v>2422</v>
      </c>
      <c r="B2634" s="3" t="s">
        <v>4230</v>
      </c>
    </row>
    <row r="2635" spans="1:2" ht="112" hidden="1" customHeight="1" x14ac:dyDescent="0.25">
      <c r="A2635" t="s">
        <v>2423</v>
      </c>
      <c r="B2635" s="3" t="s">
        <v>4231</v>
      </c>
    </row>
    <row r="2636" spans="1:2" ht="112" hidden="1" customHeight="1" x14ac:dyDescent="0.25">
      <c r="A2636" t="s">
        <v>2424</v>
      </c>
      <c r="B2636" s="3" t="s">
        <v>6513</v>
      </c>
    </row>
    <row r="2637" spans="1:2" ht="112" hidden="1" customHeight="1" x14ac:dyDescent="0.25">
      <c r="A2637" t="s">
        <v>2425</v>
      </c>
      <c r="B2637" s="3" t="s">
        <v>4232</v>
      </c>
    </row>
    <row r="2638" spans="1:2" ht="112" hidden="1" customHeight="1" x14ac:dyDescent="0.25">
      <c r="A2638" t="s">
        <v>2426</v>
      </c>
      <c r="B2638" s="3" t="s">
        <v>4233</v>
      </c>
    </row>
    <row r="2639" spans="1:2" ht="112" hidden="1" customHeight="1" x14ac:dyDescent="0.25">
      <c r="A2639" t="s">
        <v>2427</v>
      </c>
      <c r="B2639" s="3" t="s">
        <v>4234</v>
      </c>
    </row>
    <row r="2640" spans="1:2" ht="112" hidden="1" customHeight="1" x14ac:dyDescent="0.25">
      <c r="A2640" t="s">
        <v>2428</v>
      </c>
      <c r="B2640" s="3" t="s">
        <v>4235</v>
      </c>
    </row>
    <row r="2641" spans="1:2" ht="112" hidden="1" customHeight="1" x14ac:dyDescent="0.25">
      <c r="A2641" t="s">
        <v>2429</v>
      </c>
      <c r="B2641" s="3" t="s">
        <v>4236</v>
      </c>
    </row>
    <row r="2642" spans="1:2" ht="112" hidden="1" customHeight="1" x14ac:dyDescent="0.25">
      <c r="A2642" t="s">
        <v>2430</v>
      </c>
      <c r="B2642" s="3" t="s">
        <v>4237</v>
      </c>
    </row>
    <row r="2643" spans="1:2" ht="112" hidden="1" customHeight="1" x14ac:dyDescent="0.25">
      <c r="A2643" t="s">
        <v>2431</v>
      </c>
      <c r="B2643" s="3" t="s">
        <v>4238</v>
      </c>
    </row>
    <row r="2644" spans="1:2" ht="112" hidden="1" customHeight="1" x14ac:dyDescent="0.25">
      <c r="A2644" t="s">
        <v>2432</v>
      </c>
      <c r="B2644" s="3" t="s">
        <v>4239</v>
      </c>
    </row>
    <row r="2645" spans="1:2" ht="112" hidden="1" customHeight="1" x14ac:dyDescent="0.25">
      <c r="A2645" t="s">
        <v>2433</v>
      </c>
      <c r="B2645" s="3" t="s">
        <v>4240</v>
      </c>
    </row>
    <row r="2646" spans="1:2" ht="112" hidden="1" customHeight="1" x14ac:dyDescent="0.25">
      <c r="A2646" t="s">
        <v>2434</v>
      </c>
      <c r="B2646" s="3" t="s">
        <v>4241</v>
      </c>
    </row>
    <row r="2647" spans="1:2" ht="112" hidden="1" customHeight="1" x14ac:dyDescent="0.25">
      <c r="A2647" t="s">
        <v>2435</v>
      </c>
      <c r="B2647" s="3" t="s">
        <v>4242</v>
      </c>
    </row>
    <row r="2648" spans="1:2" ht="112" hidden="1" customHeight="1" x14ac:dyDescent="0.25">
      <c r="A2648" t="s">
        <v>2436</v>
      </c>
      <c r="B2648" s="3" t="s">
        <v>4243</v>
      </c>
    </row>
    <row r="2649" spans="1:2" ht="112" hidden="1" customHeight="1" x14ac:dyDescent="0.25">
      <c r="A2649" t="s">
        <v>2437</v>
      </c>
      <c r="B2649" s="3" t="s">
        <v>6423</v>
      </c>
    </row>
    <row r="2650" spans="1:2" ht="112" hidden="1" customHeight="1" x14ac:dyDescent="0.25">
      <c r="A2650" t="s">
        <v>2439</v>
      </c>
      <c r="B2650" s="3" t="s">
        <v>4244</v>
      </c>
    </row>
    <row r="2651" spans="1:2" ht="112" hidden="1" customHeight="1" x14ac:dyDescent="0.25">
      <c r="A2651" t="s">
        <v>2440</v>
      </c>
      <c r="B2651" s="3" t="s">
        <v>4245</v>
      </c>
    </row>
    <row r="2652" spans="1:2" ht="112" hidden="1" customHeight="1" x14ac:dyDescent="0.25">
      <c r="A2652" t="s">
        <v>2441</v>
      </c>
      <c r="B2652" s="3" t="s">
        <v>5819</v>
      </c>
    </row>
    <row r="2653" spans="1:2" ht="112" hidden="1" customHeight="1" x14ac:dyDescent="0.25">
      <c r="A2653" t="s">
        <v>2442</v>
      </c>
      <c r="B2653" s="3" t="s">
        <v>5820</v>
      </c>
    </row>
    <row r="2654" spans="1:2" ht="112" hidden="1" customHeight="1" x14ac:dyDescent="0.25">
      <c r="A2654" t="s">
        <v>2443</v>
      </c>
      <c r="B2654" s="3" t="s">
        <v>4246</v>
      </c>
    </row>
    <row r="2655" spans="1:2" ht="112" hidden="1" customHeight="1" x14ac:dyDescent="0.25">
      <c r="A2655" t="s">
        <v>2444</v>
      </c>
      <c r="B2655" s="3" t="s">
        <v>5821</v>
      </c>
    </row>
    <row r="2656" spans="1:2" ht="112" hidden="1" customHeight="1" x14ac:dyDescent="0.25">
      <c r="A2656" t="s">
        <v>2445</v>
      </c>
      <c r="B2656" s="3" t="s">
        <v>5446</v>
      </c>
    </row>
    <row r="2657" spans="1:2" ht="112" hidden="1" customHeight="1" x14ac:dyDescent="0.25">
      <c r="A2657" t="s">
        <v>2446</v>
      </c>
      <c r="B2657" s="3" t="s">
        <v>4247</v>
      </c>
    </row>
    <row r="2658" spans="1:2" ht="112" hidden="1" customHeight="1" x14ac:dyDescent="0.25">
      <c r="A2658" t="s">
        <v>2447</v>
      </c>
      <c r="B2658" s="3" t="s">
        <v>4248</v>
      </c>
    </row>
    <row r="2659" spans="1:2" ht="112" hidden="1" customHeight="1" x14ac:dyDescent="0.25">
      <c r="A2659" t="s">
        <v>2448</v>
      </c>
      <c r="B2659" s="3" t="s">
        <v>4249</v>
      </c>
    </row>
    <row r="2660" spans="1:2" ht="112" hidden="1" customHeight="1" x14ac:dyDescent="0.25">
      <c r="A2660" t="s">
        <v>2449</v>
      </c>
      <c r="B2660" s="3" t="s">
        <v>4250</v>
      </c>
    </row>
    <row r="2661" spans="1:2" ht="112" hidden="1" customHeight="1" x14ac:dyDescent="0.25">
      <c r="A2661" t="s">
        <v>2450</v>
      </c>
      <c r="B2661" s="3" t="s">
        <v>5769</v>
      </c>
    </row>
    <row r="2662" spans="1:2" ht="112" hidden="1" customHeight="1" x14ac:dyDescent="0.25">
      <c r="A2662" t="s">
        <v>2452</v>
      </c>
      <c r="B2662" s="3" t="s">
        <v>6116</v>
      </c>
    </row>
    <row r="2663" spans="1:2" ht="112" hidden="1" customHeight="1" x14ac:dyDescent="0.25">
      <c r="A2663" t="s">
        <v>2453</v>
      </c>
      <c r="B2663" s="3" t="s">
        <v>5822</v>
      </c>
    </row>
    <row r="2664" spans="1:2" ht="112" hidden="1" customHeight="1" x14ac:dyDescent="0.25">
      <c r="A2664" t="s">
        <v>2454</v>
      </c>
      <c r="B2664" s="3" t="s">
        <v>4251</v>
      </c>
    </row>
    <row r="2665" spans="1:2" ht="112" hidden="1" customHeight="1" x14ac:dyDescent="0.25">
      <c r="A2665" t="s">
        <v>2456</v>
      </c>
      <c r="B2665" s="3" t="s">
        <v>6424</v>
      </c>
    </row>
    <row r="2666" spans="1:2" ht="112" hidden="1" customHeight="1" x14ac:dyDescent="0.25">
      <c r="A2666" t="s">
        <v>2457</v>
      </c>
      <c r="B2666" s="3" t="s">
        <v>4252</v>
      </c>
    </row>
    <row r="2667" spans="1:2" ht="112" hidden="1" customHeight="1" x14ac:dyDescent="0.25">
      <c r="A2667" t="s">
        <v>2458</v>
      </c>
      <c r="B2667" s="3" t="s">
        <v>6425</v>
      </c>
    </row>
    <row r="2668" spans="1:2" ht="112" hidden="1" customHeight="1" x14ac:dyDescent="0.25">
      <c r="A2668" t="s">
        <v>2459</v>
      </c>
      <c r="B2668" s="3" t="s">
        <v>6426</v>
      </c>
    </row>
    <row r="2669" spans="1:2" ht="112" hidden="1" customHeight="1" x14ac:dyDescent="0.25">
      <c r="A2669" t="s">
        <v>2460</v>
      </c>
      <c r="B2669" s="3" t="s">
        <v>6705</v>
      </c>
    </row>
    <row r="2670" spans="1:2" ht="112" hidden="1" customHeight="1" x14ac:dyDescent="0.25">
      <c r="A2670" t="s">
        <v>2461</v>
      </c>
      <c r="B2670" s="3" t="s">
        <v>4253</v>
      </c>
    </row>
    <row r="2671" spans="1:2" ht="112" hidden="1" customHeight="1" x14ac:dyDescent="0.25">
      <c r="A2671" t="s">
        <v>2462</v>
      </c>
      <c r="B2671" s="3" t="s">
        <v>6326</v>
      </c>
    </row>
    <row r="2672" spans="1:2" ht="112" hidden="1" customHeight="1" x14ac:dyDescent="0.25">
      <c r="A2672" t="s">
        <v>2463</v>
      </c>
      <c r="B2672" s="3" t="s">
        <v>4254</v>
      </c>
    </row>
    <row r="2673" spans="1:2" ht="112" hidden="1" customHeight="1" x14ac:dyDescent="0.25">
      <c r="A2673" t="s">
        <v>2464</v>
      </c>
      <c r="B2673" s="3" t="s">
        <v>6706</v>
      </c>
    </row>
    <row r="2674" spans="1:2" ht="112" hidden="1" customHeight="1" x14ac:dyDescent="0.25">
      <c r="A2674" t="s">
        <v>2465</v>
      </c>
      <c r="B2674" s="3" t="s">
        <v>6707</v>
      </c>
    </row>
    <row r="2675" spans="1:2" ht="112" hidden="1" customHeight="1" x14ac:dyDescent="0.25">
      <c r="A2675" t="s">
        <v>2466</v>
      </c>
      <c r="B2675" s="3" t="s">
        <v>6427</v>
      </c>
    </row>
    <row r="2676" spans="1:2" ht="112" hidden="1" customHeight="1" x14ac:dyDescent="0.25">
      <c r="A2676" t="s">
        <v>2467</v>
      </c>
      <c r="B2676" s="3" t="s">
        <v>6428</v>
      </c>
    </row>
    <row r="2677" spans="1:2" ht="112" hidden="1" customHeight="1" x14ac:dyDescent="0.25">
      <c r="A2677" t="s">
        <v>2468</v>
      </c>
      <c r="B2677" s="3" t="s">
        <v>6429</v>
      </c>
    </row>
    <row r="2678" spans="1:2" ht="112" hidden="1" customHeight="1" x14ac:dyDescent="0.25">
      <c r="A2678" t="s">
        <v>2469</v>
      </c>
      <c r="B2678" s="3" t="s">
        <v>6430</v>
      </c>
    </row>
    <row r="2679" spans="1:2" ht="112" hidden="1" customHeight="1" x14ac:dyDescent="0.25">
      <c r="A2679" t="s">
        <v>2470</v>
      </c>
      <c r="B2679" s="3" t="s">
        <v>6431</v>
      </c>
    </row>
    <row r="2680" spans="1:2" ht="112" hidden="1" customHeight="1" x14ac:dyDescent="0.25">
      <c r="A2680" t="s">
        <v>2471</v>
      </c>
      <c r="B2680" s="3" t="s">
        <v>6432</v>
      </c>
    </row>
    <row r="2681" spans="1:2" ht="112" hidden="1" customHeight="1" x14ac:dyDescent="0.25">
      <c r="A2681" t="s">
        <v>2472</v>
      </c>
      <c r="B2681" s="3" t="s">
        <v>5447</v>
      </c>
    </row>
    <row r="2682" spans="1:2" ht="112" hidden="1" customHeight="1" x14ac:dyDescent="0.25">
      <c r="A2682" t="s">
        <v>2473</v>
      </c>
      <c r="B2682" s="3" t="s">
        <v>6327</v>
      </c>
    </row>
    <row r="2683" spans="1:2" ht="112" hidden="1" customHeight="1" x14ac:dyDescent="0.25">
      <c r="A2683" t="s">
        <v>2474</v>
      </c>
      <c r="B2683" s="3" t="s">
        <v>4255</v>
      </c>
    </row>
    <row r="2684" spans="1:2" ht="112" hidden="1" customHeight="1" x14ac:dyDescent="0.25">
      <c r="A2684" t="s">
        <v>2478</v>
      </c>
      <c r="B2684" s="3" t="s">
        <v>6433</v>
      </c>
    </row>
    <row r="2685" spans="1:2" ht="112" hidden="1" customHeight="1" x14ac:dyDescent="0.25">
      <c r="A2685" t="s">
        <v>2479</v>
      </c>
      <c r="B2685" s="3" t="s">
        <v>6117</v>
      </c>
    </row>
    <row r="2686" spans="1:2" ht="112" hidden="1" customHeight="1" x14ac:dyDescent="0.25">
      <c r="A2686" t="s">
        <v>2480</v>
      </c>
      <c r="B2686" s="3" t="s">
        <v>6328</v>
      </c>
    </row>
    <row r="2687" spans="1:2" ht="112" hidden="1" customHeight="1" x14ac:dyDescent="0.25">
      <c r="A2687" t="s">
        <v>2481</v>
      </c>
      <c r="B2687" s="3" t="s">
        <v>6434</v>
      </c>
    </row>
    <row r="2688" spans="1:2" ht="112" hidden="1" customHeight="1" x14ac:dyDescent="0.25">
      <c r="A2688" t="s">
        <v>2482</v>
      </c>
      <c r="B2688" s="3" t="s">
        <v>6118</v>
      </c>
    </row>
    <row r="2689" spans="1:2" ht="112" hidden="1" customHeight="1" x14ac:dyDescent="0.25">
      <c r="A2689" t="s">
        <v>2483</v>
      </c>
      <c r="B2689" s="3" t="s">
        <v>5823</v>
      </c>
    </row>
    <row r="2690" spans="1:2" ht="112" hidden="1" customHeight="1" x14ac:dyDescent="0.25">
      <c r="A2690" t="s">
        <v>2484</v>
      </c>
      <c r="B2690" s="3" t="s">
        <v>6119</v>
      </c>
    </row>
    <row r="2691" spans="1:2" ht="112" hidden="1" customHeight="1" x14ac:dyDescent="0.25">
      <c r="A2691" t="s">
        <v>2485</v>
      </c>
      <c r="B2691" s="3" t="s">
        <v>6329</v>
      </c>
    </row>
    <row r="2692" spans="1:2" ht="112" hidden="1" customHeight="1" x14ac:dyDescent="0.25">
      <c r="A2692" t="s">
        <v>2486</v>
      </c>
      <c r="B2692" s="3" t="s">
        <v>4256</v>
      </c>
    </row>
    <row r="2693" spans="1:2" ht="112" hidden="1" customHeight="1" x14ac:dyDescent="0.25">
      <c r="A2693" t="s">
        <v>2487</v>
      </c>
      <c r="B2693" s="3" t="s">
        <v>4257</v>
      </c>
    </row>
    <row r="2694" spans="1:2" ht="112" hidden="1" customHeight="1" x14ac:dyDescent="0.25">
      <c r="A2694" t="s">
        <v>7829</v>
      </c>
      <c r="B2694" s="3" t="s">
        <v>4258</v>
      </c>
    </row>
    <row r="2695" spans="1:2" ht="112" hidden="1" customHeight="1" x14ac:dyDescent="0.25">
      <c r="A2695" t="s">
        <v>2488</v>
      </c>
      <c r="B2695" s="3" t="s">
        <v>4259</v>
      </c>
    </row>
    <row r="2696" spans="1:2" ht="112" hidden="1" customHeight="1" x14ac:dyDescent="0.25">
      <c r="A2696" t="s">
        <v>2567</v>
      </c>
      <c r="B2696" s="3" t="s">
        <v>7512</v>
      </c>
    </row>
    <row r="2697" spans="1:2" ht="112" hidden="1" customHeight="1" x14ac:dyDescent="0.25">
      <c r="A2697" t="s">
        <v>2568</v>
      </c>
      <c r="B2697" s="3" t="s">
        <v>4261</v>
      </c>
    </row>
    <row r="2698" spans="1:2" ht="112" hidden="1" customHeight="1" x14ac:dyDescent="0.25">
      <c r="A2698" t="s">
        <v>2569</v>
      </c>
      <c r="B2698" s="3" t="s">
        <v>6482</v>
      </c>
    </row>
    <row r="2699" spans="1:2" ht="112" hidden="1" customHeight="1" x14ac:dyDescent="0.25">
      <c r="A2699" t="s">
        <v>2570</v>
      </c>
      <c r="B2699" s="3" t="s">
        <v>4262</v>
      </c>
    </row>
    <row r="2700" spans="1:2" ht="112" hidden="1" customHeight="1" x14ac:dyDescent="0.25">
      <c r="A2700" t="s">
        <v>2571</v>
      </c>
      <c r="B2700" s="3" t="s">
        <v>4263</v>
      </c>
    </row>
    <row r="2701" spans="1:2" ht="112" hidden="1" customHeight="1" x14ac:dyDescent="0.25">
      <c r="A2701" t="s">
        <v>2572</v>
      </c>
      <c r="B2701" s="3" t="s">
        <v>4264</v>
      </c>
    </row>
    <row r="2702" spans="1:2" ht="112" hidden="1" customHeight="1" x14ac:dyDescent="0.25">
      <c r="A2702" t="s">
        <v>2573</v>
      </c>
      <c r="B2702" s="3" t="s">
        <v>6435</v>
      </c>
    </row>
    <row r="2703" spans="1:2" ht="112" hidden="1" customHeight="1" x14ac:dyDescent="0.25">
      <c r="A2703" t="s">
        <v>2574</v>
      </c>
      <c r="B2703" s="3" t="s">
        <v>6436</v>
      </c>
    </row>
    <row r="2704" spans="1:2" ht="112" hidden="1" customHeight="1" x14ac:dyDescent="0.25">
      <c r="A2704" t="s">
        <v>2575</v>
      </c>
      <c r="B2704" s="3" t="s">
        <v>6330</v>
      </c>
    </row>
    <row r="2705" spans="1:2" ht="112" hidden="1" customHeight="1" x14ac:dyDescent="0.25">
      <c r="A2705" t="s">
        <v>2576</v>
      </c>
      <c r="B2705" s="3" t="s">
        <v>6331</v>
      </c>
    </row>
    <row r="2706" spans="1:2" ht="112" hidden="1" customHeight="1" x14ac:dyDescent="0.25">
      <c r="A2706" t="s">
        <v>2489</v>
      </c>
      <c r="B2706" s="3" t="s">
        <v>6437</v>
      </c>
    </row>
    <row r="2707" spans="1:2" ht="112" hidden="1" customHeight="1" x14ac:dyDescent="0.25">
      <c r="A2707" t="s">
        <v>2490</v>
      </c>
      <c r="B2707" s="3" t="s">
        <v>6438</v>
      </c>
    </row>
    <row r="2708" spans="1:2" ht="112" hidden="1" customHeight="1" x14ac:dyDescent="0.25">
      <c r="A2708" t="s">
        <v>2491</v>
      </c>
      <c r="B2708" s="3" t="s">
        <v>6439</v>
      </c>
    </row>
    <row r="2709" spans="1:2" ht="112" hidden="1" customHeight="1" x14ac:dyDescent="0.25">
      <c r="A2709" t="s">
        <v>2492</v>
      </c>
      <c r="B2709" s="3" t="s">
        <v>6440</v>
      </c>
    </row>
    <row r="2710" spans="1:2" ht="112" hidden="1" customHeight="1" x14ac:dyDescent="0.25">
      <c r="A2710" t="s">
        <v>2493</v>
      </c>
      <c r="B2710" s="3" t="s">
        <v>6441</v>
      </c>
    </row>
    <row r="2711" spans="1:2" ht="112" hidden="1" customHeight="1" x14ac:dyDescent="0.25">
      <c r="A2711" t="s">
        <v>2494</v>
      </c>
      <c r="B2711" s="3" t="s">
        <v>6442</v>
      </c>
    </row>
    <row r="2712" spans="1:2" ht="112" hidden="1" customHeight="1" x14ac:dyDescent="0.25">
      <c r="A2712" t="s">
        <v>2495</v>
      </c>
      <c r="B2712" s="3" t="s">
        <v>6443</v>
      </c>
    </row>
    <row r="2713" spans="1:2" ht="112" hidden="1" customHeight="1" x14ac:dyDescent="0.25">
      <c r="A2713" t="s">
        <v>2496</v>
      </c>
      <c r="B2713" s="3" t="s">
        <v>6444</v>
      </c>
    </row>
    <row r="2714" spans="1:2" ht="112" hidden="1" customHeight="1" x14ac:dyDescent="0.25">
      <c r="A2714" t="s">
        <v>2497</v>
      </c>
      <c r="B2714" s="3" t="s">
        <v>6120</v>
      </c>
    </row>
    <row r="2715" spans="1:2" ht="112" hidden="1" customHeight="1" x14ac:dyDescent="0.25">
      <c r="A2715" t="s">
        <v>7830</v>
      </c>
      <c r="B2715" s="3" t="s">
        <v>4265</v>
      </c>
    </row>
    <row r="2716" spans="1:2" ht="112" hidden="1" customHeight="1" x14ac:dyDescent="0.25">
      <c r="A2716" t="s">
        <v>2498</v>
      </c>
      <c r="B2716" s="3" t="s">
        <v>4266</v>
      </c>
    </row>
    <row r="2717" spans="1:2" ht="112" hidden="1" customHeight="1" x14ac:dyDescent="0.25">
      <c r="A2717" t="s">
        <v>2499</v>
      </c>
      <c r="B2717" s="3" t="s">
        <v>4267</v>
      </c>
    </row>
    <row r="2718" spans="1:2" ht="112" hidden="1" customHeight="1" x14ac:dyDescent="0.25">
      <c r="A2718" t="s">
        <v>2500</v>
      </c>
      <c r="B2718" s="3" t="s">
        <v>5824</v>
      </c>
    </row>
    <row r="2719" spans="1:2" ht="112" hidden="1" customHeight="1" x14ac:dyDescent="0.25">
      <c r="A2719" t="s">
        <v>2501</v>
      </c>
      <c r="B2719" s="3" t="s">
        <v>4268</v>
      </c>
    </row>
    <row r="2720" spans="1:2" ht="112" hidden="1" customHeight="1" x14ac:dyDescent="0.25">
      <c r="A2720" t="s">
        <v>2502</v>
      </c>
      <c r="B2720" s="3" t="s">
        <v>4269</v>
      </c>
    </row>
    <row r="2721" spans="1:2" ht="112" hidden="1" customHeight="1" x14ac:dyDescent="0.25">
      <c r="A2721" t="s">
        <v>2503</v>
      </c>
      <c r="B2721" s="3" t="s">
        <v>4270</v>
      </c>
    </row>
    <row r="2722" spans="1:2" ht="112" hidden="1" customHeight="1" x14ac:dyDescent="0.25">
      <c r="A2722" t="s">
        <v>2577</v>
      </c>
      <c r="B2722" s="3" t="s">
        <v>5766</v>
      </c>
    </row>
    <row r="2723" spans="1:2" ht="112" hidden="1" customHeight="1" x14ac:dyDescent="0.25">
      <c r="A2723" t="s">
        <v>2578</v>
      </c>
      <c r="B2723" s="3" t="s">
        <v>5767</v>
      </c>
    </row>
    <row r="2724" spans="1:2" ht="112" hidden="1" customHeight="1" x14ac:dyDescent="0.25">
      <c r="A2724" t="s">
        <v>2579</v>
      </c>
      <c r="B2724" s="3" t="s">
        <v>4271</v>
      </c>
    </row>
    <row r="2725" spans="1:2" ht="112" hidden="1" customHeight="1" x14ac:dyDescent="0.25">
      <c r="A2725" t="s">
        <v>2580</v>
      </c>
      <c r="B2725" s="3" t="s">
        <v>4272</v>
      </c>
    </row>
    <row r="2726" spans="1:2" ht="112" hidden="1" customHeight="1" x14ac:dyDescent="0.25">
      <c r="A2726" t="s">
        <v>2597</v>
      </c>
      <c r="B2726" s="3" t="s">
        <v>5835</v>
      </c>
    </row>
    <row r="2727" spans="1:2" ht="112" hidden="1" customHeight="1" x14ac:dyDescent="0.25">
      <c r="A2727" t="s">
        <v>2585</v>
      </c>
      <c r="B2727" s="3" t="s">
        <v>4273</v>
      </c>
    </row>
    <row r="2728" spans="1:2" ht="112" hidden="1" customHeight="1" x14ac:dyDescent="0.25">
      <c r="A2728" t="s">
        <v>2590</v>
      </c>
      <c r="B2728" s="3" t="s">
        <v>6121</v>
      </c>
    </row>
    <row r="2729" spans="1:2" ht="112" hidden="1" customHeight="1" x14ac:dyDescent="0.25">
      <c r="A2729" t="s">
        <v>2594</v>
      </c>
      <c r="B2729" s="3" t="s">
        <v>4274</v>
      </c>
    </row>
    <row r="2730" spans="1:2" ht="112" hidden="1" customHeight="1" x14ac:dyDescent="0.25">
      <c r="A2730" t="s">
        <v>2595</v>
      </c>
      <c r="B2730" s="3" t="s">
        <v>4275</v>
      </c>
    </row>
    <row r="2731" spans="1:2" ht="112" hidden="1" customHeight="1" x14ac:dyDescent="0.25">
      <c r="A2731" t="s">
        <v>2596</v>
      </c>
      <c r="B2731" s="3" t="s">
        <v>4276</v>
      </c>
    </row>
    <row r="2732" spans="1:2" ht="112" hidden="1" customHeight="1" x14ac:dyDescent="0.25">
      <c r="A2732" t="s">
        <v>2599</v>
      </c>
      <c r="B2732" s="3" t="s">
        <v>6122</v>
      </c>
    </row>
    <row r="2733" spans="1:2" ht="112" hidden="1" customHeight="1" x14ac:dyDescent="0.25">
      <c r="A2733" t="s">
        <v>2600</v>
      </c>
      <c r="B2733" s="3" t="s">
        <v>4277</v>
      </c>
    </row>
    <row r="2734" spans="1:2" ht="112" hidden="1" customHeight="1" x14ac:dyDescent="0.25">
      <c r="A2734" t="s">
        <v>2604</v>
      </c>
      <c r="B2734" s="3" t="s">
        <v>4278</v>
      </c>
    </row>
    <row r="2735" spans="1:2" ht="112" hidden="1" customHeight="1" x14ac:dyDescent="0.25">
      <c r="A2735" t="s">
        <v>2605</v>
      </c>
      <c r="B2735" s="3" t="s">
        <v>5448</v>
      </c>
    </row>
    <row r="2736" spans="1:2" ht="112" hidden="1" customHeight="1" x14ac:dyDescent="0.25">
      <c r="A2736" t="s">
        <v>2606</v>
      </c>
      <c r="B2736" s="3" t="s">
        <v>5449</v>
      </c>
    </row>
    <row r="2737" spans="1:2" ht="112" hidden="1" customHeight="1" x14ac:dyDescent="0.25">
      <c r="A2737" t="s">
        <v>2607</v>
      </c>
      <c r="B2737" s="3" t="s">
        <v>5450</v>
      </c>
    </row>
    <row r="2738" spans="1:2" ht="112" hidden="1" customHeight="1" x14ac:dyDescent="0.25">
      <c r="A2738" t="s">
        <v>2608</v>
      </c>
      <c r="B2738" s="3" t="s">
        <v>5451</v>
      </c>
    </row>
    <row r="2739" spans="1:2" ht="112" hidden="1" customHeight="1" x14ac:dyDescent="0.25">
      <c r="A2739" t="s">
        <v>2609</v>
      </c>
      <c r="B2739" s="3" t="s">
        <v>5452</v>
      </c>
    </row>
    <row r="2740" spans="1:2" ht="112" hidden="1" customHeight="1" x14ac:dyDescent="0.25">
      <c r="A2740" t="s">
        <v>2610</v>
      </c>
      <c r="B2740" s="3" t="s">
        <v>5453</v>
      </c>
    </row>
    <row r="2741" spans="1:2" ht="112" hidden="1" customHeight="1" x14ac:dyDescent="0.25">
      <c r="A2741" t="s">
        <v>2611</v>
      </c>
      <c r="B2741" s="3" t="s">
        <v>5454</v>
      </c>
    </row>
    <row r="2742" spans="1:2" ht="112" hidden="1" customHeight="1" x14ac:dyDescent="0.25">
      <c r="A2742" t="s">
        <v>2612</v>
      </c>
      <c r="B2742" s="3" t="s">
        <v>5455</v>
      </c>
    </row>
    <row r="2743" spans="1:2" ht="112" hidden="1" customHeight="1" x14ac:dyDescent="0.25">
      <c r="A2743" t="s">
        <v>2613</v>
      </c>
      <c r="B2743" s="3" t="s">
        <v>5456</v>
      </c>
    </row>
    <row r="2744" spans="1:2" ht="112" hidden="1" customHeight="1" x14ac:dyDescent="0.25">
      <c r="A2744" t="s">
        <v>2614</v>
      </c>
      <c r="B2744" s="3" t="s">
        <v>5137</v>
      </c>
    </row>
    <row r="2745" spans="1:2" ht="112" hidden="1" customHeight="1" x14ac:dyDescent="0.25">
      <c r="A2745" t="s">
        <v>2615</v>
      </c>
      <c r="B2745" s="3" t="s">
        <v>5138</v>
      </c>
    </row>
    <row r="2746" spans="1:2" ht="112" hidden="1" customHeight="1" x14ac:dyDescent="0.25">
      <c r="A2746" t="s">
        <v>2616</v>
      </c>
      <c r="B2746" s="3" t="s">
        <v>5139</v>
      </c>
    </row>
    <row r="2747" spans="1:2" ht="112" hidden="1" customHeight="1" x14ac:dyDescent="0.25">
      <c r="A2747" t="s">
        <v>2617</v>
      </c>
      <c r="B2747" s="3" t="s">
        <v>5140</v>
      </c>
    </row>
    <row r="2748" spans="1:2" ht="112" hidden="1" customHeight="1" x14ac:dyDescent="0.25">
      <c r="A2748" t="s">
        <v>2618</v>
      </c>
      <c r="B2748" s="3" t="s">
        <v>5141</v>
      </c>
    </row>
    <row r="2749" spans="1:2" ht="112" hidden="1" customHeight="1" x14ac:dyDescent="0.25">
      <c r="A2749" t="s">
        <v>2619</v>
      </c>
      <c r="B2749" s="3" t="s">
        <v>6483</v>
      </c>
    </row>
    <row r="2750" spans="1:2" ht="112" hidden="1" customHeight="1" x14ac:dyDescent="0.25">
      <c r="A2750" t="s">
        <v>2620</v>
      </c>
      <c r="B2750" s="3" t="s">
        <v>5142</v>
      </c>
    </row>
    <row r="2751" spans="1:2" ht="112" hidden="1" customHeight="1" x14ac:dyDescent="0.25">
      <c r="A2751" t="s">
        <v>2621</v>
      </c>
      <c r="B2751" s="3" t="s">
        <v>5143</v>
      </c>
    </row>
    <row r="2752" spans="1:2" ht="112" hidden="1" customHeight="1" x14ac:dyDescent="0.25">
      <c r="A2752" t="s">
        <v>2622</v>
      </c>
      <c r="B2752" s="3" t="s">
        <v>5144</v>
      </c>
    </row>
    <row r="2753" spans="1:2" ht="112" hidden="1" customHeight="1" x14ac:dyDescent="0.25">
      <c r="A2753" t="s">
        <v>2623</v>
      </c>
      <c r="B2753" s="3" t="s">
        <v>5145</v>
      </c>
    </row>
    <row r="2754" spans="1:2" ht="112" hidden="1" customHeight="1" x14ac:dyDescent="0.25">
      <c r="A2754" t="s">
        <v>2624</v>
      </c>
      <c r="B2754" s="3" t="s">
        <v>5146</v>
      </c>
    </row>
    <row r="2755" spans="1:2" ht="112" hidden="1" customHeight="1" x14ac:dyDescent="0.25">
      <c r="A2755" t="s">
        <v>2625</v>
      </c>
      <c r="B2755" s="3" t="s">
        <v>5147</v>
      </c>
    </row>
    <row r="2756" spans="1:2" ht="112" hidden="1" customHeight="1" x14ac:dyDescent="0.25">
      <c r="A2756" t="s">
        <v>2626</v>
      </c>
      <c r="B2756" s="3" t="s">
        <v>5148</v>
      </c>
    </row>
    <row r="2757" spans="1:2" ht="112" hidden="1" customHeight="1" x14ac:dyDescent="0.25">
      <c r="A2757" t="s">
        <v>2627</v>
      </c>
      <c r="B2757" s="3" t="s">
        <v>5149</v>
      </c>
    </row>
    <row r="2758" spans="1:2" ht="112" hidden="1" customHeight="1" x14ac:dyDescent="0.25">
      <c r="A2758" t="s">
        <v>2628</v>
      </c>
      <c r="B2758" s="3" t="s">
        <v>5150</v>
      </c>
    </row>
    <row r="2759" spans="1:2" ht="112" hidden="1" customHeight="1" x14ac:dyDescent="0.25">
      <c r="A2759" t="s">
        <v>2629</v>
      </c>
      <c r="B2759" s="3" t="s">
        <v>11024</v>
      </c>
    </row>
    <row r="2760" spans="1:2" ht="112" hidden="1" customHeight="1" x14ac:dyDescent="0.25">
      <c r="A2760" t="s">
        <v>2630</v>
      </c>
      <c r="B2760" s="3" t="s">
        <v>5151</v>
      </c>
    </row>
    <row r="2761" spans="1:2" ht="112" hidden="1" customHeight="1" x14ac:dyDescent="0.25">
      <c r="A2761" t="s">
        <v>2631</v>
      </c>
      <c r="B2761" s="3" t="s">
        <v>5152</v>
      </c>
    </row>
    <row r="2762" spans="1:2" ht="112" hidden="1" customHeight="1" x14ac:dyDescent="0.25">
      <c r="A2762" t="s">
        <v>2632</v>
      </c>
      <c r="B2762" s="3" t="s">
        <v>5153</v>
      </c>
    </row>
    <row r="2763" spans="1:2" ht="112" hidden="1" customHeight="1" x14ac:dyDescent="0.25">
      <c r="A2763" t="s">
        <v>2633</v>
      </c>
      <c r="B2763" s="3" t="s">
        <v>5154</v>
      </c>
    </row>
    <row r="2764" spans="1:2" ht="112" hidden="1" customHeight="1" x14ac:dyDescent="0.25">
      <c r="A2764" t="s">
        <v>2634</v>
      </c>
      <c r="B2764" s="3" t="s">
        <v>5155</v>
      </c>
    </row>
    <row r="2765" spans="1:2" ht="112" hidden="1" customHeight="1" x14ac:dyDescent="0.25">
      <c r="A2765" t="s">
        <v>2639</v>
      </c>
      <c r="B2765" s="3" t="s">
        <v>6445</v>
      </c>
    </row>
    <row r="2766" spans="1:2" ht="112" hidden="1" customHeight="1" x14ac:dyDescent="0.25">
      <c r="A2766" t="s">
        <v>2640</v>
      </c>
      <c r="B2766" s="3" t="s">
        <v>5457</v>
      </c>
    </row>
    <row r="2767" spans="1:2" ht="112" hidden="1" customHeight="1" x14ac:dyDescent="0.25">
      <c r="A2767" t="s">
        <v>2641</v>
      </c>
      <c r="B2767" s="3" t="s">
        <v>5458</v>
      </c>
    </row>
    <row r="2768" spans="1:2" ht="112" hidden="1" customHeight="1" x14ac:dyDescent="0.25">
      <c r="A2768" t="s">
        <v>2642</v>
      </c>
      <c r="B2768" s="3" t="s">
        <v>4279</v>
      </c>
    </row>
    <row r="2769" spans="1:2" ht="112" hidden="1" customHeight="1" x14ac:dyDescent="0.25">
      <c r="A2769" t="s">
        <v>2643</v>
      </c>
      <c r="B2769" s="3" t="s">
        <v>4280</v>
      </c>
    </row>
    <row r="2770" spans="1:2" ht="112" hidden="1" customHeight="1" x14ac:dyDescent="0.25">
      <c r="A2770" t="s">
        <v>2644</v>
      </c>
      <c r="B2770" s="3" t="s">
        <v>4281</v>
      </c>
    </row>
    <row r="2771" spans="1:2" ht="112" hidden="1" customHeight="1" x14ac:dyDescent="0.25">
      <c r="A2771" t="s">
        <v>2645</v>
      </c>
      <c r="B2771" s="3" t="s">
        <v>4282</v>
      </c>
    </row>
    <row r="2772" spans="1:2" ht="112" hidden="1" customHeight="1" x14ac:dyDescent="0.25">
      <c r="A2772" t="s">
        <v>2646</v>
      </c>
      <c r="B2772" s="3" t="s">
        <v>5459</v>
      </c>
    </row>
    <row r="2773" spans="1:2" ht="112" hidden="1" customHeight="1" x14ac:dyDescent="0.25">
      <c r="A2773" t="s">
        <v>2647</v>
      </c>
      <c r="B2773" s="3" t="s">
        <v>5460</v>
      </c>
    </row>
    <row r="2774" spans="1:2" ht="112" hidden="1" customHeight="1" x14ac:dyDescent="0.25">
      <c r="A2774" t="s">
        <v>2648</v>
      </c>
      <c r="B2774" s="3" t="s">
        <v>5461</v>
      </c>
    </row>
    <row r="2775" spans="1:2" ht="112" hidden="1" customHeight="1" x14ac:dyDescent="0.25">
      <c r="A2775" t="s">
        <v>2649</v>
      </c>
      <c r="B2775" s="3" t="s">
        <v>5462</v>
      </c>
    </row>
    <row r="2776" spans="1:2" ht="112" hidden="1" customHeight="1" x14ac:dyDescent="0.25">
      <c r="A2776" t="s">
        <v>2650</v>
      </c>
      <c r="B2776" s="3" t="s">
        <v>5463</v>
      </c>
    </row>
    <row r="2777" spans="1:2" ht="112" hidden="1" customHeight="1" x14ac:dyDescent="0.25">
      <c r="A2777" t="s">
        <v>2651</v>
      </c>
      <c r="B2777" s="3" t="s">
        <v>5464</v>
      </c>
    </row>
    <row r="2778" spans="1:2" ht="112" hidden="1" customHeight="1" x14ac:dyDescent="0.25">
      <c r="A2778" t="s">
        <v>2652</v>
      </c>
      <c r="B2778" s="3" t="s">
        <v>4283</v>
      </c>
    </row>
    <row r="2779" spans="1:2" ht="112" hidden="1" customHeight="1" x14ac:dyDescent="0.25">
      <c r="A2779" t="s">
        <v>2653</v>
      </c>
      <c r="B2779" s="3" t="s">
        <v>4284</v>
      </c>
    </row>
    <row r="2780" spans="1:2" ht="112" hidden="1" customHeight="1" x14ac:dyDescent="0.25">
      <c r="A2780" t="s">
        <v>2657</v>
      </c>
      <c r="B2780" s="3" t="s">
        <v>5156</v>
      </c>
    </row>
    <row r="2781" spans="1:2" ht="112" hidden="1" customHeight="1" x14ac:dyDescent="0.25">
      <c r="A2781" t="s">
        <v>2658</v>
      </c>
      <c r="B2781" s="3" t="s">
        <v>5157</v>
      </c>
    </row>
    <row r="2782" spans="1:2" ht="112" hidden="1" customHeight="1" x14ac:dyDescent="0.25">
      <c r="A2782" t="s">
        <v>2659</v>
      </c>
      <c r="B2782" s="3" t="s">
        <v>5158</v>
      </c>
    </row>
    <row r="2783" spans="1:2" ht="112" hidden="1" customHeight="1" x14ac:dyDescent="0.25">
      <c r="A2783" t="s">
        <v>2660</v>
      </c>
      <c r="B2783" s="3" t="s">
        <v>6123</v>
      </c>
    </row>
    <row r="2784" spans="1:2" ht="112" hidden="1" customHeight="1" x14ac:dyDescent="0.25">
      <c r="A2784" t="s">
        <v>2661</v>
      </c>
      <c r="B2784" s="3" t="s">
        <v>5159</v>
      </c>
    </row>
    <row r="2785" spans="1:2" ht="112" hidden="1" customHeight="1" x14ac:dyDescent="0.25">
      <c r="A2785" t="s">
        <v>2662</v>
      </c>
      <c r="B2785" s="3" t="s">
        <v>6124</v>
      </c>
    </row>
    <row r="2786" spans="1:2" ht="112" hidden="1" customHeight="1" x14ac:dyDescent="0.25">
      <c r="A2786" t="s">
        <v>2663</v>
      </c>
      <c r="B2786" s="3" t="s">
        <v>6125</v>
      </c>
    </row>
    <row r="2787" spans="1:2" ht="112" hidden="1" customHeight="1" x14ac:dyDescent="0.25">
      <c r="A2787" t="s">
        <v>2664</v>
      </c>
      <c r="B2787" s="3" t="s">
        <v>5160</v>
      </c>
    </row>
    <row r="2788" spans="1:2" ht="112" hidden="1" customHeight="1" x14ac:dyDescent="0.25">
      <c r="A2788" t="s">
        <v>2665</v>
      </c>
      <c r="B2788" s="3" t="s">
        <v>5161</v>
      </c>
    </row>
    <row r="2789" spans="1:2" ht="112" hidden="1" customHeight="1" x14ac:dyDescent="0.25">
      <c r="A2789" t="s">
        <v>2666</v>
      </c>
      <c r="B2789" s="3" t="s">
        <v>6126</v>
      </c>
    </row>
    <row r="2790" spans="1:2" ht="112" hidden="1" customHeight="1" x14ac:dyDescent="0.25">
      <c r="A2790" t="s">
        <v>2667</v>
      </c>
      <c r="B2790" s="3" t="s">
        <v>4285</v>
      </c>
    </row>
    <row r="2791" spans="1:2" ht="112" hidden="1" customHeight="1" x14ac:dyDescent="0.25">
      <c r="A2791" t="s">
        <v>2668</v>
      </c>
      <c r="B2791" s="3" t="s">
        <v>6127</v>
      </c>
    </row>
    <row r="2792" spans="1:2" ht="112" hidden="1" customHeight="1" x14ac:dyDescent="0.25">
      <c r="A2792" t="s">
        <v>2669</v>
      </c>
      <c r="B2792" s="3" t="s">
        <v>6128</v>
      </c>
    </row>
    <row r="2793" spans="1:2" ht="112" hidden="1" customHeight="1" x14ac:dyDescent="0.25">
      <c r="A2793" t="s">
        <v>2670</v>
      </c>
      <c r="B2793" s="3" t="s">
        <v>5162</v>
      </c>
    </row>
    <row r="2794" spans="1:2" ht="112" hidden="1" customHeight="1" x14ac:dyDescent="0.25">
      <c r="A2794" t="s">
        <v>2671</v>
      </c>
      <c r="B2794" s="3" t="s">
        <v>6129</v>
      </c>
    </row>
    <row r="2795" spans="1:2" ht="112" hidden="1" customHeight="1" x14ac:dyDescent="0.25">
      <c r="A2795" t="s">
        <v>2674</v>
      </c>
      <c r="B2795" s="3" t="s">
        <v>5163</v>
      </c>
    </row>
    <row r="2796" spans="1:2" ht="112" hidden="1" customHeight="1" x14ac:dyDescent="0.25">
      <c r="A2796" t="s">
        <v>2675</v>
      </c>
      <c r="B2796" s="3" t="s">
        <v>5164</v>
      </c>
    </row>
    <row r="2797" spans="1:2" ht="112" hidden="1" customHeight="1" x14ac:dyDescent="0.25">
      <c r="A2797" t="s">
        <v>2676</v>
      </c>
      <c r="B2797" s="3" t="s">
        <v>6130</v>
      </c>
    </row>
    <row r="2798" spans="1:2" ht="112" hidden="1" customHeight="1" x14ac:dyDescent="0.25">
      <c r="A2798" t="s">
        <v>2677</v>
      </c>
      <c r="B2798" s="3" t="s">
        <v>5165</v>
      </c>
    </row>
    <row r="2799" spans="1:2" ht="112" hidden="1" customHeight="1" x14ac:dyDescent="0.25">
      <c r="A2799" t="s">
        <v>2678</v>
      </c>
      <c r="B2799" s="3" t="s">
        <v>5166</v>
      </c>
    </row>
    <row r="2800" spans="1:2" ht="112" hidden="1" customHeight="1" x14ac:dyDescent="0.25">
      <c r="A2800" t="s">
        <v>2679</v>
      </c>
      <c r="B2800" s="3" t="s">
        <v>5167</v>
      </c>
    </row>
    <row r="2801" spans="1:2" ht="112" hidden="1" customHeight="1" x14ac:dyDescent="0.25">
      <c r="A2801" t="s">
        <v>2680</v>
      </c>
      <c r="B2801" s="3" t="s">
        <v>5168</v>
      </c>
    </row>
    <row r="2802" spans="1:2" ht="112" hidden="1" customHeight="1" x14ac:dyDescent="0.25">
      <c r="A2802" t="s">
        <v>2681</v>
      </c>
      <c r="B2802" s="3" t="s">
        <v>5169</v>
      </c>
    </row>
    <row r="2803" spans="1:2" ht="112" hidden="1" customHeight="1" x14ac:dyDescent="0.25">
      <c r="A2803" t="s">
        <v>2682</v>
      </c>
      <c r="B2803" s="3" t="s">
        <v>5170</v>
      </c>
    </row>
    <row r="2804" spans="1:2" ht="112" hidden="1" customHeight="1" x14ac:dyDescent="0.25">
      <c r="A2804" t="s">
        <v>2683</v>
      </c>
      <c r="B2804" s="3" t="s">
        <v>11194</v>
      </c>
    </row>
    <row r="2805" spans="1:2" ht="112" hidden="1" customHeight="1" x14ac:dyDescent="0.25">
      <c r="A2805" t="s">
        <v>2684</v>
      </c>
      <c r="B2805" s="3" t="s">
        <v>5465</v>
      </c>
    </row>
    <row r="2806" spans="1:2" ht="112" hidden="1" customHeight="1" x14ac:dyDescent="0.25">
      <c r="A2806" t="s">
        <v>2687</v>
      </c>
      <c r="B2806" s="3" t="s">
        <v>4286</v>
      </c>
    </row>
    <row r="2807" spans="1:2" ht="112" hidden="1" customHeight="1" x14ac:dyDescent="0.25">
      <c r="A2807" t="s">
        <v>2688</v>
      </c>
      <c r="B2807" s="3" t="s">
        <v>4287</v>
      </c>
    </row>
    <row r="2808" spans="1:2" ht="112" hidden="1" customHeight="1" x14ac:dyDescent="0.25">
      <c r="A2808" t="s">
        <v>2689</v>
      </c>
      <c r="B2808" s="3" t="s">
        <v>4288</v>
      </c>
    </row>
    <row r="2809" spans="1:2" ht="112" hidden="1" customHeight="1" x14ac:dyDescent="0.25">
      <c r="A2809" t="s">
        <v>7831</v>
      </c>
      <c r="B2809" s="3" t="s">
        <v>13591</v>
      </c>
    </row>
    <row r="2810" spans="1:2" ht="112" hidden="1" customHeight="1" x14ac:dyDescent="0.25">
      <c r="A2810" t="s">
        <v>2698</v>
      </c>
      <c r="B2810" s="3" t="s">
        <v>4289</v>
      </c>
    </row>
    <row r="2811" spans="1:2" ht="112" hidden="1" customHeight="1" x14ac:dyDescent="0.25">
      <c r="A2811" t="s">
        <v>2711</v>
      </c>
      <c r="B2811" s="3" t="s">
        <v>4290</v>
      </c>
    </row>
    <row r="2812" spans="1:2" ht="112" hidden="1" customHeight="1" x14ac:dyDescent="0.25">
      <c r="A2812" t="s">
        <v>2714</v>
      </c>
      <c r="B2812" s="3" t="s">
        <v>7513</v>
      </c>
    </row>
    <row r="2813" spans="1:2" ht="112" hidden="1" customHeight="1" x14ac:dyDescent="0.25">
      <c r="A2813" t="s">
        <v>2718</v>
      </c>
      <c r="B2813" s="3" t="s">
        <v>4291</v>
      </c>
    </row>
    <row r="2814" spans="1:2" ht="112" hidden="1" customHeight="1" x14ac:dyDescent="0.25">
      <c r="A2814" t="s">
        <v>2719</v>
      </c>
      <c r="B2814" s="3" t="s">
        <v>4292</v>
      </c>
    </row>
    <row r="2815" spans="1:2" ht="112" hidden="1" customHeight="1" x14ac:dyDescent="0.25">
      <c r="A2815" t="s">
        <v>2745</v>
      </c>
      <c r="B2815" s="3" t="s">
        <v>4293</v>
      </c>
    </row>
    <row r="2816" spans="1:2" ht="112" hidden="1" customHeight="1" x14ac:dyDescent="0.25">
      <c r="A2816" t="s">
        <v>7832</v>
      </c>
      <c r="B2816" s="3" t="s">
        <v>4294</v>
      </c>
    </row>
    <row r="2817" spans="1:2" ht="112" hidden="1" customHeight="1" x14ac:dyDescent="0.25">
      <c r="A2817" t="s">
        <v>2754</v>
      </c>
      <c r="B2817" s="3" t="s">
        <v>4295</v>
      </c>
    </row>
    <row r="2818" spans="1:2" ht="112" hidden="1" customHeight="1" x14ac:dyDescent="0.25">
      <c r="A2818" t="s">
        <v>2755</v>
      </c>
      <c r="B2818" s="3" t="s">
        <v>4296</v>
      </c>
    </row>
    <row r="2819" spans="1:2" ht="112" hidden="1" customHeight="1" x14ac:dyDescent="0.25">
      <c r="A2819" t="s">
        <v>2758</v>
      </c>
      <c r="B2819" s="3" t="s">
        <v>4297</v>
      </c>
    </row>
    <row r="2820" spans="1:2" ht="112" hidden="1" customHeight="1" x14ac:dyDescent="0.25">
      <c r="A2820" t="s">
        <v>2758</v>
      </c>
      <c r="B2820" s="3" t="s">
        <v>4297</v>
      </c>
    </row>
    <row r="2821" spans="1:2" ht="112" hidden="1" customHeight="1" x14ac:dyDescent="0.25">
      <c r="A2821" t="s">
        <v>2760</v>
      </c>
      <c r="B2821" s="3" t="s">
        <v>5171</v>
      </c>
    </row>
    <row r="2822" spans="1:2" ht="112" hidden="1" customHeight="1" x14ac:dyDescent="0.25">
      <c r="A2822" t="s">
        <v>2761</v>
      </c>
      <c r="B2822" s="3" t="s">
        <v>5172</v>
      </c>
    </row>
    <row r="2823" spans="1:2" ht="112" hidden="1" customHeight="1" x14ac:dyDescent="0.25">
      <c r="A2823" t="s">
        <v>2762</v>
      </c>
      <c r="B2823" s="3" t="s">
        <v>4298</v>
      </c>
    </row>
    <row r="2824" spans="1:2" ht="112" hidden="1" customHeight="1" x14ac:dyDescent="0.25">
      <c r="A2824" t="s">
        <v>2763</v>
      </c>
      <c r="B2824" s="3" t="s">
        <v>5173</v>
      </c>
    </row>
    <row r="2825" spans="1:2" ht="112" hidden="1" customHeight="1" x14ac:dyDescent="0.25">
      <c r="A2825" t="s">
        <v>2764</v>
      </c>
      <c r="B2825" s="3" t="s">
        <v>4299</v>
      </c>
    </row>
    <row r="2826" spans="1:2" ht="112" hidden="1" customHeight="1" x14ac:dyDescent="0.25">
      <c r="A2826" t="s">
        <v>2765</v>
      </c>
      <c r="B2826" s="3" t="s">
        <v>7514</v>
      </c>
    </row>
    <row r="2827" spans="1:2" ht="112" hidden="1" customHeight="1" x14ac:dyDescent="0.25">
      <c r="A2827" t="s">
        <v>2766</v>
      </c>
      <c r="B2827" s="3" t="s">
        <v>4300</v>
      </c>
    </row>
    <row r="2828" spans="1:2" ht="112" hidden="1" customHeight="1" x14ac:dyDescent="0.25">
      <c r="A2828" t="s">
        <v>2767</v>
      </c>
      <c r="B2828" s="3" t="s">
        <v>4301</v>
      </c>
    </row>
    <row r="2829" spans="1:2" ht="112" hidden="1" customHeight="1" x14ac:dyDescent="0.25">
      <c r="A2829" t="s">
        <v>2768</v>
      </c>
      <c r="B2829" s="3" t="s">
        <v>5174</v>
      </c>
    </row>
    <row r="2830" spans="1:2" ht="112" hidden="1" customHeight="1" x14ac:dyDescent="0.25">
      <c r="A2830" t="s">
        <v>7833</v>
      </c>
      <c r="B2830" s="3" t="s">
        <v>4302</v>
      </c>
    </row>
    <row r="2831" spans="1:2" ht="112" hidden="1" customHeight="1" x14ac:dyDescent="0.25">
      <c r="A2831" t="s">
        <v>2769</v>
      </c>
      <c r="B2831" s="3" t="s">
        <v>4303</v>
      </c>
    </row>
    <row r="2832" spans="1:2" ht="112" hidden="1" customHeight="1" x14ac:dyDescent="0.25">
      <c r="A2832" t="s">
        <v>2770</v>
      </c>
      <c r="B2832" s="3" t="s">
        <v>4304</v>
      </c>
    </row>
    <row r="2833" spans="1:2" ht="112" hidden="1" customHeight="1" x14ac:dyDescent="0.25">
      <c r="A2833" t="s">
        <v>2771</v>
      </c>
      <c r="B2833" s="3" t="s">
        <v>4305</v>
      </c>
    </row>
    <row r="2834" spans="1:2" ht="112" hidden="1" customHeight="1" x14ac:dyDescent="0.25">
      <c r="A2834" t="s">
        <v>2747</v>
      </c>
      <c r="B2834" s="3" t="s">
        <v>4290</v>
      </c>
    </row>
    <row r="2835" spans="1:2" ht="112" hidden="1" customHeight="1" x14ac:dyDescent="0.25">
      <c r="A2835" t="s">
        <v>2712</v>
      </c>
      <c r="B2835" s="3" t="s">
        <v>4306</v>
      </c>
    </row>
    <row r="2836" spans="1:2" ht="112" hidden="1" customHeight="1" x14ac:dyDescent="0.25">
      <c r="A2836" t="s">
        <v>2699</v>
      </c>
      <c r="B2836" s="3" t="s">
        <v>4307</v>
      </c>
    </row>
    <row r="2837" spans="1:2" ht="112" hidden="1" customHeight="1" x14ac:dyDescent="0.25">
      <c r="A2837" t="s">
        <v>2700</v>
      </c>
      <c r="B2837" s="3" t="s">
        <v>4308</v>
      </c>
    </row>
    <row r="2838" spans="1:2" ht="112" hidden="1" customHeight="1" x14ac:dyDescent="0.25">
      <c r="A2838" t="s">
        <v>2701</v>
      </c>
      <c r="B2838" s="3" t="s">
        <v>4309</v>
      </c>
    </row>
    <row r="2839" spans="1:2" ht="112" hidden="1" customHeight="1" x14ac:dyDescent="0.25">
      <c r="A2839" t="s">
        <v>2695</v>
      </c>
      <c r="B2839" s="3" t="s">
        <v>4310</v>
      </c>
    </row>
    <row r="2840" spans="1:2" ht="112" hidden="1" customHeight="1" x14ac:dyDescent="0.25">
      <c r="A2840" t="s">
        <v>2696</v>
      </c>
      <c r="B2840" s="3" t="s">
        <v>4311</v>
      </c>
    </row>
    <row r="2841" spans="1:2" ht="112" hidden="1" customHeight="1" x14ac:dyDescent="0.25">
      <c r="A2841" t="s">
        <v>2746</v>
      </c>
      <c r="B2841" s="3" t="s">
        <v>4312</v>
      </c>
    </row>
    <row r="2842" spans="1:2" ht="112" hidden="1" customHeight="1" x14ac:dyDescent="0.25">
      <c r="A2842" t="s">
        <v>2702</v>
      </c>
      <c r="B2842" s="3" t="s">
        <v>4313</v>
      </c>
    </row>
    <row r="2843" spans="1:2" ht="112" hidden="1" customHeight="1" x14ac:dyDescent="0.25">
      <c r="A2843" t="s">
        <v>2713</v>
      </c>
      <c r="B2843" s="3" t="s">
        <v>4314</v>
      </c>
    </row>
    <row r="2844" spans="1:2" ht="112" hidden="1" customHeight="1" x14ac:dyDescent="0.25">
      <c r="A2844" t="s">
        <v>2703</v>
      </c>
      <c r="B2844" s="3" t="s">
        <v>4315</v>
      </c>
    </row>
    <row r="2845" spans="1:2" ht="112" hidden="1" customHeight="1" x14ac:dyDescent="0.25">
      <c r="A2845" t="s">
        <v>2697</v>
      </c>
      <c r="B2845" s="3" t="s">
        <v>7515</v>
      </c>
    </row>
    <row r="2846" spans="1:2" ht="112" hidden="1" customHeight="1" x14ac:dyDescent="0.25">
      <c r="A2846" t="s">
        <v>2717</v>
      </c>
      <c r="B2846" s="3" t="s">
        <v>5336</v>
      </c>
    </row>
    <row r="2847" spans="1:2" ht="112" hidden="1" customHeight="1" x14ac:dyDescent="0.25">
      <c r="A2847" t="s">
        <v>2704</v>
      </c>
      <c r="B2847" s="3" t="s">
        <v>4316</v>
      </c>
    </row>
    <row r="2848" spans="1:2" ht="112" hidden="1" customHeight="1" x14ac:dyDescent="0.25">
      <c r="A2848" t="s">
        <v>2705</v>
      </c>
      <c r="B2848" s="3" t="s">
        <v>4292</v>
      </c>
    </row>
    <row r="2849" spans="1:2" ht="112" hidden="1" customHeight="1" x14ac:dyDescent="0.25">
      <c r="A2849" t="s">
        <v>2720</v>
      </c>
      <c r="B2849" s="3" t="s">
        <v>4293</v>
      </c>
    </row>
    <row r="2850" spans="1:2" ht="112" hidden="1" customHeight="1" x14ac:dyDescent="0.25">
      <c r="A2850" t="s">
        <v>2706</v>
      </c>
      <c r="B2850" s="3" t="s">
        <v>7513</v>
      </c>
    </row>
    <row r="2851" spans="1:2" ht="112" hidden="1" customHeight="1" x14ac:dyDescent="0.25">
      <c r="A2851" t="s">
        <v>1491</v>
      </c>
      <c r="B2851" s="3" t="s">
        <v>4317</v>
      </c>
    </row>
    <row r="2852" spans="1:2" ht="112" hidden="1" customHeight="1" x14ac:dyDescent="0.25">
      <c r="A2852" t="s">
        <v>2534</v>
      </c>
      <c r="B2852" s="3" t="s">
        <v>4318</v>
      </c>
    </row>
    <row r="2853" spans="1:2" ht="112" hidden="1" customHeight="1" x14ac:dyDescent="0.25">
      <c r="A2853" t="s">
        <v>7975</v>
      </c>
      <c r="B2853" s="3" t="s">
        <v>9650</v>
      </c>
    </row>
    <row r="2854" spans="1:2" ht="112" hidden="1" customHeight="1" x14ac:dyDescent="0.25">
      <c r="A2854" t="s">
        <v>1578</v>
      </c>
      <c r="B2854" s="3" t="s">
        <v>4319</v>
      </c>
    </row>
    <row r="2855" spans="1:2" ht="112" hidden="1" customHeight="1" x14ac:dyDescent="0.25">
      <c r="A2855" t="s">
        <v>1588</v>
      </c>
      <c r="B2855" s="3" t="s">
        <v>4320</v>
      </c>
    </row>
    <row r="2856" spans="1:2" ht="112" hidden="1" customHeight="1" x14ac:dyDescent="0.25">
      <c r="A2856" t="s">
        <v>1589</v>
      </c>
      <c r="B2856" s="3" t="s">
        <v>4321</v>
      </c>
    </row>
    <row r="2857" spans="1:2" ht="112" hidden="1" customHeight="1" x14ac:dyDescent="0.25">
      <c r="A2857" t="s">
        <v>1589</v>
      </c>
      <c r="B2857" s="3" t="s">
        <v>4322</v>
      </c>
    </row>
    <row r="2858" spans="1:2" ht="112" hidden="1" customHeight="1" x14ac:dyDescent="0.25">
      <c r="A2858" t="s">
        <v>1611</v>
      </c>
      <c r="B2858" s="3" t="s">
        <v>7516</v>
      </c>
    </row>
    <row r="2859" spans="1:2" ht="112" hidden="1" customHeight="1" x14ac:dyDescent="0.25">
      <c r="A2859" t="s">
        <v>1667</v>
      </c>
      <c r="B2859" s="3" t="s">
        <v>4323</v>
      </c>
    </row>
    <row r="2860" spans="1:2" ht="112" hidden="1" customHeight="1" x14ac:dyDescent="0.25">
      <c r="A2860" t="s">
        <v>1811</v>
      </c>
      <c r="B2860" s="3" t="s">
        <v>4324</v>
      </c>
    </row>
    <row r="2861" spans="1:2" ht="112" hidden="1" customHeight="1" x14ac:dyDescent="0.25">
      <c r="A2861" t="s">
        <v>1840</v>
      </c>
      <c r="B2861" s="3" t="s">
        <v>4325</v>
      </c>
    </row>
    <row r="2862" spans="1:2" ht="112" hidden="1" customHeight="1" x14ac:dyDescent="0.25">
      <c r="A2862" t="s">
        <v>1893</v>
      </c>
      <c r="B2862" s="3" t="s">
        <v>4326</v>
      </c>
    </row>
    <row r="2863" spans="1:2" ht="112" hidden="1" customHeight="1" x14ac:dyDescent="0.25">
      <c r="A2863" t="s">
        <v>1903</v>
      </c>
      <c r="B2863" s="3" t="s">
        <v>4327</v>
      </c>
    </row>
    <row r="2864" spans="1:2" ht="112" hidden="1" customHeight="1" x14ac:dyDescent="0.25">
      <c r="A2864" t="s">
        <v>1907</v>
      </c>
      <c r="B2864" s="3" t="s">
        <v>4328</v>
      </c>
    </row>
    <row r="2865" spans="1:2" ht="112" hidden="1" customHeight="1" x14ac:dyDescent="0.25">
      <c r="A2865" t="s">
        <v>1970</v>
      </c>
      <c r="B2865" s="3" t="s">
        <v>4329</v>
      </c>
    </row>
    <row r="2866" spans="1:2" ht="112" hidden="1" customHeight="1" x14ac:dyDescent="0.25">
      <c r="A2866" t="s">
        <v>2558</v>
      </c>
      <c r="B2866" s="3" t="s">
        <v>4330</v>
      </c>
    </row>
    <row r="2867" spans="1:2" ht="112" hidden="1" customHeight="1" x14ac:dyDescent="0.25">
      <c r="A2867" t="s">
        <v>2562</v>
      </c>
      <c r="B2867" s="3" t="s">
        <v>4331</v>
      </c>
    </row>
    <row r="2868" spans="1:2" ht="112" hidden="1" customHeight="1" x14ac:dyDescent="0.25">
      <c r="A2868" t="s">
        <v>2075</v>
      </c>
      <c r="B2868" s="3" t="s">
        <v>4332</v>
      </c>
    </row>
    <row r="2869" spans="1:2" ht="112" hidden="1" customHeight="1" x14ac:dyDescent="0.25">
      <c r="A2869" t="s">
        <v>2076</v>
      </c>
      <c r="B2869" s="3" t="s">
        <v>4333</v>
      </c>
    </row>
    <row r="2870" spans="1:2" ht="112" hidden="1" customHeight="1" x14ac:dyDescent="0.25">
      <c r="A2870" t="s">
        <v>2077</v>
      </c>
      <c r="B2870" s="3" t="s">
        <v>4334</v>
      </c>
    </row>
    <row r="2871" spans="1:2" ht="112" hidden="1" customHeight="1" x14ac:dyDescent="0.25">
      <c r="A2871" t="s">
        <v>2079</v>
      </c>
      <c r="B2871" s="3" t="s">
        <v>4335</v>
      </c>
    </row>
    <row r="2872" spans="1:2" ht="112" hidden="1" customHeight="1" x14ac:dyDescent="0.25">
      <c r="A2872" t="s">
        <v>2080</v>
      </c>
      <c r="B2872" s="3" t="s">
        <v>4336</v>
      </c>
    </row>
    <row r="2873" spans="1:2" ht="112" hidden="1" customHeight="1" x14ac:dyDescent="0.25">
      <c r="A2873" t="s">
        <v>2081</v>
      </c>
      <c r="B2873" s="3" t="s">
        <v>4337</v>
      </c>
    </row>
    <row r="2874" spans="1:2" ht="112" hidden="1" customHeight="1" x14ac:dyDescent="0.25">
      <c r="A2874" t="s">
        <v>2275</v>
      </c>
      <c r="B2874" s="3" t="s">
        <v>4338</v>
      </c>
    </row>
    <row r="2875" spans="1:2" ht="112" hidden="1" customHeight="1" x14ac:dyDescent="0.25">
      <c r="A2875" t="s">
        <v>2277</v>
      </c>
      <c r="B2875" s="3" t="s">
        <v>4339</v>
      </c>
    </row>
    <row r="2876" spans="1:2" ht="112" hidden="1" customHeight="1" x14ac:dyDescent="0.25">
      <c r="A2876" t="s">
        <v>2279</v>
      </c>
      <c r="B2876" s="3" t="s">
        <v>4340</v>
      </c>
    </row>
    <row r="2877" spans="1:2" ht="112" hidden="1" customHeight="1" x14ac:dyDescent="0.25">
      <c r="A2877" t="s">
        <v>2326</v>
      </c>
      <c r="B2877" s="3" t="s">
        <v>4341</v>
      </c>
    </row>
    <row r="2878" spans="1:2" ht="112" hidden="1" customHeight="1" x14ac:dyDescent="0.25">
      <c r="A2878" t="s">
        <v>2327</v>
      </c>
      <c r="B2878" s="3" t="s">
        <v>4342</v>
      </c>
    </row>
    <row r="2879" spans="1:2" ht="112" hidden="1" customHeight="1" x14ac:dyDescent="0.25">
      <c r="A2879" t="s">
        <v>2438</v>
      </c>
      <c r="B2879" s="3" t="s">
        <v>4343</v>
      </c>
    </row>
    <row r="2880" spans="1:2" ht="112" hidden="1" customHeight="1" x14ac:dyDescent="0.25">
      <c r="A2880" t="s">
        <v>2451</v>
      </c>
      <c r="B2880" s="3" t="s">
        <v>4344</v>
      </c>
    </row>
    <row r="2881" spans="1:2" ht="112" hidden="1" customHeight="1" x14ac:dyDescent="0.25">
      <c r="A2881" t="s">
        <v>2455</v>
      </c>
      <c r="B2881" s="3" t="s">
        <v>10490</v>
      </c>
    </row>
    <row r="2882" spans="1:2" ht="112" hidden="1" customHeight="1" x14ac:dyDescent="0.25">
      <c r="A2882" t="s">
        <v>330</v>
      </c>
      <c r="B2882" s="3" t="s">
        <v>13592</v>
      </c>
    </row>
    <row r="2883" spans="1:2" ht="112" hidden="1" customHeight="1" x14ac:dyDescent="0.25">
      <c r="A2883" t="s">
        <v>350</v>
      </c>
      <c r="B2883" s="3" t="s">
        <v>4345</v>
      </c>
    </row>
    <row r="2884" spans="1:2" ht="112" hidden="1" customHeight="1" x14ac:dyDescent="0.25">
      <c r="A2884" t="s">
        <v>368</v>
      </c>
      <c r="B2884" s="3" t="s">
        <v>4346</v>
      </c>
    </row>
    <row r="2885" spans="1:2" ht="112" hidden="1" customHeight="1" x14ac:dyDescent="0.25">
      <c r="A2885" t="s">
        <v>465</v>
      </c>
      <c r="B2885" s="3" t="s">
        <v>6332</v>
      </c>
    </row>
    <row r="2886" spans="1:2" ht="112" hidden="1" customHeight="1" x14ac:dyDescent="0.25">
      <c r="A2886" t="s">
        <v>560</v>
      </c>
      <c r="B2886" s="3" t="s">
        <v>4347</v>
      </c>
    </row>
    <row r="2887" spans="1:2" ht="112" hidden="1" customHeight="1" x14ac:dyDescent="0.25">
      <c r="A2887" t="s">
        <v>567</v>
      </c>
      <c r="B2887" s="3" t="s">
        <v>4348</v>
      </c>
    </row>
    <row r="2888" spans="1:2" ht="112" hidden="1" customHeight="1" x14ac:dyDescent="0.25">
      <c r="A2888" t="s">
        <v>656</v>
      </c>
      <c r="B2888" s="3" t="s">
        <v>4349</v>
      </c>
    </row>
    <row r="2889" spans="1:2" ht="112" hidden="1" customHeight="1" x14ac:dyDescent="0.25">
      <c r="A2889" t="s">
        <v>685</v>
      </c>
      <c r="B2889" s="3" t="s">
        <v>4350</v>
      </c>
    </row>
    <row r="2890" spans="1:2" ht="112" hidden="1" customHeight="1" x14ac:dyDescent="0.25">
      <c r="A2890" t="s">
        <v>736</v>
      </c>
      <c r="B2890" s="3" t="s">
        <v>5175</v>
      </c>
    </row>
    <row r="2891" spans="1:2" ht="112" hidden="1" customHeight="1" x14ac:dyDescent="0.25">
      <c r="A2891" t="s">
        <v>738</v>
      </c>
      <c r="B2891" s="3" t="s">
        <v>13007</v>
      </c>
    </row>
    <row r="2892" spans="1:2" ht="112" hidden="1" customHeight="1" x14ac:dyDescent="0.25">
      <c r="A2892" t="s">
        <v>741</v>
      </c>
      <c r="B2892" s="3" t="s">
        <v>4351</v>
      </c>
    </row>
    <row r="2893" spans="1:2" ht="112" hidden="1" customHeight="1" x14ac:dyDescent="0.25">
      <c r="A2893" t="s">
        <v>753</v>
      </c>
      <c r="B2893" s="3" t="s">
        <v>5176</v>
      </c>
    </row>
    <row r="2894" spans="1:2" ht="112" hidden="1" customHeight="1" x14ac:dyDescent="0.25">
      <c r="A2894" t="s">
        <v>774</v>
      </c>
      <c r="B2894" s="3" t="s">
        <v>9973</v>
      </c>
    </row>
    <row r="2895" spans="1:2" ht="112" hidden="1" customHeight="1" x14ac:dyDescent="0.25">
      <c r="A2895" t="s">
        <v>793</v>
      </c>
      <c r="B2895" s="3" t="s">
        <v>4352</v>
      </c>
    </row>
    <row r="2896" spans="1:2" ht="112" hidden="1" customHeight="1" x14ac:dyDescent="0.25">
      <c r="A2896" t="s">
        <v>798</v>
      </c>
      <c r="B2896" s="3" t="s">
        <v>4353</v>
      </c>
    </row>
    <row r="2897" spans="1:2" ht="112" hidden="1" customHeight="1" x14ac:dyDescent="0.25">
      <c r="A2897" t="s">
        <v>802</v>
      </c>
      <c r="B2897" s="3" t="s">
        <v>4354</v>
      </c>
    </row>
    <row r="2898" spans="1:2" ht="112" hidden="1" customHeight="1" x14ac:dyDescent="0.25">
      <c r="A2898" t="s">
        <v>803</v>
      </c>
      <c r="B2898" s="3" t="s">
        <v>4355</v>
      </c>
    </row>
    <row r="2899" spans="1:2" ht="112" hidden="1" customHeight="1" x14ac:dyDescent="0.25">
      <c r="A2899" t="s">
        <v>804</v>
      </c>
      <c r="B2899" s="3" t="s">
        <v>4356</v>
      </c>
    </row>
    <row r="2900" spans="1:2" ht="112" hidden="1" customHeight="1" x14ac:dyDescent="0.25">
      <c r="A2900" t="s">
        <v>808</v>
      </c>
      <c r="B2900" s="3" t="s">
        <v>4357</v>
      </c>
    </row>
    <row r="2901" spans="1:2" ht="112" hidden="1" customHeight="1" x14ac:dyDescent="0.25">
      <c r="A2901" t="s">
        <v>811</v>
      </c>
      <c r="B2901" s="3" t="s">
        <v>4358</v>
      </c>
    </row>
    <row r="2902" spans="1:2" ht="112" hidden="1" customHeight="1" x14ac:dyDescent="0.25">
      <c r="A2902" t="s">
        <v>828</v>
      </c>
      <c r="B2902" s="3" t="s">
        <v>7517</v>
      </c>
    </row>
    <row r="2903" spans="1:2" ht="112" hidden="1" customHeight="1" x14ac:dyDescent="0.25">
      <c r="A2903" t="s">
        <v>828</v>
      </c>
      <c r="B2903" s="3" t="s">
        <v>7518</v>
      </c>
    </row>
    <row r="2904" spans="1:2" ht="112" hidden="1" customHeight="1" x14ac:dyDescent="0.25">
      <c r="A2904" t="s">
        <v>838</v>
      </c>
      <c r="B2904" s="3" t="s">
        <v>4359</v>
      </c>
    </row>
    <row r="2905" spans="1:2" ht="112" hidden="1" customHeight="1" x14ac:dyDescent="0.25">
      <c r="A2905" t="s">
        <v>840</v>
      </c>
      <c r="B2905" s="3" t="s">
        <v>4360</v>
      </c>
    </row>
    <row r="2906" spans="1:2" ht="112" hidden="1" customHeight="1" x14ac:dyDescent="0.25">
      <c r="A2906" t="s">
        <v>886</v>
      </c>
      <c r="B2906" s="3" t="s">
        <v>4361</v>
      </c>
    </row>
    <row r="2907" spans="1:2" ht="112" hidden="1" customHeight="1" x14ac:dyDescent="0.25">
      <c r="A2907" t="s">
        <v>2715</v>
      </c>
      <c r="B2907" s="3" t="s">
        <v>4362</v>
      </c>
    </row>
    <row r="2908" spans="1:2" ht="112" hidden="1" customHeight="1" x14ac:dyDescent="0.25">
      <c r="A2908" t="s">
        <v>930</v>
      </c>
      <c r="B2908" s="3" t="s">
        <v>4363</v>
      </c>
    </row>
    <row r="2909" spans="1:2" ht="112" hidden="1" customHeight="1" x14ac:dyDescent="0.25">
      <c r="A2909" t="s">
        <v>952</v>
      </c>
      <c r="B2909" s="3" t="s">
        <v>5177</v>
      </c>
    </row>
    <row r="2910" spans="1:2" ht="112" hidden="1" customHeight="1" x14ac:dyDescent="0.25">
      <c r="A2910" t="s">
        <v>953</v>
      </c>
      <c r="B2910" s="3" t="s">
        <v>5178</v>
      </c>
    </row>
    <row r="2911" spans="1:2" ht="112" hidden="1" customHeight="1" x14ac:dyDescent="0.25">
      <c r="A2911" t="s">
        <v>954</v>
      </c>
      <c r="B2911" s="3" t="s">
        <v>5179</v>
      </c>
    </row>
    <row r="2912" spans="1:2" ht="112" hidden="1" customHeight="1" x14ac:dyDescent="0.25">
      <c r="A2912" t="s">
        <v>2692</v>
      </c>
      <c r="B2912" s="3" t="s">
        <v>4364</v>
      </c>
    </row>
    <row r="2913" spans="1:2" ht="112" hidden="1" customHeight="1" x14ac:dyDescent="0.25">
      <c r="A2913" t="s">
        <v>2692</v>
      </c>
      <c r="B2913" s="3" t="s">
        <v>4365</v>
      </c>
    </row>
    <row r="2914" spans="1:2" ht="112" hidden="1" customHeight="1" x14ac:dyDescent="0.25">
      <c r="A2914" t="s">
        <v>2693</v>
      </c>
      <c r="B2914" s="3" t="s">
        <v>4366</v>
      </c>
    </row>
    <row r="2915" spans="1:2" ht="112" hidden="1" customHeight="1" x14ac:dyDescent="0.25">
      <c r="A2915" t="s">
        <v>967</v>
      </c>
      <c r="B2915" s="3" t="s">
        <v>5180</v>
      </c>
    </row>
    <row r="2916" spans="1:2" ht="112" hidden="1" customHeight="1" x14ac:dyDescent="0.25">
      <c r="A2916" t="s">
        <v>970</v>
      </c>
      <c r="B2916" s="3" t="s">
        <v>4367</v>
      </c>
    </row>
    <row r="2917" spans="1:2" ht="112" hidden="1" customHeight="1" x14ac:dyDescent="0.25">
      <c r="A2917" t="s">
        <v>973</v>
      </c>
      <c r="B2917" s="3" t="s">
        <v>4368</v>
      </c>
    </row>
    <row r="2918" spans="1:2" ht="112" hidden="1" customHeight="1" x14ac:dyDescent="0.25">
      <c r="A2918" t="s">
        <v>982</v>
      </c>
      <c r="B2918" s="3" t="s">
        <v>4369</v>
      </c>
    </row>
    <row r="2919" spans="1:2" ht="112" hidden="1" customHeight="1" x14ac:dyDescent="0.25">
      <c r="A2919" t="s">
        <v>994</v>
      </c>
      <c r="B2919" s="3" t="s">
        <v>4370</v>
      </c>
    </row>
    <row r="2920" spans="1:2" ht="112" hidden="1" customHeight="1" x14ac:dyDescent="0.25">
      <c r="A2920" t="s">
        <v>1001</v>
      </c>
      <c r="B2920" s="3" t="s">
        <v>4371</v>
      </c>
    </row>
    <row r="2921" spans="1:2" ht="112" hidden="1" customHeight="1" x14ac:dyDescent="0.25">
      <c r="A2921" t="s">
        <v>1006</v>
      </c>
      <c r="B2921" s="3" t="s">
        <v>4372</v>
      </c>
    </row>
    <row r="2922" spans="1:2" ht="112" hidden="1" customHeight="1" x14ac:dyDescent="0.25">
      <c r="A2922" t="s">
        <v>1011</v>
      </c>
      <c r="B2922" s="3" t="s">
        <v>4294</v>
      </c>
    </row>
    <row r="2923" spans="1:2" ht="112" hidden="1" customHeight="1" x14ac:dyDescent="0.25">
      <c r="A2923" t="s">
        <v>1014</v>
      </c>
      <c r="B2923" s="3" t="s">
        <v>4373</v>
      </c>
    </row>
    <row r="2924" spans="1:2" ht="112" hidden="1" customHeight="1" x14ac:dyDescent="0.25">
      <c r="A2924" t="s">
        <v>1025</v>
      </c>
      <c r="B2924" s="3" t="s">
        <v>5466</v>
      </c>
    </row>
    <row r="2925" spans="1:2" ht="112" hidden="1" customHeight="1" x14ac:dyDescent="0.25">
      <c r="A2925" t="s">
        <v>1026</v>
      </c>
      <c r="B2925" s="3" t="s">
        <v>4374</v>
      </c>
    </row>
    <row r="2926" spans="1:2" ht="112" hidden="1" customHeight="1" x14ac:dyDescent="0.25">
      <c r="A2926" t="s">
        <v>1034</v>
      </c>
      <c r="B2926" s="3" t="s">
        <v>4375</v>
      </c>
    </row>
    <row r="2927" spans="1:2" ht="112" hidden="1" customHeight="1" x14ac:dyDescent="0.25">
      <c r="A2927" t="s">
        <v>1046</v>
      </c>
      <c r="B2927" s="3" t="s">
        <v>4376</v>
      </c>
    </row>
    <row r="2928" spans="1:2" ht="112" hidden="1" customHeight="1" x14ac:dyDescent="0.25">
      <c r="A2928" t="s">
        <v>1072</v>
      </c>
      <c r="B2928" s="3" t="s">
        <v>4377</v>
      </c>
    </row>
    <row r="2929" spans="1:2" ht="112" hidden="1" customHeight="1" x14ac:dyDescent="0.25">
      <c r="A2929" t="s">
        <v>1073</v>
      </c>
      <c r="B2929" s="3" t="s">
        <v>4378</v>
      </c>
    </row>
    <row r="2930" spans="1:2" ht="112" hidden="1" customHeight="1" x14ac:dyDescent="0.25">
      <c r="A2930" t="s">
        <v>1074</v>
      </c>
      <c r="B2930" s="3" t="s">
        <v>4379</v>
      </c>
    </row>
    <row r="2931" spans="1:2" ht="112" hidden="1" customHeight="1" x14ac:dyDescent="0.25">
      <c r="A2931" t="s">
        <v>1074</v>
      </c>
      <c r="B2931" s="3" t="s">
        <v>4379</v>
      </c>
    </row>
    <row r="2932" spans="1:2" ht="112" hidden="1" customHeight="1" x14ac:dyDescent="0.25">
      <c r="A2932" t="s">
        <v>1125</v>
      </c>
      <c r="B2932" s="3" t="s">
        <v>4380</v>
      </c>
    </row>
    <row r="2933" spans="1:2" ht="112" hidden="1" customHeight="1" x14ac:dyDescent="0.25">
      <c r="A2933" t="s">
        <v>1127</v>
      </c>
      <c r="B2933" s="3" t="s">
        <v>4381</v>
      </c>
    </row>
    <row r="2934" spans="1:2" ht="112" hidden="1" customHeight="1" x14ac:dyDescent="0.25">
      <c r="A2934" t="s">
        <v>2799</v>
      </c>
      <c r="B2934" s="3" t="s">
        <v>4760</v>
      </c>
    </row>
    <row r="2935" spans="1:2" ht="112" hidden="1" customHeight="1" x14ac:dyDescent="0.25">
      <c r="A2935" t="s">
        <v>1133</v>
      </c>
      <c r="B2935" s="3" t="s">
        <v>4761</v>
      </c>
    </row>
    <row r="2936" spans="1:2" ht="112" hidden="1" customHeight="1" x14ac:dyDescent="0.25">
      <c r="A2936" t="s">
        <v>1168</v>
      </c>
      <c r="B2936" s="3" t="s">
        <v>5181</v>
      </c>
    </row>
    <row r="2937" spans="1:2" ht="112" hidden="1" customHeight="1" x14ac:dyDescent="0.25">
      <c r="A2937" t="s">
        <v>1171</v>
      </c>
      <c r="B2937" s="3" t="s">
        <v>5182</v>
      </c>
    </row>
    <row r="2938" spans="1:2" ht="112" hidden="1" customHeight="1" x14ac:dyDescent="0.25">
      <c r="A2938" t="s">
        <v>1314</v>
      </c>
      <c r="B2938" s="3" t="s">
        <v>4762</v>
      </c>
    </row>
    <row r="2939" spans="1:2" ht="112" hidden="1" customHeight="1" x14ac:dyDescent="0.25">
      <c r="A2939" t="s">
        <v>1316</v>
      </c>
      <c r="B2939" s="3" t="s">
        <v>4382</v>
      </c>
    </row>
    <row r="2940" spans="1:2" ht="112" hidden="1" customHeight="1" x14ac:dyDescent="0.25">
      <c r="A2940" t="s">
        <v>1317</v>
      </c>
      <c r="B2940" s="3" t="s">
        <v>4383</v>
      </c>
    </row>
    <row r="2941" spans="1:2" ht="112" hidden="1" customHeight="1" x14ac:dyDescent="0.25">
      <c r="A2941" t="s">
        <v>1325</v>
      </c>
      <c r="B2941" s="3" t="s">
        <v>4384</v>
      </c>
    </row>
    <row r="2942" spans="1:2" ht="112" hidden="1" customHeight="1" x14ac:dyDescent="0.25">
      <c r="A2942" t="s">
        <v>11186</v>
      </c>
      <c r="B2942" s="3" t="s">
        <v>11187</v>
      </c>
    </row>
    <row r="2943" spans="1:2" ht="112" hidden="1" customHeight="1" x14ac:dyDescent="0.25">
      <c r="A2943" t="s">
        <v>2716</v>
      </c>
      <c r="B2943" s="3" t="s">
        <v>5467</v>
      </c>
    </row>
    <row r="2944" spans="1:2" ht="112" hidden="1" customHeight="1" x14ac:dyDescent="0.25">
      <c r="A2944" t="s">
        <v>1438</v>
      </c>
      <c r="B2944" s="3" t="s">
        <v>5468</v>
      </c>
    </row>
    <row r="2945" spans="1:2" ht="112" hidden="1" customHeight="1" x14ac:dyDescent="0.25">
      <c r="A2945" t="s">
        <v>1330</v>
      </c>
      <c r="B2945" s="3" t="s">
        <v>5469</v>
      </c>
    </row>
    <row r="2946" spans="1:2" ht="112" hidden="1" customHeight="1" x14ac:dyDescent="0.25">
      <c r="A2946" t="s">
        <v>1331</v>
      </c>
      <c r="B2946" s="3" t="s">
        <v>5470</v>
      </c>
    </row>
    <row r="2947" spans="1:2" ht="112" hidden="1" customHeight="1" x14ac:dyDescent="0.25">
      <c r="A2947" t="s">
        <v>1332</v>
      </c>
      <c r="B2947" s="3" t="s">
        <v>5471</v>
      </c>
    </row>
    <row r="2948" spans="1:2" ht="112" hidden="1" customHeight="1" x14ac:dyDescent="0.25">
      <c r="A2948" t="s">
        <v>1341</v>
      </c>
      <c r="B2948" s="3" t="s">
        <v>4385</v>
      </c>
    </row>
    <row r="2949" spans="1:2" ht="112" hidden="1" customHeight="1" x14ac:dyDescent="0.25">
      <c r="A2949" t="s">
        <v>1345</v>
      </c>
      <c r="B2949" s="3" t="s">
        <v>4386</v>
      </c>
    </row>
    <row r="2950" spans="1:2" ht="112" hidden="1" customHeight="1" x14ac:dyDescent="0.25">
      <c r="A2950" t="s">
        <v>1373</v>
      </c>
      <c r="B2950" s="3" t="s">
        <v>4387</v>
      </c>
    </row>
    <row r="2951" spans="1:2" ht="112" hidden="1" customHeight="1" x14ac:dyDescent="0.25">
      <c r="A2951" t="s">
        <v>1374</v>
      </c>
      <c r="B2951" s="3" t="s">
        <v>4388</v>
      </c>
    </row>
    <row r="2952" spans="1:2" ht="112" hidden="1" customHeight="1" x14ac:dyDescent="0.25">
      <c r="A2952" t="s">
        <v>2586</v>
      </c>
      <c r="B2952" s="3" t="s">
        <v>4389</v>
      </c>
    </row>
    <row r="2953" spans="1:2" ht="112" hidden="1" customHeight="1" x14ac:dyDescent="0.25">
      <c r="A2953" t="s">
        <v>2587</v>
      </c>
      <c r="B2953" s="3" t="s">
        <v>4390</v>
      </c>
    </row>
    <row r="2954" spans="1:2" ht="112" hidden="1" customHeight="1" x14ac:dyDescent="0.25">
      <c r="A2954" t="s">
        <v>2588</v>
      </c>
      <c r="B2954" s="3" t="s">
        <v>4391</v>
      </c>
    </row>
    <row r="2955" spans="1:2" ht="112" hidden="1" customHeight="1" x14ac:dyDescent="0.25">
      <c r="A2955" t="s">
        <v>2589</v>
      </c>
      <c r="B2955" s="3" t="s">
        <v>4392</v>
      </c>
    </row>
    <row r="2956" spans="1:2" ht="112" hidden="1" customHeight="1" x14ac:dyDescent="0.25">
      <c r="A2956" t="s">
        <v>2591</v>
      </c>
      <c r="B2956" s="3" t="s">
        <v>4763</v>
      </c>
    </row>
    <row r="2957" spans="1:2" ht="112" hidden="1" customHeight="1" x14ac:dyDescent="0.25">
      <c r="A2957" t="s">
        <v>2592</v>
      </c>
      <c r="B2957" s="3" t="s">
        <v>4764</v>
      </c>
    </row>
    <row r="2958" spans="1:2" ht="112" hidden="1" customHeight="1" x14ac:dyDescent="0.25">
      <c r="A2958" t="s">
        <v>2593</v>
      </c>
      <c r="B2958" s="3" t="s">
        <v>4765</v>
      </c>
    </row>
    <row r="2959" spans="1:2" ht="112" hidden="1" customHeight="1" x14ac:dyDescent="0.25">
      <c r="A2959" t="s">
        <v>2598</v>
      </c>
      <c r="B2959" s="3" t="s">
        <v>4393</v>
      </c>
    </row>
    <row r="2960" spans="1:2" ht="112" hidden="1" customHeight="1" x14ac:dyDescent="0.25">
      <c r="A2960" t="s">
        <v>2601</v>
      </c>
      <c r="B2960" s="3" t="s">
        <v>4394</v>
      </c>
    </row>
    <row r="2961" spans="1:2" ht="112" hidden="1" customHeight="1" x14ac:dyDescent="0.25">
      <c r="A2961" t="s">
        <v>2602</v>
      </c>
      <c r="B2961" s="3" t="s">
        <v>4395</v>
      </c>
    </row>
    <row r="2962" spans="1:2" ht="112" hidden="1" customHeight="1" x14ac:dyDescent="0.25">
      <c r="A2962" t="s">
        <v>2603</v>
      </c>
      <c r="B2962" s="3" t="s">
        <v>4396</v>
      </c>
    </row>
    <row r="2963" spans="1:2" ht="112" hidden="1" customHeight="1" x14ac:dyDescent="0.25">
      <c r="A2963" t="s">
        <v>2635</v>
      </c>
      <c r="B2963" s="3" t="s">
        <v>4397</v>
      </c>
    </row>
    <row r="2964" spans="1:2" ht="112" hidden="1" customHeight="1" x14ac:dyDescent="0.25">
      <c r="A2964" t="s">
        <v>2636</v>
      </c>
      <c r="B2964" s="3" t="s">
        <v>4398</v>
      </c>
    </row>
    <row r="2965" spans="1:2" ht="112" hidden="1" customHeight="1" x14ac:dyDescent="0.25">
      <c r="A2965" t="s">
        <v>2637</v>
      </c>
      <c r="B2965" s="3" t="s">
        <v>4399</v>
      </c>
    </row>
    <row r="2966" spans="1:2" ht="112" hidden="1" customHeight="1" x14ac:dyDescent="0.25">
      <c r="A2966" t="s">
        <v>2638</v>
      </c>
      <c r="B2966" s="3" t="s">
        <v>4400</v>
      </c>
    </row>
    <row r="2967" spans="1:2" ht="112" hidden="1" customHeight="1" x14ac:dyDescent="0.25">
      <c r="A2967" t="s">
        <v>2694</v>
      </c>
      <c r="B2967" s="3" t="s">
        <v>4401</v>
      </c>
    </row>
    <row r="2968" spans="1:2" ht="112" hidden="1" customHeight="1" x14ac:dyDescent="0.25">
      <c r="A2968" t="s">
        <v>14</v>
      </c>
      <c r="B2968" s="3" t="s">
        <v>4402</v>
      </c>
    </row>
    <row r="2969" spans="1:2" ht="112" hidden="1" customHeight="1" x14ac:dyDescent="0.25">
      <c r="A2969" t="s">
        <v>17</v>
      </c>
      <c r="B2969" s="3" t="s">
        <v>4403</v>
      </c>
    </row>
    <row r="2970" spans="1:2" ht="112" hidden="1" customHeight="1" x14ac:dyDescent="0.25">
      <c r="A2970" t="s">
        <v>18</v>
      </c>
      <c r="B2970" s="3" t="s">
        <v>4404</v>
      </c>
    </row>
    <row r="2971" spans="1:2" ht="112" hidden="1" customHeight="1" x14ac:dyDescent="0.25">
      <c r="A2971" t="s">
        <v>19</v>
      </c>
      <c r="B2971" s="3" t="s">
        <v>4405</v>
      </c>
    </row>
    <row r="2972" spans="1:2" ht="112" hidden="1" customHeight="1" x14ac:dyDescent="0.25">
      <c r="A2972" t="s">
        <v>36</v>
      </c>
      <c r="B2972" s="3" t="s">
        <v>10820</v>
      </c>
    </row>
    <row r="2973" spans="1:2" ht="112" hidden="1" customHeight="1" x14ac:dyDescent="0.25">
      <c r="A2973" t="s">
        <v>38</v>
      </c>
      <c r="B2973" s="3" t="s">
        <v>4766</v>
      </c>
    </row>
    <row r="2974" spans="1:2" ht="112" hidden="1" customHeight="1" x14ac:dyDescent="0.25">
      <c r="A2974" t="s">
        <v>39</v>
      </c>
      <c r="B2974" s="3" t="s">
        <v>4406</v>
      </c>
    </row>
    <row r="2975" spans="1:2" ht="112" hidden="1" customHeight="1" x14ac:dyDescent="0.25">
      <c r="A2975" t="s">
        <v>40</v>
      </c>
      <c r="B2975" s="3" t="s">
        <v>4407</v>
      </c>
    </row>
    <row r="2976" spans="1:2" ht="112" hidden="1" customHeight="1" x14ac:dyDescent="0.25">
      <c r="A2976" t="s">
        <v>41</v>
      </c>
      <c r="B2976" s="3" t="s">
        <v>4408</v>
      </c>
    </row>
    <row r="2977" spans="1:2" ht="112" hidden="1" customHeight="1" x14ac:dyDescent="0.25">
      <c r="A2977" t="s">
        <v>44</v>
      </c>
      <c r="B2977" s="3" t="s">
        <v>5183</v>
      </c>
    </row>
    <row r="2978" spans="1:2" ht="112" hidden="1" customHeight="1" x14ac:dyDescent="0.25">
      <c r="A2978" t="s">
        <v>45</v>
      </c>
      <c r="B2978" s="3" t="s">
        <v>5184</v>
      </c>
    </row>
    <row r="2979" spans="1:2" ht="112" hidden="1" customHeight="1" x14ac:dyDescent="0.25">
      <c r="A2979" t="s">
        <v>64</v>
      </c>
      <c r="B2979" s="3" t="s">
        <v>5185</v>
      </c>
    </row>
    <row r="2980" spans="1:2" ht="112" hidden="1" customHeight="1" x14ac:dyDescent="0.25">
      <c r="A2980" t="s">
        <v>65</v>
      </c>
      <c r="B2980" s="3" t="s">
        <v>5186</v>
      </c>
    </row>
    <row r="2981" spans="1:2" ht="112" hidden="1" customHeight="1" x14ac:dyDescent="0.25">
      <c r="A2981" t="s">
        <v>66</v>
      </c>
      <c r="B2981" s="3" t="s">
        <v>11054</v>
      </c>
    </row>
    <row r="2982" spans="1:2" ht="112" hidden="1" customHeight="1" x14ac:dyDescent="0.25">
      <c r="A2982" t="s">
        <v>75</v>
      </c>
      <c r="B2982" s="3" t="s">
        <v>5187</v>
      </c>
    </row>
    <row r="2983" spans="1:2" ht="112" hidden="1" customHeight="1" x14ac:dyDescent="0.25">
      <c r="A2983" t="s">
        <v>79</v>
      </c>
      <c r="B2983" s="3" t="s">
        <v>4409</v>
      </c>
    </row>
    <row r="2984" spans="1:2" ht="112" hidden="1" customHeight="1" x14ac:dyDescent="0.25">
      <c r="A2984" t="s">
        <v>84</v>
      </c>
      <c r="B2984" s="3" t="s">
        <v>4410</v>
      </c>
    </row>
    <row r="2985" spans="1:2" ht="112" hidden="1" customHeight="1" x14ac:dyDescent="0.25">
      <c r="A2985" t="s">
        <v>107</v>
      </c>
      <c r="B2985" s="3" t="s">
        <v>4411</v>
      </c>
    </row>
    <row r="2986" spans="1:2" ht="112" hidden="1" customHeight="1" x14ac:dyDescent="0.25">
      <c r="A2986" t="s">
        <v>119</v>
      </c>
      <c r="B2986" s="3" t="s">
        <v>5188</v>
      </c>
    </row>
    <row r="2987" spans="1:2" ht="112" hidden="1" customHeight="1" x14ac:dyDescent="0.25">
      <c r="A2987" t="s">
        <v>124</v>
      </c>
      <c r="B2987" s="3" t="s">
        <v>5189</v>
      </c>
    </row>
    <row r="2988" spans="1:2" ht="112" hidden="1" customHeight="1" x14ac:dyDescent="0.25">
      <c r="A2988" t="s">
        <v>171</v>
      </c>
      <c r="B2988" s="3" t="s">
        <v>5190</v>
      </c>
    </row>
    <row r="2989" spans="1:2" ht="112" hidden="1" customHeight="1" x14ac:dyDescent="0.25">
      <c r="A2989" t="s">
        <v>177</v>
      </c>
      <c r="B2989" s="3" t="s">
        <v>5191</v>
      </c>
    </row>
    <row r="2990" spans="1:2" ht="112" hidden="1" customHeight="1" x14ac:dyDescent="0.25">
      <c r="A2990" t="s">
        <v>185</v>
      </c>
      <c r="B2990" s="3" t="s">
        <v>5192</v>
      </c>
    </row>
    <row r="2991" spans="1:2" ht="112" hidden="1" customHeight="1" x14ac:dyDescent="0.25">
      <c r="A2991" t="s">
        <v>231</v>
      </c>
      <c r="B2991" s="3" t="s">
        <v>5193</v>
      </c>
    </row>
    <row r="2992" spans="1:2" ht="112" hidden="1" customHeight="1" x14ac:dyDescent="0.25">
      <c r="A2992" t="s">
        <v>232</v>
      </c>
      <c r="B2992" s="3" t="s">
        <v>5194</v>
      </c>
    </row>
    <row r="2993" spans="1:2" ht="112" hidden="1" customHeight="1" x14ac:dyDescent="0.25">
      <c r="A2993" t="s">
        <v>233</v>
      </c>
      <c r="B2993" s="3" t="s">
        <v>5195</v>
      </c>
    </row>
    <row r="2994" spans="1:2" ht="112" hidden="1" customHeight="1" x14ac:dyDescent="0.25">
      <c r="A2994" t="s">
        <v>248</v>
      </c>
      <c r="B2994" s="3" t="s">
        <v>5196</v>
      </c>
    </row>
    <row r="2995" spans="1:2" ht="112" hidden="1" customHeight="1" x14ac:dyDescent="0.25">
      <c r="A2995" t="s">
        <v>301</v>
      </c>
      <c r="B2995" s="3" t="s">
        <v>5472</v>
      </c>
    </row>
    <row r="2996" spans="1:2" ht="112" hidden="1" customHeight="1" x14ac:dyDescent="0.25">
      <c r="A2996" t="s">
        <v>304</v>
      </c>
      <c r="B2996" s="3" t="s">
        <v>5197</v>
      </c>
    </row>
    <row r="2997" spans="1:2" ht="112" hidden="1" customHeight="1" x14ac:dyDescent="0.25">
      <c r="A2997" t="s">
        <v>1208</v>
      </c>
      <c r="B2997" s="3" t="s">
        <v>4412</v>
      </c>
    </row>
    <row r="2998" spans="1:2" ht="112" hidden="1" customHeight="1" x14ac:dyDescent="0.25">
      <c r="A2998" t="s">
        <v>1228</v>
      </c>
      <c r="B2998" s="3" t="s">
        <v>4413</v>
      </c>
    </row>
    <row r="2999" spans="1:2" ht="112" hidden="1" customHeight="1" x14ac:dyDescent="0.25">
      <c r="A2999" t="s">
        <v>1229</v>
      </c>
      <c r="B2999" s="3" t="s">
        <v>4414</v>
      </c>
    </row>
    <row r="3000" spans="1:2" ht="112" hidden="1" customHeight="1" x14ac:dyDescent="0.25">
      <c r="A3000" t="s">
        <v>1231</v>
      </c>
      <c r="B3000" s="3" t="s">
        <v>4415</v>
      </c>
    </row>
    <row r="3001" spans="1:2" ht="112" hidden="1" customHeight="1" x14ac:dyDescent="0.25">
      <c r="A3001" t="s">
        <v>1232</v>
      </c>
      <c r="B3001" s="3" t="s">
        <v>4416</v>
      </c>
    </row>
    <row r="3002" spans="1:2" ht="112" hidden="1" customHeight="1" x14ac:dyDescent="0.25">
      <c r="A3002" t="s">
        <v>1233</v>
      </c>
      <c r="B3002" s="3" t="s">
        <v>4417</v>
      </c>
    </row>
    <row r="3003" spans="1:2" ht="112" hidden="1" customHeight="1" x14ac:dyDescent="0.25">
      <c r="A3003" t="s">
        <v>1234</v>
      </c>
      <c r="B3003" s="3" t="s">
        <v>4418</v>
      </c>
    </row>
    <row r="3004" spans="1:2" ht="112" hidden="1" customHeight="1" x14ac:dyDescent="0.25">
      <c r="A3004" t="s">
        <v>1235</v>
      </c>
      <c r="B3004" s="3" t="s">
        <v>4419</v>
      </c>
    </row>
    <row r="3005" spans="1:2" ht="112" hidden="1" customHeight="1" x14ac:dyDescent="0.25">
      <c r="A3005" t="s">
        <v>1239</v>
      </c>
      <c r="B3005" s="3" t="s">
        <v>5198</v>
      </c>
    </row>
    <row r="3006" spans="1:2" ht="112" hidden="1" customHeight="1" x14ac:dyDescent="0.25">
      <c r="A3006" t="s">
        <v>1255</v>
      </c>
      <c r="B3006" s="3" t="s">
        <v>5473</v>
      </c>
    </row>
    <row r="3007" spans="1:2" ht="112" hidden="1" customHeight="1" x14ac:dyDescent="0.25">
      <c r="A3007" t="s">
        <v>1260</v>
      </c>
      <c r="B3007" s="3" t="s">
        <v>5199</v>
      </c>
    </row>
    <row r="3008" spans="1:2" ht="112" hidden="1" customHeight="1" x14ac:dyDescent="0.25">
      <c r="A3008" t="s">
        <v>1272</v>
      </c>
      <c r="B3008" s="3" t="s">
        <v>5200</v>
      </c>
    </row>
    <row r="3009" spans="1:2" ht="112" hidden="1" customHeight="1" x14ac:dyDescent="0.25">
      <c r="A3009" t="s">
        <v>1284</v>
      </c>
      <c r="B3009" s="3" t="s">
        <v>5201</v>
      </c>
    </row>
    <row r="3010" spans="1:2" ht="112" hidden="1" customHeight="1" x14ac:dyDescent="0.25">
      <c r="A3010" t="s">
        <v>1288</v>
      </c>
      <c r="B3010" s="3" t="s">
        <v>5202</v>
      </c>
    </row>
    <row r="3011" spans="1:2" ht="112" hidden="1" customHeight="1" x14ac:dyDescent="0.25">
      <c r="A3011" t="s">
        <v>1297</v>
      </c>
      <c r="B3011" s="3" t="s">
        <v>5203</v>
      </c>
    </row>
    <row r="3012" spans="1:2" ht="112" hidden="1" customHeight="1" x14ac:dyDescent="0.25">
      <c r="A3012" t="s">
        <v>1393</v>
      </c>
      <c r="B3012" s="3" t="s">
        <v>5204</v>
      </c>
    </row>
    <row r="3013" spans="1:2" ht="112" hidden="1" customHeight="1" x14ac:dyDescent="0.25">
      <c r="A3013" t="s">
        <v>1410</v>
      </c>
      <c r="B3013" s="3" t="s">
        <v>5205</v>
      </c>
    </row>
    <row r="3014" spans="1:2" ht="112" hidden="1" customHeight="1" x14ac:dyDescent="0.25">
      <c r="A3014" t="s">
        <v>1423</v>
      </c>
      <c r="B3014" s="3" t="s">
        <v>5206</v>
      </c>
    </row>
    <row r="3015" spans="1:2" ht="112" hidden="1" customHeight="1" x14ac:dyDescent="0.25">
      <c r="A3015" t="s">
        <v>1430</v>
      </c>
      <c r="B3015" s="3" t="s">
        <v>5207</v>
      </c>
    </row>
    <row r="3016" spans="1:2" ht="112" hidden="1" customHeight="1" x14ac:dyDescent="0.25">
      <c r="A3016" t="s">
        <v>1432</v>
      </c>
      <c r="B3016" s="3" t="s">
        <v>5208</v>
      </c>
    </row>
    <row r="3017" spans="1:2" ht="112" hidden="1" customHeight="1" x14ac:dyDescent="0.25">
      <c r="A3017" t="s">
        <v>1434</v>
      </c>
      <c r="B3017" s="3" t="s">
        <v>5209</v>
      </c>
    </row>
    <row r="3018" spans="1:2" ht="112" hidden="1" customHeight="1" x14ac:dyDescent="0.25">
      <c r="A3018" t="s">
        <v>2672</v>
      </c>
      <c r="B3018" s="3" t="s">
        <v>5210</v>
      </c>
    </row>
    <row r="3019" spans="1:2" ht="112" hidden="1" customHeight="1" x14ac:dyDescent="0.25">
      <c r="A3019" t="s">
        <v>2673</v>
      </c>
      <c r="B3019" s="3" t="s">
        <v>5211</v>
      </c>
    </row>
    <row r="3020" spans="1:2" ht="112" hidden="1" customHeight="1" x14ac:dyDescent="0.25">
      <c r="A3020" t="s">
        <v>2685</v>
      </c>
      <c r="B3020" s="3" t="s">
        <v>4420</v>
      </c>
    </row>
    <row r="3021" spans="1:2" ht="112" hidden="1" customHeight="1" x14ac:dyDescent="0.25">
      <c r="A3021" t="s">
        <v>2686</v>
      </c>
      <c r="B3021" s="3" t="s">
        <v>4421</v>
      </c>
    </row>
    <row r="3022" spans="1:2" ht="112" hidden="1" customHeight="1" x14ac:dyDescent="0.25">
      <c r="A3022" t="s">
        <v>7834</v>
      </c>
      <c r="B3022" s="3" t="s">
        <v>4422</v>
      </c>
    </row>
    <row r="3023" spans="1:2" ht="112" hidden="1" customHeight="1" x14ac:dyDescent="0.25">
      <c r="A3023" t="s">
        <v>1072</v>
      </c>
      <c r="B3023" s="3" t="s">
        <v>4377</v>
      </c>
    </row>
    <row r="3024" spans="1:2" ht="112" hidden="1" customHeight="1" x14ac:dyDescent="0.25">
      <c r="A3024" t="s">
        <v>1073</v>
      </c>
      <c r="B3024" s="3" t="s">
        <v>4378</v>
      </c>
    </row>
    <row r="3025" spans="1:2" ht="112" hidden="1" customHeight="1" x14ac:dyDescent="0.25">
      <c r="A3025" t="s">
        <v>1074</v>
      </c>
      <c r="B3025" s="3" t="s">
        <v>4379</v>
      </c>
    </row>
    <row r="3026" spans="1:2" ht="112" hidden="1" customHeight="1" x14ac:dyDescent="0.25">
      <c r="A3026" t="s">
        <v>2772</v>
      </c>
      <c r="B3026" s="3" t="s">
        <v>6131</v>
      </c>
    </row>
    <row r="3027" spans="1:2" ht="112" hidden="1" customHeight="1" x14ac:dyDescent="0.25">
      <c r="A3027" t="s">
        <v>2797</v>
      </c>
      <c r="B3027" s="3" t="s">
        <v>4423</v>
      </c>
    </row>
    <row r="3028" spans="1:2" ht="112" hidden="1" customHeight="1" x14ac:dyDescent="0.25">
      <c r="A3028" t="s">
        <v>2798</v>
      </c>
      <c r="B3028" s="3" t="s">
        <v>4424</v>
      </c>
    </row>
    <row r="3029" spans="1:2" ht="112" hidden="1" customHeight="1" x14ac:dyDescent="0.25">
      <c r="A3029" t="s">
        <v>2901</v>
      </c>
      <c r="B3029" s="3" t="s">
        <v>4425</v>
      </c>
    </row>
    <row r="3030" spans="1:2" ht="112" hidden="1" customHeight="1" x14ac:dyDescent="0.25">
      <c r="A3030" t="s">
        <v>2902</v>
      </c>
      <c r="B3030" s="3" t="s">
        <v>4426</v>
      </c>
    </row>
    <row r="3031" spans="1:2" ht="112" hidden="1" customHeight="1" x14ac:dyDescent="0.25">
      <c r="A3031" t="s">
        <v>7835</v>
      </c>
      <c r="B3031" s="3" t="s">
        <v>4427</v>
      </c>
    </row>
    <row r="3032" spans="1:2" ht="112" hidden="1" customHeight="1" x14ac:dyDescent="0.25">
      <c r="A3032" t="s">
        <v>2799</v>
      </c>
      <c r="B3032" s="3" t="s">
        <v>5474</v>
      </c>
    </row>
    <row r="3033" spans="1:2" ht="112" hidden="1" customHeight="1" x14ac:dyDescent="0.25">
      <c r="A3033" t="s">
        <v>2801</v>
      </c>
      <c r="B3033" s="3" t="s">
        <v>4428</v>
      </c>
    </row>
    <row r="3034" spans="1:2" ht="112" hidden="1" customHeight="1" x14ac:dyDescent="0.25">
      <c r="A3034" t="s">
        <v>2803</v>
      </c>
      <c r="B3034" s="3" t="s">
        <v>4429</v>
      </c>
    </row>
    <row r="3035" spans="1:2" ht="112" hidden="1" customHeight="1" x14ac:dyDescent="0.25">
      <c r="A3035" t="s">
        <v>2802</v>
      </c>
      <c r="B3035" s="3" t="s">
        <v>4430</v>
      </c>
    </row>
    <row r="3036" spans="1:2" ht="112" hidden="1" customHeight="1" x14ac:dyDescent="0.25">
      <c r="A3036" t="s">
        <v>2800</v>
      </c>
      <c r="B3036" s="3" t="s">
        <v>5212</v>
      </c>
    </row>
    <row r="3037" spans="1:2" ht="112" hidden="1" customHeight="1" x14ac:dyDescent="0.25">
      <c r="A3037" t="s">
        <v>2804</v>
      </c>
      <c r="B3037" s="3" t="s">
        <v>4431</v>
      </c>
    </row>
    <row r="3038" spans="1:2" ht="112" hidden="1" customHeight="1" x14ac:dyDescent="0.25">
      <c r="A3038" t="s">
        <v>2805</v>
      </c>
      <c r="B3038" s="3" t="s">
        <v>4432</v>
      </c>
    </row>
    <row r="3039" spans="1:2" ht="112" hidden="1" customHeight="1" x14ac:dyDescent="0.25">
      <c r="A3039" t="s">
        <v>2773</v>
      </c>
      <c r="B3039" s="3" t="s">
        <v>5213</v>
      </c>
    </row>
    <row r="3040" spans="1:2" ht="112" hidden="1" customHeight="1" x14ac:dyDescent="0.25">
      <c r="A3040" t="s">
        <v>2774</v>
      </c>
      <c r="B3040" s="3" t="s">
        <v>5214</v>
      </c>
    </row>
    <row r="3041" spans="1:2" ht="112" hidden="1" customHeight="1" x14ac:dyDescent="0.25">
      <c r="A3041" t="s">
        <v>2775</v>
      </c>
      <c r="B3041" s="3" t="s">
        <v>5475</v>
      </c>
    </row>
    <row r="3042" spans="1:2" ht="112" hidden="1" customHeight="1" x14ac:dyDescent="0.25">
      <c r="A3042" t="s">
        <v>2776</v>
      </c>
      <c r="B3042" s="3" t="s">
        <v>4433</v>
      </c>
    </row>
    <row r="3043" spans="1:2" ht="112" hidden="1" customHeight="1" x14ac:dyDescent="0.25">
      <c r="A3043" t="s">
        <v>2777</v>
      </c>
      <c r="B3043" s="3" t="s">
        <v>4434</v>
      </c>
    </row>
    <row r="3044" spans="1:2" ht="112" hidden="1" customHeight="1" x14ac:dyDescent="0.25">
      <c r="A3044" t="s">
        <v>2778</v>
      </c>
      <c r="B3044" s="3" t="s">
        <v>4435</v>
      </c>
    </row>
    <row r="3045" spans="1:2" ht="112" hidden="1" customHeight="1" x14ac:dyDescent="0.25">
      <c r="A3045" t="s">
        <v>2779</v>
      </c>
      <c r="B3045" s="3" t="s">
        <v>4436</v>
      </c>
    </row>
    <row r="3046" spans="1:2" ht="112" hidden="1" customHeight="1" x14ac:dyDescent="0.25">
      <c r="A3046" t="s">
        <v>2780</v>
      </c>
      <c r="B3046" s="3" t="s">
        <v>4437</v>
      </c>
    </row>
    <row r="3047" spans="1:2" ht="112" hidden="1" customHeight="1" x14ac:dyDescent="0.25">
      <c r="A3047" t="s">
        <v>2781</v>
      </c>
      <c r="B3047" s="3" t="s">
        <v>4438</v>
      </c>
    </row>
    <row r="3048" spans="1:2" ht="112" hidden="1" customHeight="1" x14ac:dyDescent="0.25">
      <c r="A3048" t="s">
        <v>2782</v>
      </c>
      <c r="B3048" s="3" t="s">
        <v>4439</v>
      </c>
    </row>
    <row r="3049" spans="1:2" ht="112" hidden="1" customHeight="1" x14ac:dyDescent="0.25">
      <c r="A3049" t="s">
        <v>2783</v>
      </c>
      <c r="B3049" s="3" t="s">
        <v>4440</v>
      </c>
    </row>
    <row r="3050" spans="1:2" ht="112" hidden="1" customHeight="1" x14ac:dyDescent="0.25">
      <c r="A3050" t="s">
        <v>2784</v>
      </c>
      <c r="B3050" s="3" t="s">
        <v>4441</v>
      </c>
    </row>
    <row r="3051" spans="1:2" ht="112" hidden="1" customHeight="1" x14ac:dyDescent="0.25">
      <c r="A3051" t="s">
        <v>2785</v>
      </c>
      <c r="B3051" s="3" t="s">
        <v>4442</v>
      </c>
    </row>
    <row r="3052" spans="1:2" ht="112" hidden="1" customHeight="1" x14ac:dyDescent="0.25">
      <c r="A3052" t="s">
        <v>2786</v>
      </c>
      <c r="B3052" s="3" t="s">
        <v>4443</v>
      </c>
    </row>
    <row r="3053" spans="1:2" ht="112" hidden="1" customHeight="1" x14ac:dyDescent="0.25">
      <c r="A3053" t="s">
        <v>2787</v>
      </c>
      <c r="B3053" s="3" t="s">
        <v>4444</v>
      </c>
    </row>
    <row r="3054" spans="1:2" ht="112" hidden="1" customHeight="1" x14ac:dyDescent="0.25">
      <c r="A3054" t="s">
        <v>2788</v>
      </c>
      <c r="B3054" s="3" t="s">
        <v>4445</v>
      </c>
    </row>
    <row r="3055" spans="1:2" ht="112" hidden="1" customHeight="1" x14ac:dyDescent="0.25">
      <c r="A3055" t="s">
        <v>2789</v>
      </c>
      <c r="B3055" s="3" t="s">
        <v>4446</v>
      </c>
    </row>
    <row r="3056" spans="1:2" ht="112" hidden="1" customHeight="1" x14ac:dyDescent="0.25">
      <c r="A3056" t="s">
        <v>2790</v>
      </c>
      <c r="B3056" s="3" t="s">
        <v>4447</v>
      </c>
    </row>
    <row r="3057" spans="1:2" ht="112" hidden="1" customHeight="1" x14ac:dyDescent="0.25">
      <c r="A3057" t="s">
        <v>2806</v>
      </c>
      <c r="B3057" s="3" t="s">
        <v>4448</v>
      </c>
    </row>
    <row r="3058" spans="1:2" ht="112" hidden="1" customHeight="1" x14ac:dyDescent="0.25">
      <c r="A3058" t="s">
        <v>2807</v>
      </c>
      <c r="B3058" s="3" t="s">
        <v>4449</v>
      </c>
    </row>
    <row r="3059" spans="1:2" ht="112" hidden="1" customHeight="1" x14ac:dyDescent="0.25">
      <c r="A3059" t="s">
        <v>2808</v>
      </c>
      <c r="B3059" s="3" t="s">
        <v>4450</v>
      </c>
    </row>
    <row r="3060" spans="1:2" ht="112" hidden="1" customHeight="1" x14ac:dyDescent="0.25">
      <c r="A3060" t="s">
        <v>2809</v>
      </c>
      <c r="B3060" s="3" t="s">
        <v>4451</v>
      </c>
    </row>
    <row r="3061" spans="1:2" ht="112" hidden="1" customHeight="1" x14ac:dyDescent="0.25">
      <c r="A3061" t="s">
        <v>2810</v>
      </c>
      <c r="B3061" s="3" t="s">
        <v>4452</v>
      </c>
    </row>
    <row r="3062" spans="1:2" ht="112" hidden="1" customHeight="1" x14ac:dyDescent="0.25">
      <c r="A3062" t="s">
        <v>2811</v>
      </c>
      <c r="B3062" s="3" t="s">
        <v>4453</v>
      </c>
    </row>
    <row r="3063" spans="1:2" ht="112" hidden="1" customHeight="1" x14ac:dyDescent="0.25">
      <c r="A3063" t="s">
        <v>2812</v>
      </c>
      <c r="B3063" s="3" t="s">
        <v>4454</v>
      </c>
    </row>
    <row r="3064" spans="1:2" ht="112" hidden="1" customHeight="1" x14ac:dyDescent="0.25">
      <c r="A3064" t="s">
        <v>2813</v>
      </c>
      <c r="B3064" s="3" t="s">
        <v>4455</v>
      </c>
    </row>
    <row r="3065" spans="1:2" ht="112" hidden="1" customHeight="1" x14ac:dyDescent="0.25">
      <c r="A3065" t="s">
        <v>2814</v>
      </c>
      <c r="B3065" s="3" t="s">
        <v>4456</v>
      </c>
    </row>
    <row r="3066" spans="1:2" ht="112" hidden="1" customHeight="1" x14ac:dyDescent="0.25">
      <c r="A3066" t="s">
        <v>2815</v>
      </c>
      <c r="B3066" s="3" t="s">
        <v>4457</v>
      </c>
    </row>
    <row r="3067" spans="1:2" ht="112" hidden="1" customHeight="1" x14ac:dyDescent="0.25">
      <c r="A3067" t="s">
        <v>2816</v>
      </c>
      <c r="B3067" s="3" t="s">
        <v>4458</v>
      </c>
    </row>
    <row r="3068" spans="1:2" ht="112" hidden="1" customHeight="1" x14ac:dyDescent="0.25">
      <c r="A3068" t="s">
        <v>2817</v>
      </c>
      <c r="B3068" s="3" t="s">
        <v>4459</v>
      </c>
    </row>
    <row r="3069" spans="1:2" ht="112" hidden="1" customHeight="1" x14ac:dyDescent="0.25">
      <c r="A3069" t="s">
        <v>2791</v>
      </c>
      <c r="B3069" s="3" t="s">
        <v>5215</v>
      </c>
    </row>
    <row r="3070" spans="1:2" ht="112" hidden="1" customHeight="1" x14ac:dyDescent="0.25">
      <c r="A3070" t="s">
        <v>2792</v>
      </c>
      <c r="B3070" s="3" t="s">
        <v>5216</v>
      </c>
    </row>
    <row r="3071" spans="1:2" ht="112" hidden="1" customHeight="1" x14ac:dyDescent="0.25">
      <c r="A3071" t="s">
        <v>2793</v>
      </c>
      <c r="B3071" s="3" t="s">
        <v>5217</v>
      </c>
    </row>
    <row r="3072" spans="1:2" ht="112" hidden="1" customHeight="1" x14ac:dyDescent="0.25">
      <c r="A3072" t="s">
        <v>2794</v>
      </c>
      <c r="B3072" s="3" t="s">
        <v>5218</v>
      </c>
    </row>
    <row r="3073" spans="1:2" ht="112" hidden="1" customHeight="1" x14ac:dyDescent="0.25">
      <c r="A3073" t="s">
        <v>2795</v>
      </c>
      <c r="B3073" s="3" t="s">
        <v>4460</v>
      </c>
    </row>
    <row r="3074" spans="1:2" ht="112" hidden="1" customHeight="1" x14ac:dyDescent="0.25">
      <c r="A3074" t="s">
        <v>2796</v>
      </c>
      <c r="B3074" s="3" t="s">
        <v>5476</v>
      </c>
    </row>
    <row r="3075" spans="1:2" ht="112" hidden="1" customHeight="1" x14ac:dyDescent="0.25">
      <c r="A3075" t="s">
        <v>2818</v>
      </c>
      <c r="B3075" s="3" t="s">
        <v>4461</v>
      </c>
    </row>
    <row r="3076" spans="1:2" ht="112" hidden="1" customHeight="1" x14ac:dyDescent="0.25">
      <c r="A3076" t="s">
        <v>2819</v>
      </c>
      <c r="B3076" s="3" t="s">
        <v>4462</v>
      </c>
    </row>
    <row r="3077" spans="1:2" ht="112" hidden="1" customHeight="1" x14ac:dyDescent="0.25">
      <c r="A3077" t="s">
        <v>2820</v>
      </c>
      <c r="B3077" s="3" t="s">
        <v>4463</v>
      </c>
    </row>
    <row r="3078" spans="1:2" ht="112" hidden="1" customHeight="1" x14ac:dyDescent="0.25">
      <c r="A3078" t="s">
        <v>2821</v>
      </c>
      <c r="B3078" s="3" t="s">
        <v>4464</v>
      </c>
    </row>
    <row r="3079" spans="1:2" ht="112" hidden="1" customHeight="1" x14ac:dyDescent="0.25">
      <c r="A3079" t="s">
        <v>2822</v>
      </c>
      <c r="B3079" s="3" t="s">
        <v>3046</v>
      </c>
    </row>
    <row r="3080" spans="1:2" ht="112" hidden="1" customHeight="1" x14ac:dyDescent="0.25">
      <c r="A3080" t="s">
        <v>2825</v>
      </c>
      <c r="B3080" s="3" t="s">
        <v>3047</v>
      </c>
    </row>
    <row r="3081" spans="1:2" ht="112" hidden="1" customHeight="1" x14ac:dyDescent="0.25">
      <c r="A3081" t="s">
        <v>2823</v>
      </c>
      <c r="B3081" s="3" t="s">
        <v>3048</v>
      </c>
    </row>
    <row r="3082" spans="1:2" ht="112" hidden="1" customHeight="1" x14ac:dyDescent="0.25">
      <c r="A3082" t="s">
        <v>2824</v>
      </c>
      <c r="B3082" s="3" t="s">
        <v>3049</v>
      </c>
    </row>
    <row r="3083" spans="1:2" ht="112" hidden="1" customHeight="1" x14ac:dyDescent="0.25">
      <c r="A3083" t="s">
        <v>2825</v>
      </c>
      <c r="B3083" s="3" t="s">
        <v>3047</v>
      </c>
    </row>
    <row r="3084" spans="1:2" ht="112" hidden="1" customHeight="1" x14ac:dyDescent="0.25">
      <c r="A3084" t="s">
        <v>2826</v>
      </c>
      <c r="B3084" s="3" t="s">
        <v>3050</v>
      </c>
    </row>
    <row r="3085" spans="1:2" ht="112" hidden="1" customHeight="1" x14ac:dyDescent="0.25">
      <c r="A3085" t="s">
        <v>1132</v>
      </c>
      <c r="B3085" s="3" t="s">
        <v>4767</v>
      </c>
    </row>
    <row r="3086" spans="1:2" ht="112" hidden="1" customHeight="1" x14ac:dyDescent="0.25">
      <c r="A3086" t="s">
        <v>2827</v>
      </c>
      <c r="B3086" s="3" t="s">
        <v>4465</v>
      </c>
    </row>
    <row r="3087" spans="1:2" ht="112" hidden="1" customHeight="1" x14ac:dyDescent="0.25">
      <c r="A3087" t="s">
        <v>2828</v>
      </c>
      <c r="B3087" s="3" t="s">
        <v>4466</v>
      </c>
    </row>
    <row r="3088" spans="1:2" ht="112" hidden="1" customHeight="1" x14ac:dyDescent="0.25">
      <c r="A3088" t="s">
        <v>2829</v>
      </c>
      <c r="B3088" s="3" t="s">
        <v>4467</v>
      </c>
    </row>
    <row r="3089" spans="1:2" ht="112" hidden="1" customHeight="1" x14ac:dyDescent="0.25">
      <c r="A3089" t="s">
        <v>2830</v>
      </c>
      <c r="B3089" s="3" t="s">
        <v>4468</v>
      </c>
    </row>
    <row r="3090" spans="1:2" ht="112" hidden="1" customHeight="1" x14ac:dyDescent="0.25">
      <c r="A3090" t="s">
        <v>2831</v>
      </c>
      <c r="B3090" s="3" t="s">
        <v>4469</v>
      </c>
    </row>
    <row r="3091" spans="1:2" ht="112" hidden="1" customHeight="1" x14ac:dyDescent="0.25">
      <c r="A3091" t="s">
        <v>2832</v>
      </c>
      <c r="B3091" s="3" t="s">
        <v>4470</v>
      </c>
    </row>
    <row r="3092" spans="1:2" ht="112" hidden="1" customHeight="1" x14ac:dyDescent="0.25">
      <c r="A3092" t="s">
        <v>2833</v>
      </c>
      <c r="B3092" s="3" t="s">
        <v>4471</v>
      </c>
    </row>
    <row r="3093" spans="1:2" ht="112" hidden="1" customHeight="1" x14ac:dyDescent="0.25">
      <c r="A3093" t="s">
        <v>2834</v>
      </c>
      <c r="B3093" s="3" t="s">
        <v>4472</v>
      </c>
    </row>
    <row r="3094" spans="1:2" ht="112" hidden="1" customHeight="1" x14ac:dyDescent="0.25">
      <c r="A3094" t="s">
        <v>2835</v>
      </c>
      <c r="B3094" s="3" t="s">
        <v>4473</v>
      </c>
    </row>
    <row r="3095" spans="1:2" ht="112" hidden="1" customHeight="1" x14ac:dyDescent="0.25">
      <c r="A3095" t="s">
        <v>2836</v>
      </c>
      <c r="B3095" s="3" t="s">
        <v>4474</v>
      </c>
    </row>
    <row r="3096" spans="1:2" ht="112" hidden="1" customHeight="1" x14ac:dyDescent="0.25">
      <c r="A3096" t="s">
        <v>7836</v>
      </c>
      <c r="B3096" s="3" t="s">
        <v>4475</v>
      </c>
    </row>
    <row r="3097" spans="1:2" ht="112" hidden="1" customHeight="1" x14ac:dyDescent="0.25">
      <c r="A3097" t="s">
        <v>2837</v>
      </c>
      <c r="B3097" s="3" t="s">
        <v>4476</v>
      </c>
    </row>
    <row r="3098" spans="1:2" ht="112" hidden="1" customHeight="1" x14ac:dyDescent="0.25">
      <c r="A3098" t="s">
        <v>7837</v>
      </c>
      <c r="B3098" s="3" t="s">
        <v>4477</v>
      </c>
    </row>
    <row r="3099" spans="1:2" ht="112" hidden="1" customHeight="1" x14ac:dyDescent="0.25">
      <c r="A3099" t="s">
        <v>7838</v>
      </c>
      <c r="B3099" s="3" t="s">
        <v>4478</v>
      </c>
    </row>
    <row r="3100" spans="1:2" ht="112" hidden="1" customHeight="1" x14ac:dyDescent="0.25">
      <c r="A3100" t="s">
        <v>2838</v>
      </c>
      <c r="B3100" s="3" t="s">
        <v>4479</v>
      </c>
    </row>
    <row r="3101" spans="1:2" ht="112" hidden="1" customHeight="1" x14ac:dyDescent="0.25">
      <c r="A3101" t="s">
        <v>7839</v>
      </c>
      <c r="B3101" s="3" t="s">
        <v>5219</v>
      </c>
    </row>
    <row r="3102" spans="1:2" ht="112" hidden="1" customHeight="1" x14ac:dyDescent="0.25">
      <c r="A3102" t="s">
        <v>2839</v>
      </c>
      <c r="B3102" s="3" t="s">
        <v>4480</v>
      </c>
    </row>
    <row r="3103" spans="1:2" ht="112" hidden="1" customHeight="1" x14ac:dyDescent="0.25">
      <c r="A3103" t="s">
        <v>2846</v>
      </c>
      <c r="B3103" s="3" t="s">
        <v>5825</v>
      </c>
    </row>
    <row r="3104" spans="1:2" ht="112" hidden="1" customHeight="1" x14ac:dyDescent="0.25">
      <c r="A3104" t="s">
        <v>2840</v>
      </c>
      <c r="B3104" s="3" t="s">
        <v>5826</v>
      </c>
    </row>
    <row r="3105" spans="1:2" ht="112" hidden="1" customHeight="1" x14ac:dyDescent="0.25">
      <c r="A3105" t="s">
        <v>2841</v>
      </c>
      <c r="B3105" s="3" t="s">
        <v>6446</v>
      </c>
    </row>
    <row r="3106" spans="1:2" ht="112" hidden="1" customHeight="1" x14ac:dyDescent="0.25">
      <c r="A3106" t="s">
        <v>2842</v>
      </c>
      <c r="B3106" s="3" t="s">
        <v>4481</v>
      </c>
    </row>
    <row r="3107" spans="1:2" ht="112" hidden="1" customHeight="1" x14ac:dyDescent="0.25">
      <c r="A3107" t="s">
        <v>2843</v>
      </c>
      <c r="B3107" s="3" t="s">
        <v>5827</v>
      </c>
    </row>
    <row r="3108" spans="1:2" ht="112" hidden="1" customHeight="1" x14ac:dyDescent="0.25">
      <c r="A3108" t="s">
        <v>2844</v>
      </c>
      <c r="B3108" s="3" t="s">
        <v>5828</v>
      </c>
    </row>
    <row r="3109" spans="1:2" ht="112" hidden="1" customHeight="1" x14ac:dyDescent="0.25">
      <c r="A3109" t="s">
        <v>2845</v>
      </c>
      <c r="B3109" s="3" t="s">
        <v>5829</v>
      </c>
    </row>
    <row r="3110" spans="1:2" ht="112" hidden="1" customHeight="1" x14ac:dyDescent="0.25">
      <c r="A3110" t="s">
        <v>2847</v>
      </c>
      <c r="B3110" s="3" t="s">
        <v>6132</v>
      </c>
    </row>
    <row r="3111" spans="1:2" ht="112" hidden="1" customHeight="1" x14ac:dyDescent="0.25">
      <c r="A3111" t="s">
        <v>2848</v>
      </c>
      <c r="B3111" s="3" t="s">
        <v>4482</v>
      </c>
    </row>
    <row r="3112" spans="1:2" ht="112" hidden="1" customHeight="1" x14ac:dyDescent="0.25">
      <c r="A3112" t="s">
        <v>2849</v>
      </c>
      <c r="B3112" s="3" t="s">
        <v>4483</v>
      </c>
    </row>
    <row r="3113" spans="1:2" ht="112" hidden="1" customHeight="1" x14ac:dyDescent="0.25">
      <c r="A3113" t="s">
        <v>2850</v>
      </c>
      <c r="B3113" s="3" t="s">
        <v>4484</v>
      </c>
    </row>
    <row r="3114" spans="1:2" ht="112" hidden="1" customHeight="1" x14ac:dyDescent="0.25">
      <c r="A3114" t="s">
        <v>2851</v>
      </c>
      <c r="B3114" s="3" t="s">
        <v>4485</v>
      </c>
    </row>
    <row r="3115" spans="1:2" ht="112" hidden="1" customHeight="1" x14ac:dyDescent="0.25">
      <c r="A3115" t="s">
        <v>2852</v>
      </c>
      <c r="B3115" s="3" t="s">
        <v>4486</v>
      </c>
    </row>
    <row r="3116" spans="1:2" ht="112" hidden="1" customHeight="1" x14ac:dyDescent="0.25">
      <c r="A3116" t="s">
        <v>2853</v>
      </c>
      <c r="B3116" s="3" t="s">
        <v>4487</v>
      </c>
    </row>
    <row r="3117" spans="1:2" ht="112" hidden="1" customHeight="1" x14ac:dyDescent="0.25">
      <c r="A3117" t="s">
        <v>2854</v>
      </c>
      <c r="B3117" s="3" t="s">
        <v>4488</v>
      </c>
    </row>
    <row r="3118" spans="1:2" ht="112" hidden="1" customHeight="1" x14ac:dyDescent="0.25">
      <c r="A3118" t="s">
        <v>2855</v>
      </c>
      <c r="B3118" s="3" t="s">
        <v>4489</v>
      </c>
    </row>
    <row r="3119" spans="1:2" ht="112" hidden="1" customHeight="1" x14ac:dyDescent="0.25">
      <c r="A3119" t="s">
        <v>7840</v>
      </c>
      <c r="B3119" s="3" t="s">
        <v>9661</v>
      </c>
    </row>
    <row r="3120" spans="1:2" ht="112" hidden="1" customHeight="1" x14ac:dyDescent="0.25">
      <c r="A3120" t="s">
        <v>7841</v>
      </c>
      <c r="B3120" s="3" t="s">
        <v>4490</v>
      </c>
    </row>
    <row r="3121" spans="1:2" ht="112" hidden="1" customHeight="1" x14ac:dyDescent="0.25">
      <c r="A3121" t="s">
        <v>2856</v>
      </c>
      <c r="B3121" s="3" t="s">
        <v>5220</v>
      </c>
    </row>
    <row r="3122" spans="1:2" ht="112" hidden="1" customHeight="1" x14ac:dyDescent="0.25">
      <c r="A3122" t="s">
        <v>2857</v>
      </c>
      <c r="B3122" s="3" t="s">
        <v>9344</v>
      </c>
    </row>
    <row r="3123" spans="1:2" ht="112" hidden="1" customHeight="1" x14ac:dyDescent="0.25">
      <c r="A3123" t="s">
        <v>2858</v>
      </c>
      <c r="B3123" s="3" t="s">
        <v>5221</v>
      </c>
    </row>
    <row r="3124" spans="1:2" ht="112" hidden="1" customHeight="1" x14ac:dyDescent="0.25">
      <c r="A3124" t="s">
        <v>2859</v>
      </c>
      <c r="B3124" s="3" t="s">
        <v>5222</v>
      </c>
    </row>
    <row r="3125" spans="1:2" ht="112" hidden="1" customHeight="1" x14ac:dyDescent="0.25">
      <c r="A3125" t="s">
        <v>2860</v>
      </c>
      <c r="B3125" s="3" t="s">
        <v>4491</v>
      </c>
    </row>
    <row r="3126" spans="1:2" ht="112" hidden="1" customHeight="1" x14ac:dyDescent="0.25">
      <c r="A3126" t="s">
        <v>2861</v>
      </c>
      <c r="B3126" s="3" t="s">
        <v>4492</v>
      </c>
    </row>
    <row r="3127" spans="1:2" ht="112" hidden="1" customHeight="1" x14ac:dyDescent="0.25">
      <c r="A3127" t="s">
        <v>2862</v>
      </c>
      <c r="B3127" s="3" t="s">
        <v>4493</v>
      </c>
    </row>
    <row r="3128" spans="1:2" ht="112" hidden="1" customHeight="1" x14ac:dyDescent="0.25">
      <c r="A3128" t="s">
        <v>2863</v>
      </c>
      <c r="B3128" s="3" t="s">
        <v>4494</v>
      </c>
    </row>
    <row r="3129" spans="1:2" ht="112" hidden="1" customHeight="1" x14ac:dyDescent="0.25">
      <c r="A3129" t="s">
        <v>2864</v>
      </c>
      <c r="B3129" s="3" t="s">
        <v>4495</v>
      </c>
    </row>
    <row r="3130" spans="1:2" ht="112" hidden="1" customHeight="1" x14ac:dyDescent="0.25">
      <c r="A3130" t="s">
        <v>2865</v>
      </c>
      <c r="B3130" s="3" t="s">
        <v>5223</v>
      </c>
    </row>
    <row r="3131" spans="1:2" ht="112" hidden="1" customHeight="1" x14ac:dyDescent="0.25">
      <c r="A3131" t="s">
        <v>2866</v>
      </c>
      <c r="B3131" s="3" t="s">
        <v>4496</v>
      </c>
    </row>
    <row r="3132" spans="1:2" ht="112" hidden="1" customHeight="1" x14ac:dyDescent="0.25">
      <c r="A3132" t="s">
        <v>2867</v>
      </c>
      <c r="B3132" s="3" t="s">
        <v>9660</v>
      </c>
    </row>
    <row r="3133" spans="1:2" ht="112" hidden="1" customHeight="1" x14ac:dyDescent="0.25">
      <c r="A3133" t="s">
        <v>2868</v>
      </c>
      <c r="B3133" s="3" t="s">
        <v>5224</v>
      </c>
    </row>
    <row r="3134" spans="1:2" ht="112" hidden="1" customHeight="1" x14ac:dyDescent="0.25">
      <c r="A3134" t="s">
        <v>2869</v>
      </c>
      <c r="B3134" s="3" t="s">
        <v>4497</v>
      </c>
    </row>
    <row r="3135" spans="1:2" ht="112" hidden="1" customHeight="1" x14ac:dyDescent="0.25">
      <c r="A3135" t="s">
        <v>2870</v>
      </c>
      <c r="B3135" s="3" t="s">
        <v>4498</v>
      </c>
    </row>
    <row r="3136" spans="1:2" ht="112" hidden="1" customHeight="1" x14ac:dyDescent="0.25">
      <c r="A3136" t="s">
        <v>2871</v>
      </c>
      <c r="B3136" s="3" t="s">
        <v>4499</v>
      </c>
    </row>
    <row r="3137" spans="1:2" ht="112" hidden="1" customHeight="1" x14ac:dyDescent="0.25">
      <c r="A3137" t="s">
        <v>2872</v>
      </c>
      <c r="B3137" s="3" t="s">
        <v>5830</v>
      </c>
    </row>
    <row r="3138" spans="1:2" ht="112" hidden="1" customHeight="1" x14ac:dyDescent="0.25">
      <c r="A3138" t="s">
        <v>2873</v>
      </c>
      <c r="B3138" s="3" t="s">
        <v>4500</v>
      </c>
    </row>
    <row r="3139" spans="1:2" ht="112" hidden="1" customHeight="1" x14ac:dyDescent="0.25">
      <c r="A3139" t="s">
        <v>2874</v>
      </c>
      <c r="B3139" s="3" t="s">
        <v>6133</v>
      </c>
    </row>
    <row r="3140" spans="1:2" ht="112" hidden="1" customHeight="1" x14ac:dyDescent="0.25">
      <c r="A3140" t="s">
        <v>2875</v>
      </c>
      <c r="B3140" s="3" t="s">
        <v>6134</v>
      </c>
    </row>
    <row r="3141" spans="1:2" ht="112" hidden="1" customHeight="1" x14ac:dyDescent="0.25">
      <c r="A3141" t="s">
        <v>2876</v>
      </c>
      <c r="B3141" s="3" t="s">
        <v>4501</v>
      </c>
    </row>
    <row r="3142" spans="1:2" ht="112" hidden="1" customHeight="1" x14ac:dyDescent="0.25">
      <c r="A3142" t="s">
        <v>2877</v>
      </c>
      <c r="B3142" s="3" t="s">
        <v>4502</v>
      </c>
    </row>
    <row r="3143" spans="1:2" ht="112" hidden="1" customHeight="1" x14ac:dyDescent="0.25">
      <c r="A3143" t="s">
        <v>2878</v>
      </c>
      <c r="B3143" s="3" t="s">
        <v>4503</v>
      </c>
    </row>
    <row r="3144" spans="1:2" ht="112" hidden="1" customHeight="1" x14ac:dyDescent="0.25">
      <c r="A3144" t="s">
        <v>2879</v>
      </c>
      <c r="B3144" s="3" t="s">
        <v>6447</v>
      </c>
    </row>
    <row r="3145" spans="1:2" ht="112" hidden="1" customHeight="1" x14ac:dyDescent="0.25">
      <c r="A3145" t="s">
        <v>2880</v>
      </c>
      <c r="B3145" s="3" t="s">
        <v>6448</v>
      </c>
    </row>
    <row r="3146" spans="1:2" ht="112" hidden="1" customHeight="1" x14ac:dyDescent="0.25">
      <c r="A3146" t="s">
        <v>2881</v>
      </c>
      <c r="B3146" s="3" t="s">
        <v>6449</v>
      </c>
    </row>
    <row r="3147" spans="1:2" ht="112" hidden="1" customHeight="1" x14ac:dyDescent="0.25">
      <c r="A3147" t="s">
        <v>2882</v>
      </c>
      <c r="B3147" s="3" t="s">
        <v>5477</v>
      </c>
    </row>
    <row r="3148" spans="1:2" ht="112" hidden="1" customHeight="1" x14ac:dyDescent="0.25">
      <c r="A3148" t="s">
        <v>2883</v>
      </c>
      <c r="B3148" s="3" t="s">
        <v>5478</v>
      </c>
    </row>
    <row r="3149" spans="1:2" ht="112" hidden="1" customHeight="1" x14ac:dyDescent="0.25">
      <c r="A3149" t="s">
        <v>2884</v>
      </c>
      <c r="B3149" s="3" t="s">
        <v>5479</v>
      </c>
    </row>
    <row r="3150" spans="1:2" ht="112" hidden="1" customHeight="1" x14ac:dyDescent="0.25">
      <c r="A3150" t="s">
        <v>2885</v>
      </c>
      <c r="B3150" s="3" t="s">
        <v>5480</v>
      </c>
    </row>
    <row r="3151" spans="1:2" ht="112" hidden="1" customHeight="1" x14ac:dyDescent="0.25">
      <c r="A3151" t="s">
        <v>2886</v>
      </c>
      <c r="B3151" s="3" t="s">
        <v>5481</v>
      </c>
    </row>
    <row r="3152" spans="1:2" ht="112" hidden="1" customHeight="1" x14ac:dyDescent="0.25">
      <c r="A3152" t="s">
        <v>2887</v>
      </c>
      <c r="B3152" s="3" t="s">
        <v>5831</v>
      </c>
    </row>
    <row r="3153" spans="1:2" ht="112" hidden="1" customHeight="1" x14ac:dyDescent="0.25">
      <c r="A3153" t="s">
        <v>2888</v>
      </c>
      <c r="B3153" s="3" t="s">
        <v>5832</v>
      </c>
    </row>
    <row r="3154" spans="1:2" ht="112" hidden="1" customHeight="1" x14ac:dyDescent="0.25">
      <c r="A3154" t="s">
        <v>2889</v>
      </c>
      <c r="B3154" s="3" t="s">
        <v>6469</v>
      </c>
    </row>
    <row r="3155" spans="1:2" ht="112" hidden="1" customHeight="1" x14ac:dyDescent="0.25">
      <c r="A3155" t="s">
        <v>2890</v>
      </c>
      <c r="B3155" s="3" t="s">
        <v>5225</v>
      </c>
    </row>
    <row r="3156" spans="1:2" ht="112" hidden="1" customHeight="1" x14ac:dyDescent="0.25">
      <c r="A3156" t="s">
        <v>2891</v>
      </c>
      <c r="B3156" s="3" t="s">
        <v>5226</v>
      </c>
    </row>
    <row r="3157" spans="1:2" ht="112" hidden="1" customHeight="1" x14ac:dyDescent="0.25">
      <c r="A3157" t="s">
        <v>2892</v>
      </c>
      <c r="B3157" s="3" t="s">
        <v>5227</v>
      </c>
    </row>
    <row r="3158" spans="1:2" ht="112" hidden="1" customHeight="1" x14ac:dyDescent="0.25">
      <c r="A3158" t="s">
        <v>2893</v>
      </c>
      <c r="B3158" s="3" t="s">
        <v>5228</v>
      </c>
    </row>
    <row r="3159" spans="1:2" ht="112" hidden="1" customHeight="1" x14ac:dyDescent="0.25">
      <c r="A3159" t="s">
        <v>2894</v>
      </c>
      <c r="B3159" s="3" t="s">
        <v>5229</v>
      </c>
    </row>
    <row r="3160" spans="1:2" ht="112" hidden="1" customHeight="1" x14ac:dyDescent="0.25">
      <c r="A3160" t="s">
        <v>2895</v>
      </c>
      <c r="B3160" s="3" t="s">
        <v>4504</v>
      </c>
    </row>
    <row r="3161" spans="1:2" ht="112" hidden="1" customHeight="1" x14ac:dyDescent="0.25">
      <c r="A3161" t="s">
        <v>2896</v>
      </c>
      <c r="B3161" s="3" t="s">
        <v>4505</v>
      </c>
    </row>
    <row r="3162" spans="1:2" ht="112" hidden="1" customHeight="1" x14ac:dyDescent="0.25">
      <c r="A3162" t="s">
        <v>2897</v>
      </c>
      <c r="B3162" s="3" t="s">
        <v>4506</v>
      </c>
    </row>
    <row r="3163" spans="1:2" ht="112" hidden="1" customHeight="1" x14ac:dyDescent="0.25">
      <c r="A3163" t="s">
        <v>2898</v>
      </c>
      <c r="B3163" s="3" t="s">
        <v>4507</v>
      </c>
    </row>
    <row r="3164" spans="1:2" ht="112" hidden="1" customHeight="1" x14ac:dyDescent="0.25">
      <c r="A3164" t="s">
        <v>2899</v>
      </c>
      <c r="B3164" s="3" t="s">
        <v>4508</v>
      </c>
    </row>
    <row r="3165" spans="1:2" ht="112" hidden="1" customHeight="1" x14ac:dyDescent="0.25">
      <c r="A3165" t="s">
        <v>2900</v>
      </c>
      <c r="B3165" s="3" t="s">
        <v>4509</v>
      </c>
    </row>
    <row r="3166" spans="1:2" ht="112" hidden="1" customHeight="1" x14ac:dyDescent="0.25">
      <c r="A3166" t="s">
        <v>2901</v>
      </c>
      <c r="B3166" s="3" t="s">
        <v>4510</v>
      </c>
    </row>
    <row r="3167" spans="1:2" ht="112" hidden="1" customHeight="1" x14ac:dyDescent="0.25">
      <c r="A3167" t="s">
        <v>2902</v>
      </c>
      <c r="B3167" s="3" t="s">
        <v>4511</v>
      </c>
    </row>
    <row r="3168" spans="1:2" ht="112" hidden="1" customHeight="1" x14ac:dyDescent="0.25">
      <c r="A3168" t="s">
        <v>2903</v>
      </c>
      <c r="B3168" s="3" t="s">
        <v>4512</v>
      </c>
    </row>
    <row r="3169" spans="1:2" ht="112" hidden="1" customHeight="1" x14ac:dyDescent="0.25">
      <c r="A3169" t="s">
        <v>2904</v>
      </c>
      <c r="B3169" s="3" t="s">
        <v>4513</v>
      </c>
    </row>
    <row r="3170" spans="1:2" ht="112" hidden="1" customHeight="1" x14ac:dyDescent="0.25">
      <c r="A3170" t="s">
        <v>2905</v>
      </c>
      <c r="B3170" s="3" t="s">
        <v>4514</v>
      </c>
    </row>
    <row r="3171" spans="1:2" ht="112" hidden="1" customHeight="1" x14ac:dyDescent="0.25">
      <c r="A3171" t="s">
        <v>2906</v>
      </c>
      <c r="B3171" s="3" t="s">
        <v>4515</v>
      </c>
    </row>
    <row r="3172" spans="1:2" ht="112" hidden="1" customHeight="1" x14ac:dyDescent="0.25">
      <c r="A3172" t="s">
        <v>2907</v>
      </c>
      <c r="B3172" s="3" t="s">
        <v>4516</v>
      </c>
    </row>
    <row r="3173" spans="1:2" ht="112" hidden="1" customHeight="1" x14ac:dyDescent="0.25">
      <c r="A3173" t="s">
        <v>2908</v>
      </c>
      <c r="B3173" s="3" t="s">
        <v>4517</v>
      </c>
    </row>
    <row r="3174" spans="1:2" ht="112" hidden="1" customHeight="1" x14ac:dyDescent="0.25">
      <c r="A3174" t="s">
        <v>2909</v>
      </c>
      <c r="B3174" s="3" t="s">
        <v>4518</v>
      </c>
    </row>
    <row r="3175" spans="1:2" ht="112" hidden="1" customHeight="1" x14ac:dyDescent="0.25">
      <c r="A3175" t="s">
        <v>2910</v>
      </c>
      <c r="B3175" s="3" t="s">
        <v>4519</v>
      </c>
    </row>
    <row r="3176" spans="1:2" ht="112" hidden="1" customHeight="1" x14ac:dyDescent="0.25">
      <c r="A3176" t="s">
        <v>2911</v>
      </c>
      <c r="B3176" s="3" t="s">
        <v>4520</v>
      </c>
    </row>
    <row r="3177" spans="1:2" ht="112" hidden="1" customHeight="1" x14ac:dyDescent="0.25">
      <c r="A3177" t="s">
        <v>2912</v>
      </c>
      <c r="B3177" s="3" t="s">
        <v>4521</v>
      </c>
    </row>
    <row r="3178" spans="1:2" ht="112" hidden="1" customHeight="1" x14ac:dyDescent="0.25">
      <c r="A3178" t="s">
        <v>2913</v>
      </c>
      <c r="B3178" s="3" t="s">
        <v>4522</v>
      </c>
    </row>
    <row r="3179" spans="1:2" ht="112" hidden="1" customHeight="1" x14ac:dyDescent="0.25">
      <c r="A3179" t="s">
        <v>2914</v>
      </c>
      <c r="B3179" s="3" t="s">
        <v>4523</v>
      </c>
    </row>
    <row r="3180" spans="1:2" ht="112" hidden="1" customHeight="1" x14ac:dyDescent="0.25">
      <c r="A3180" t="s">
        <v>2915</v>
      </c>
      <c r="B3180" s="3" t="s">
        <v>4524</v>
      </c>
    </row>
    <row r="3181" spans="1:2" ht="112" hidden="1" customHeight="1" x14ac:dyDescent="0.25">
      <c r="A3181" t="s">
        <v>2916</v>
      </c>
      <c r="B3181" s="3" t="s">
        <v>4525</v>
      </c>
    </row>
    <row r="3182" spans="1:2" ht="112" hidden="1" customHeight="1" x14ac:dyDescent="0.25">
      <c r="A3182" t="s">
        <v>2917</v>
      </c>
      <c r="B3182" s="3" t="s">
        <v>4526</v>
      </c>
    </row>
    <row r="3183" spans="1:2" ht="112" hidden="1" customHeight="1" x14ac:dyDescent="0.25">
      <c r="A3183" t="s">
        <v>2918</v>
      </c>
      <c r="B3183" s="3" t="s">
        <v>4527</v>
      </c>
    </row>
    <row r="3184" spans="1:2" ht="112" hidden="1" customHeight="1" x14ac:dyDescent="0.25">
      <c r="A3184" t="s">
        <v>2919</v>
      </c>
      <c r="B3184" s="3" t="s">
        <v>5482</v>
      </c>
    </row>
    <row r="3185" spans="1:2" ht="112" hidden="1" customHeight="1" x14ac:dyDescent="0.25">
      <c r="A3185" t="s">
        <v>2920</v>
      </c>
      <c r="B3185" s="3" t="s">
        <v>4528</v>
      </c>
    </row>
    <row r="3186" spans="1:2" ht="112" hidden="1" customHeight="1" x14ac:dyDescent="0.25">
      <c r="A3186" t="s">
        <v>2921</v>
      </c>
      <c r="B3186" s="3" t="s">
        <v>4529</v>
      </c>
    </row>
    <row r="3187" spans="1:2" ht="112" hidden="1" customHeight="1" x14ac:dyDescent="0.25">
      <c r="A3187" t="s">
        <v>2922</v>
      </c>
      <c r="B3187" s="3" t="s">
        <v>4530</v>
      </c>
    </row>
    <row r="3188" spans="1:2" ht="112" hidden="1" customHeight="1" x14ac:dyDescent="0.25">
      <c r="A3188" t="s">
        <v>2923</v>
      </c>
      <c r="B3188" s="3" t="s">
        <v>4531</v>
      </c>
    </row>
    <row r="3189" spans="1:2" ht="112" hidden="1" customHeight="1" x14ac:dyDescent="0.25">
      <c r="A3189" t="s">
        <v>2924</v>
      </c>
      <c r="B3189" s="3" t="s">
        <v>4532</v>
      </c>
    </row>
    <row r="3190" spans="1:2" ht="112" hidden="1" customHeight="1" x14ac:dyDescent="0.25">
      <c r="A3190" t="s">
        <v>2925</v>
      </c>
      <c r="B3190" s="3" t="s">
        <v>4533</v>
      </c>
    </row>
    <row r="3191" spans="1:2" ht="112" hidden="1" customHeight="1" x14ac:dyDescent="0.25">
      <c r="A3191" t="s">
        <v>2926</v>
      </c>
      <c r="B3191" s="3" t="s">
        <v>4534</v>
      </c>
    </row>
    <row r="3192" spans="1:2" ht="112" hidden="1" customHeight="1" x14ac:dyDescent="0.25">
      <c r="A3192" t="s">
        <v>2927</v>
      </c>
      <c r="B3192" s="3" t="s">
        <v>4535</v>
      </c>
    </row>
    <row r="3193" spans="1:2" ht="112" hidden="1" customHeight="1" x14ac:dyDescent="0.25">
      <c r="A3193" t="s">
        <v>2928</v>
      </c>
      <c r="B3193" s="3" t="s">
        <v>4536</v>
      </c>
    </row>
    <row r="3194" spans="1:2" ht="112" hidden="1" customHeight="1" x14ac:dyDescent="0.25">
      <c r="A3194" t="s">
        <v>2929</v>
      </c>
      <c r="B3194" s="3" t="s">
        <v>4537</v>
      </c>
    </row>
    <row r="3195" spans="1:2" ht="112" hidden="1" customHeight="1" x14ac:dyDescent="0.25">
      <c r="A3195" t="s">
        <v>2930</v>
      </c>
      <c r="B3195" s="3" t="s">
        <v>4538</v>
      </c>
    </row>
    <row r="3196" spans="1:2" ht="112" hidden="1" customHeight="1" x14ac:dyDescent="0.25">
      <c r="A3196" t="s">
        <v>2931</v>
      </c>
      <c r="B3196" s="3" t="s">
        <v>4539</v>
      </c>
    </row>
    <row r="3197" spans="1:2" ht="112" hidden="1" customHeight="1" x14ac:dyDescent="0.25">
      <c r="A3197" t="s">
        <v>2932</v>
      </c>
      <c r="B3197" s="3" t="s">
        <v>4540</v>
      </c>
    </row>
    <row r="3198" spans="1:2" ht="112" hidden="1" customHeight="1" x14ac:dyDescent="0.25">
      <c r="A3198" t="s">
        <v>2933</v>
      </c>
      <c r="B3198" s="3" t="s">
        <v>4541</v>
      </c>
    </row>
    <row r="3199" spans="1:2" ht="112" hidden="1" customHeight="1" x14ac:dyDescent="0.25">
      <c r="A3199" t="s">
        <v>2934</v>
      </c>
      <c r="B3199" s="3" t="s">
        <v>4542</v>
      </c>
    </row>
    <row r="3200" spans="1:2" ht="112" hidden="1" customHeight="1" x14ac:dyDescent="0.25">
      <c r="A3200" t="s">
        <v>2935</v>
      </c>
      <c r="B3200" s="3" t="s">
        <v>4543</v>
      </c>
    </row>
    <row r="3201" spans="1:2" ht="112" hidden="1" customHeight="1" x14ac:dyDescent="0.25">
      <c r="A3201" t="s">
        <v>2936</v>
      </c>
      <c r="B3201" s="3" t="s">
        <v>4544</v>
      </c>
    </row>
    <row r="3202" spans="1:2" ht="112" hidden="1" customHeight="1" x14ac:dyDescent="0.25">
      <c r="A3202" t="s">
        <v>2937</v>
      </c>
      <c r="B3202" s="3" t="s">
        <v>4545</v>
      </c>
    </row>
    <row r="3203" spans="1:2" ht="112" hidden="1" customHeight="1" x14ac:dyDescent="0.25">
      <c r="A3203" t="s">
        <v>2938</v>
      </c>
      <c r="B3203" s="3" t="s">
        <v>4546</v>
      </c>
    </row>
    <row r="3204" spans="1:2" ht="112" hidden="1" customHeight="1" x14ac:dyDescent="0.25">
      <c r="A3204" t="s">
        <v>2939</v>
      </c>
      <c r="B3204" s="3" t="s">
        <v>4547</v>
      </c>
    </row>
    <row r="3205" spans="1:2" ht="112" hidden="1" customHeight="1" x14ac:dyDescent="0.25">
      <c r="A3205" t="s">
        <v>2940</v>
      </c>
      <c r="B3205" s="3" t="s">
        <v>4548</v>
      </c>
    </row>
    <row r="3206" spans="1:2" ht="112" hidden="1" customHeight="1" x14ac:dyDescent="0.25">
      <c r="A3206" t="s">
        <v>2941</v>
      </c>
      <c r="B3206" s="3" t="s">
        <v>4549</v>
      </c>
    </row>
    <row r="3207" spans="1:2" ht="112" hidden="1" customHeight="1" x14ac:dyDescent="0.25">
      <c r="A3207" t="s">
        <v>2942</v>
      </c>
      <c r="B3207" s="3" t="s">
        <v>4550</v>
      </c>
    </row>
    <row r="3208" spans="1:2" ht="112" hidden="1" customHeight="1" x14ac:dyDescent="0.25">
      <c r="A3208" t="s">
        <v>2943</v>
      </c>
      <c r="B3208" s="3" t="s">
        <v>4551</v>
      </c>
    </row>
    <row r="3209" spans="1:2" ht="112" hidden="1" customHeight="1" x14ac:dyDescent="0.25">
      <c r="A3209" t="s">
        <v>2944</v>
      </c>
      <c r="B3209" s="3" t="s">
        <v>4552</v>
      </c>
    </row>
    <row r="3210" spans="1:2" ht="112" hidden="1" customHeight="1" x14ac:dyDescent="0.25">
      <c r="A3210" t="s">
        <v>2945</v>
      </c>
      <c r="B3210" s="3" t="s">
        <v>4553</v>
      </c>
    </row>
    <row r="3211" spans="1:2" ht="112" hidden="1" customHeight="1" x14ac:dyDescent="0.25">
      <c r="A3211" t="s">
        <v>2946</v>
      </c>
      <c r="B3211" s="3" t="s">
        <v>4554</v>
      </c>
    </row>
    <row r="3212" spans="1:2" ht="112" hidden="1" customHeight="1" x14ac:dyDescent="0.25">
      <c r="A3212" t="s">
        <v>2947</v>
      </c>
      <c r="B3212" s="3" t="s">
        <v>4555</v>
      </c>
    </row>
    <row r="3213" spans="1:2" ht="112" hidden="1" customHeight="1" x14ac:dyDescent="0.25">
      <c r="A3213" t="s">
        <v>2948</v>
      </c>
      <c r="B3213" s="3" t="s">
        <v>4556</v>
      </c>
    </row>
    <row r="3214" spans="1:2" ht="112" hidden="1" customHeight="1" x14ac:dyDescent="0.25">
      <c r="A3214" t="s">
        <v>2949</v>
      </c>
      <c r="B3214" s="3" t="s">
        <v>4557</v>
      </c>
    </row>
    <row r="3215" spans="1:2" ht="112" hidden="1" customHeight="1" x14ac:dyDescent="0.25">
      <c r="A3215" t="s">
        <v>2950</v>
      </c>
      <c r="B3215" s="3" t="s">
        <v>4558</v>
      </c>
    </row>
    <row r="3216" spans="1:2" ht="112" hidden="1" customHeight="1" x14ac:dyDescent="0.25">
      <c r="A3216" t="s">
        <v>2951</v>
      </c>
      <c r="B3216" s="3" t="s">
        <v>4559</v>
      </c>
    </row>
    <row r="3217" spans="1:2" ht="112" hidden="1" customHeight="1" x14ac:dyDescent="0.25">
      <c r="A3217" t="s">
        <v>2952</v>
      </c>
      <c r="B3217" s="3" t="s">
        <v>5307</v>
      </c>
    </row>
    <row r="3218" spans="1:2" ht="112" hidden="1" customHeight="1" x14ac:dyDescent="0.25">
      <c r="A3218" t="s">
        <v>2953</v>
      </c>
      <c r="B3218" s="3" t="s">
        <v>4560</v>
      </c>
    </row>
    <row r="3219" spans="1:2" ht="112" hidden="1" customHeight="1" x14ac:dyDescent="0.25">
      <c r="A3219" t="s">
        <v>2954</v>
      </c>
      <c r="B3219" s="3" t="s">
        <v>4561</v>
      </c>
    </row>
    <row r="3220" spans="1:2" ht="112" hidden="1" customHeight="1" x14ac:dyDescent="0.25">
      <c r="A3220" t="s">
        <v>2955</v>
      </c>
      <c r="B3220" s="3" t="s">
        <v>4562</v>
      </c>
    </row>
    <row r="3221" spans="1:2" ht="112" hidden="1" customHeight="1" x14ac:dyDescent="0.25">
      <c r="A3221" t="s">
        <v>2956</v>
      </c>
      <c r="B3221" s="3" t="s">
        <v>4563</v>
      </c>
    </row>
    <row r="3222" spans="1:2" ht="112" hidden="1" customHeight="1" x14ac:dyDescent="0.25">
      <c r="A3222" t="s">
        <v>2957</v>
      </c>
      <c r="B3222" s="3" t="s">
        <v>4564</v>
      </c>
    </row>
    <row r="3223" spans="1:2" ht="112" hidden="1" customHeight="1" x14ac:dyDescent="0.25">
      <c r="A3223" t="s">
        <v>2958</v>
      </c>
      <c r="B3223" s="3" t="s">
        <v>4565</v>
      </c>
    </row>
    <row r="3224" spans="1:2" ht="112" hidden="1" customHeight="1" x14ac:dyDescent="0.25">
      <c r="A3224" t="s">
        <v>2959</v>
      </c>
      <c r="B3224" s="3" t="s">
        <v>4566</v>
      </c>
    </row>
    <row r="3225" spans="1:2" ht="112" hidden="1" customHeight="1" x14ac:dyDescent="0.25">
      <c r="A3225" t="s">
        <v>2960</v>
      </c>
      <c r="B3225" s="3" t="s">
        <v>4567</v>
      </c>
    </row>
    <row r="3226" spans="1:2" ht="112" hidden="1" customHeight="1" x14ac:dyDescent="0.25">
      <c r="A3226" t="s">
        <v>2961</v>
      </c>
      <c r="B3226" s="3" t="s">
        <v>4568</v>
      </c>
    </row>
    <row r="3227" spans="1:2" ht="112" hidden="1" customHeight="1" x14ac:dyDescent="0.25">
      <c r="A3227" t="s">
        <v>2962</v>
      </c>
      <c r="B3227" s="3" t="s">
        <v>4569</v>
      </c>
    </row>
    <row r="3228" spans="1:2" ht="112" hidden="1" customHeight="1" x14ac:dyDescent="0.25">
      <c r="A3228" t="s">
        <v>2963</v>
      </c>
      <c r="B3228" s="3" t="s">
        <v>4570</v>
      </c>
    </row>
    <row r="3229" spans="1:2" ht="112" hidden="1" customHeight="1" x14ac:dyDescent="0.25">
      <c r="A3229" t="s">
        <v>2964</v>
      </c>
      <c r="B3229" s="3" t="s">
        <v>4571</v>
      </c>
    </row>
    <row r="3230" spans="1:2" ht="112" hidden="1" customHeight="1" x14ac:dyDescent="0.25">
      <c r="A3230" t="s">
        <v>2965</v>
      </c>
      <c r="B3230" s="3" t="s">
        <v>4572</v>
      </c>
    </row>
    <row r="3231" spans="1:2" ht="112" hidden="1" customHeight="1" x14ac:dyDescent="0.25">
      <c r="A3231" t="s">
        <v>2966</v>
      </c>
      <c r="B3231" s="3" t="s">
        <v>4573</v>
      </c>
    </row>
    <row r="3232" spans="1:2" ht="112" hidden="1" customHeight="1" x14ac:dyDescent="0.25">
      <c r="A3232" t="s">
        <v>2967</v>
      </c>
      <c r="B3232" s="3" t="s">
        <v>4574</v>
      </c>
    </row>
    <row r="3233" spans="1:2" ht="112" hidden="1" customHeight="1" x14ac:dyDescent="0.25">
      <c r="A3233" t="s">
        <v>2968</v>
      </c>
      <c r="B3233" s="3" t="s">
        <v>4575</v>
      </c>
    </row>
    <row r="3234" spans="1:2" ht="112" hidden="1" customHeight="1" x14ac:dyDescent="0.25">
      <c r="A3234" t="s">
        <v>2969</v>
      </c>
      <c r="B3234" s="3" t="s">
        <v>4576</v>
      </c>
    </row>
    <row r="3235" spans="1:2" ht="112" hidden="1" customHeight="1" x14ac:dyDescent="0.25">
      <c r="A3235" t="s">
        <v>2970</v>
      </c>
      <c r="B3235" s="3" t="s">
        <v>4577</v>
      </c>
    </row>
    <row r="3236" spans="1:2" ht="112" hidden="1" customHeight="1" x14ac:dyDescent="0.25">
      <c r="A3236" t="s">
        <v>2971</v>
      </c>
      <c r="B3236" s="3" t="s">
        <v>4578</v>
      </c>
    </row>
    <row r="3237" spans="1:2" ht="112" hidden="1" customHeight="1" x14ac:dyDescent="0.25">
      <c r="A3237" t="s">
        <v>2972</v>
      </c>
      <c r="B3237" s="3" t="s">
        <v>4579</v>
      </c>
    </row>
    <row r="3238" spans="1:2" ht="112" hidden="1" customHeight="1" x14ac:dyDescent="0.25">
      <c r="A3238" t="s">
        <v>2973</v>
      </c>
      <c r="B3238" s="3" t="s">
        <v>4580</v>
      </c>
    </row>
    <row r="3239" spans="1:2" ht="112" hidden="1" customHeight="1" x14ac:dyDescent="0.25">
      <c r="A3239" t="s">
        <v>2974</v>
      </c>
      <c r="B3239" s="3" t="s">
        <v>4581</v>
      </c>
    </row>
    <row r="3240" spans="1:2" ht="112" hidden="1" customHeight="1" x14ac:dyDescent="0.25">
      <c r="A3240" t="s">
        <v>2975</v>
      </c>
      <c r="B3240" s="3" t="s">
        <v>4582</v>
      </c>
    </row>
    <row r="3241" spans="1:2" ht="112" hidden="1" customHeight="1" x14ac:dyDescent="0.25">
      <c r="A3241" t="s">
        <v>2976</v>
      </c>
      <c r="B3241" s="3" t="s">
        <v>4583</v>
      </c>
    </row>
    <row r="3242" spans="1:2" ht="112" hidden="1" customHeight="1" x14ac:dyDescent="0.25">
      <c r="A3242" t="s">
        <v>2977</v>
      </c>
      <c r="B3242" s="3" t="s">
        <v>4584</v>
      </c>
    </row>
    <row r="3243" spans="1:2" ht="112" hidden="1" customHeight="1" x14ac:dyDescent="0.25">
      <c r="A3243" t="s">
        <v>2978</v>
      </c>
      <c r="B3243" s="3" t="s">
        <v>5483</v>
      </c>
    </row>
    <row r="3244" spans="1:2" ht="112" hidden="1" customHeight="1" x14ac:dyDescent="0.25">
      <c r="A3244" t="s">
        <v>2979</v>
      </c>
      <c r="B3244" s="3" t="s">
        <v>4585</v>
      </c>
    </row>
    <row r="3245" spans="1:2" ht="112" hidden="1" customHeight="1" x14ac:dyDescent="0.25">
      <c r="A3245" t="s">
        <v>2980</v>
      </c>
      <c r="B3245" s="3" t="s">
        <v>4586</v>
      </c>
    </row>
    <row r="3246" spans="1:2" ht="112" hidden="1" customHeight="1" x14ac:dyDescent="0.25">
      <c r="A3246" t="s">
        <v>2981</v>
      </c>
      <c r="B3246" s="3" t="s">
        <v>5634</v>
      </c>
    </row>
    <row r="3247" spans="1:2" ht="112" hidden="1" customHeight="1" x14ac:dyDescent="0.25">
      <c r="A3247" t="s">
        <v>2982</v>
      </c>
      <c r="B3247" s="3" t="s">
        <v>6514</v>
      </c>
    </row>
    <row r="3248" spans="1:2" ht="112" hidden="1" customHeight="1" x14ac:dyDescent="0.25">
      <c r="A3248" t="s">
        <v>2983</v>
      </c>
      <c r="B3248" s="3" t="s">
        <v>4587</v>
      </c>
    </row>
    <row r="3249" spans="1:2" ht="112" hidden="1" customHeight="1" x14ac:dyDescent="0.25">
      <c r="A3249" t="s">
        <v>2984</v>
      </c>
      <c r="B3249" s="3" t="s">
        <v>4588</v>
      </c>
    </row>
    <row r="3250" spans="1:2" ht="112" hidden="1" customHeight="1" x14ac:dyDescent="0.25">
      <c r="A3250" t="s">
        <v>2985</v>
      </c>
      <c r="B3250" s="3" t="s">
        <v>7519</v>
      </c>
    </row>
    <row r="3251" spans="1:2" ht="112" hidden="1" customHeight="1" x14ac:dyDescent="0.25">
      <c r="A3251" t="s">
        <v>2986</v>
      </c>
      <c r="B3251" s="3" t="s">
        <v>7520</v>
      </c>
    </row>
    <row r="3252" spans="1:2" ht="112" hidden="1" customHeight="1" x14ac:dyDescent="0.25">
      <c r="A3252" t="s">
        <v>2987</v>
      </c>
      <c r="B3252" s="3" t="s">
        <v>7521</v>
      </c>
    </row>
    <row r="3253" spans="1:2" ht="112" hidden="1" customHeight="1" x14ac:dyDescent="0.25">
      <c r="A3253" t="s">
        <v>2988</v>
      </c>
      <c r="B3253" s="3" t="s">
        <v>4589</v>
      </c>
    </row>
    <row r="3254" spans="1:2" ht="112" hidden="1" customHeight="1" x14ac:dyDescent="0.25">
      <c r="A3254" t="s">
        <v>2989</v>
      </c>
      <c r="B3254" s="3" t="s">
        <v>4590</v>
      </c>
    </row>
    <row r="3255" spans="1:2" ht="112" hidden="1" customHeight="1" x14ac:dyDescent="0.25">
      <c r="A3255" t="s">
        <v>2990</v>
      </c>
      <c r="B3255" s="3" t="s">
        <v>7522</v>
      </c>
    </row>
    <row r="3256" spans="1:2" ht="112" hidden="1" customHeight="1" x14ac:dyDescent="0.25">
      <c r="A3256" t="s">
        <v>2991</v>
      </c>
      <c r="B3256" s="3" t="s">
        <v>4591</v>
      </c>
    </row>
    <row r="3257" spans="1:2" ht="112" hidden="1" customHeight="1" x14ac:dyDescent="0.25">
      <c r="A3257" t="s">
        <v>2992</v>
      </c>
      <c r="B3257" s="3" t="s">
        <v>7523</v>
      </c>
    </row>
    <row r="3258" spans="1:2" ht="112" hidden="1" customHeight="1" x14ac:dyDescent="0.25">
      <c r="A3258" t="s">
        <v>2993</v>
      </c>
      <c r="B3258" s="3" t="s">
        <v>4592</v>
      </c>
    </row>
    <row r="3259" spans="1:2" ht="112" hidden="1" customHeight="1" x14ac:dyDescent="0.25">
      <c r="A3259" t="s">
        <v>2994</v>
      </c>
      <c r="B3259" s="3" t="s">
        <v>4593</v>
      </c>
    </row>
    <row r="3260" spans="1:2" ht="112" hidden="1" customHeight="1" x14ac:dyDescent="0.25">
      <c r="A3260" t="s">
        <v>2995</v>
      </c>
      <c r="B3260" s="3" t="s">
        <v>4594</v>
      </c>
    </row>
    <row r="3261" spans="1:2" ht="112" hidden="1" customHeight="1" x14ac:dyDescent="0.25">
      <c r="A3261" t="s">
        <v>2996</v>
      </c>
      <c r="B3261" s="3" t="s">
        <v>4595</v>
      </c>
    </row>
    <row r="3262" spans="1:2" ht="112" hidden="1" customHeight="1" x14ac:dyDescent="0.25">
      <c r="A3262" t="s">
        <v>2997</v>
      </c>
      <c r="B3262" s="3" t="s">
        <v>4596</v>
      </c>
    </row>
    <row r="3263" spans="1:2" ht="112" hidden="1" customHeight="1" x14ac:dyDescent="0.25">
      <c r="A3263" t="s">
        <v>2998</v>
      </c>
      <c r="B3263" s="3" t="s">
        <v>4597</v>
      </c>
    </row>
    <row r="3264" spans="1:2" ht="112" hidden="1" customHeight="1" x14ac:dyDescent="0.25">
      <c r="A3264" t="s">
        <v>2999</v>
      </c>
      <c r="B3264" s="3" t="s">
        <v>4598</v>
      </c>
    </row>
    <row r="3265" spans="1:2" ht="112" hidden="1" customHeight="1" x14ac:dyDescent="0.25">
      <c r="A3265" t="s">
        <v>3000</v>
      </c>
      <c r="B3265" s="3" t="s">
        <v>4599</v>
      </c>
    </row>
    <row r="3266" spans="1:2" ht="112" hidden="1" customHeight="1" x14ac:dyDescent="0.25">
      <c r="A3266" t="s">
        <v>3001</v>
      </c>
      <c r="B3266" s="3" t="s">
        <v>4600</v>
      </c>
    </row>
    <row r="3267" spans="1:2" ht="112" hidden="1" customHeight="1" x14ac:dyDescent="0.25">
      <c r="A3267" t="s">
        <v>3002</v>
      </c>
      <c r="B3267" s="3" t="s">
        <v>4601</v>
      </c>
    </row>
    <row r="3268" spans="1:2" ht="112" hidden="1" customHeight="1" x14ac:dyDescent="0.25">
      <c r="A3268" t="s">
        <v>3003</v>
      </c>
      <c r="B3268" s="3" t="s">
        <v>4602</v>
      </c>
    </row>
    <row r="3269" spans="1:2" ht="112" hidden="1" customHeight="1" x14ac:dyDescent="0.25">
      <c r="A3269" t="s">
        <v>3004</v>
      </c>
      <c r="B3269" s="3" t="s">
        <v>4603</v>
      </c>
    </row>
    <row r="3270" spans="1:2" ht="112" hidden="1" customHeight="1" x14ac:dyDescent="0.25">
      <c r="A3270" t="s">
        <v>3005</v>
      </c>
      <c r="B3270" s="3" t="s">
        <v>6135</v>
      </c>
    </row>
    <row r="3271" spans="1:2" ht="112" hidden="1" customHeight="1" x14ac:dyDescent="0.25">
      <c r="A3271" t="s">
        <v>3006</v>
      </c>
      <c r="B3271" s="3" t="s">
        <v>4604</v>
      </c>
    </row>
    <row r="3272" spans="1:2" ht="112" hidden="1" customHeight="1" x14ac:dyDescent="0.25">
      <c r="A3272" t="s">
        <v>3007</v>
      </c>
      <c r="B3272" s="3" t="s">
        <v>4605</v>
      </c>
    </row>
    <row r="3273" spans="1:2" ht="112" hidden="1" customHeight="1" x14ac:dyDescent="0.25">
      <c r="A3273" t="s">
        <v>3008</v>
      </c>
      <c r="B3273" s="3" t="s">
        <v>4606</v>
      </c>
    </row>
    <row r="3274" spans="1:2" ht="112" hidden="1" customHeight="1" x14ac:dyDescent="0.25">
      <c r="A3274" t="s">
        <v>3009</v>
      </c>
      <c r="B3274" s="3" t="s">
        <v>6515</v>
      </c>
    </row>
    <row r="3275" spans="1:2" ht="112" hidden="1" customHeight="1" x14ac:dyDescent="0.25">
      <c r="A3275" t="s">
        <v>3010</v>
      </c>
      <c r="B3275" s="3" t="s">
        <v>4607</v>
      </c>
    </row>
    <row r="3276" spans="1:2" ht="112" hidden="1" customHeight="1" x14ac:dyDescent="0.25">
      <c r="A3276" t="s">
        <v>3011</v>
      </c>
      <c r="B3276" s="3" t="s">
        <v>5484</v>
      </c>
    </row>
    <row r="3277" spans="1:2" ht="112" hidden="1" customHeight="1" x14ac:dyDescent="0.25">
      <c r="A3277" t="s">
        <v>3012</v>
      </c>
      <c r="B3277" s="3" t="s">
        <v>4608</v>
      </c>
    </row>
    <row r="3278" spans="1:2" ht="112" hidden="1" customHeight="1" x14ac:dyDescent="0.25">
      <c r="A3278" t="s">
        <v>2698</v>
      </c>
      <c r="B3278" s="3" t="s">
        <v>4289</v>
      </c>
    </row>
    <row r="3279" spans="1:2" ht="112" hidden="1" customHeight="1" x14ac:dyDescent="0.25">
      <c r="A3279" t="s">
        <v>3017</v>
      </c>
      <c r="B3279" s="3" t="s">
        <v>4609</v>
      </c>
    </row>
    <row r="3280" spans="1:2" ht="112" hidden="1" customHeight="1" x14ac:dyDescent="0.25">
      <c r="A3280" t="s">
        <v>3018</v>
      </c>
      <c r="B3280" s="3" t="s">
        <v>4610</v>
      </c>
    </row>
    <row r="3281" spans="1:2" ht="112" hidden="1" customHeight="1" x14ac:dyDescent="0.25">
      <c r="A3281" t="s">
        <v>3013</v>
      </c>
      <c r="B3281" s="3" t="s">
        <v>4611</v>
      </c>
    </row>
    <row r="3282" spans="1:2" ht="112" hidden="1" customHeight="1" x14ac:dyDescent="0.25">
      <c r="A3282" t="s">
        <v>3014</v>
      </c>
      <c r="B3282" s="3" t="s">
        <v>4612</v>
      </c>
    </row>
    <row r="3283" spans="1:2" ht="112" hidden="1" customHeight="1" x14ac:dyDescent="0.25">
      <c r="A3283" t="s">
        <v>3015</v>
      </c>
      <c r="B3283" s="3" t="s">
        <v>4613</v>
      </c>
    </row>
    <row r="3284" spans="1:2" ht="112" hidden="1" customHeight="1" x14ac:dyDescent="0.25">
      <c r="A3284" t="s">
        <v>3016</v>
      </c>
      <c r="B3284" s="3" t="s">
        <v>4614</v>
      </c>
    </row>
    <row r="3285" spans="1:2" ht="112" hidden="1" customHeight="1" x14ac:dyDescent="0.25">
      <c r="A3285" t="s">
        <v>3019</v>
      </c>
      <c r="B3285" s="3" t="s">
        <v>4768</v>
      </c>
    </row>
    <row r="3286" spans="1:2" ht="112" hidden="1" customHeight="1" x14ac:dyDescent="0.25">
      <c r="A3286" t="s">
        <v>3020</v>
      </c>
      <c r="B3286" s="3" t="s">
        <v>4615</v>
      </c>
    </row>
    <row r="3287" spans="1:2" ht="112" hidden="1" customHeight="1" x14ac:dyDescent="0.25">
      <c r="A3287" t="s">
        <v>3021</v>
      </c>
      <c r="B3287" s="3" t="s">
        <v>4616</v>
      </c>
    </row>
    <row r="3288" spans="1:2" ht="112" hidden="1" customHeight="1" x14ac:dyDescent="0.25">
      <c r="A3288" t="s">
        <v>3022</v>
      </c>
      <c r="B3288" s="3" t="s">
        <v>4617</v>
      </c>
    </row>
    <row r="3289" spans="1:2" ht="112" hidden="1" customHeight="1" x14ac:dyDescent="0.25">
      <c r="A3289" t="s">
        <v>3023</v>
      </c>
      <c r="B3289" s="3" t="s">
        <v>4618</v>
      </c>
    </row>
    <row r="3290" spans="1:2" ht="112" hidden="1" customHeight="1" x14ac:dyDescent="0.25">
      <c r="A3290" t="s">
        <v>3024</v>
      </c>
      <c r="B3290" s="3" t="s">
        <v>4619</v>
      </c>
    </row>
    <row r="3291" spans="1:2" ht="112" hidden="1" customHeight="1" x14ac:dyDescent="0.25">
      <c r="A3291" t="s">
        <v>7842</v>
      </c>
      <c r="B3291" s="3" t="s">
        <v>4620</v>
      </c>
    </row>
    <row r="3292" spans="1:2" ht="112" hidden="1" customHeight="1" x14ac:dyDescent="0.25">
      <c r="A3292" t="s">
        <v>2090</v>
      </c>
      <c r="B3292" s="3" t="s">
        <v>6418</v>
      </c>
    </row>
    <row r="3293" spans="1:2" ht="112" hidden="1" customHeight="1" x14ac:dyDescent="0.25">
      <c r="A3293" t="s">
        <v>3025</v>
      </c>
      <c r="B3293" s="3" t="s">
        <v>4621</v>
      </c>
    </row>
    <row r="3294" spans="1:2" ht="112" hidden="1" customHeight="1" x14ac:dyDescent="0.25">
      <c r="A3294" t="s">
        <v>3026</v>
      </c>
      <c r="B3294" s="3" t="s">
        <v>6484</v>
      </c>
    </row>
    <row r="3295" spans="1:2" ht="112" hidden="1" customHeight="1" x14ac:dyDescent="0.25">
      <c r="A3295" t="s">
        <v>3027</v>
      </c>
      <c r="B3295" s="3" t="s">
        <v>5485</v>
      </c>
    </row>
    <row r="3296" spans="1:2" ht="112" hidden="1" customHeight="1" x14ac:dyDescent="0.25">
      <c r="A3296" t="s">
        <v>3028</v>
      </c>
      <c r="B3296" s="3" t="s">
        <v>5230</v>
      </c>
    </row>
    <row r="3297" spans="1:2" ht="112" hidden="1" customHeight="1" x14ac:dyDescent="0.25">
      <c r="A3297" t="s">
        <v>3029</v>
      </c>
      <c r="B3297" s="3" t="s">
        <v>5231</v>
      </c>
    </row>
    <row r="3298" spans="1:2" ht="112" hidden="1" customHeight="1" x14ac:dyDescent="0.25">
      <c r="A3298" t="s">
        <v>3030</v>
      </c>
      <c r="B3298" s="3" t="s">
        <v>5232</v>
      </c>
    </row>
    <row r="3299" spans="1:2" ht="112" hidden="1" customHeight="1" x14ac:dyDescent="0.25">
      <c r="A3299" t="s">
        <v>3031</v>
      </c>
      <c r="B3299" s="3" t="s">
        <v>4622</v>
      </c>
    </row>
    <row r="3300" spans="1:2" ht="112" hidden="1" customHeight="1" x14ac:dyDescent="0.25">
      <c r="A3300" t="s">
        <v>3032</v>
      </c>
      <c r="B3300" s="3" t="s">
        <v>4623</v>
      </c>
    </row>
    <row r="3301" spans="1:2" ht="112" hidden="1" customHeight="1" x14ac:dyDescent="0.25">
      <c r="A3301" t="s">
        <v>3033</v>
      </c>
      <c r="B3301" s="3" t="s">
        <v>4624</v>
      </c>
    </row>
    <row r="3302" spans="1:2" ht="112" hidden="1" customHeight="1" x14ac:dyDescent="0.25">
      <c r="A3302" t="s">
        <v>3034</v>
      </c>
      <c r="B3302" s="3" t="s">
        <v>4625</v>
      </c>
    </row>
    <row r="3303" spans="1:2" ht="112" hidden="1" customHeight="1" x14ac:dyDescent="0.25">
      <c r="A3303" t="s">
        <v>3035</v>
      </c>
      <c r="B3303" s="3" t="s">
        <v>4626</v>
      </c>
    </row>
    <row r="3304" spans="1:2" ht="112" hidden="1" customHeight="1" x14ac:dyDescent="0.25">
      <c r="A3304" t="s">
        <v>3036</v>
      </c>
      <c r="B3304" s="3" t="s">
        <v>10654</v>
      </c>
    </row>
    <row r="3305" spans="1:2" ht="112" hidden="1" customHeight="1" x14ac:dyDescent="0.25">
      <c r="A3305" t="s">
        <v>3037</v>
      </c>
      <c r="B3305" s="3" t="s">
        <v>4627</v>
      </c>
    </row>
    <row r="3306" spans="1:2" ht="112" hidden="1" customHeight="1" x14ac:dyDescent="0.25">
      <c r="A3306" t="s">
        <v>3038</v>
      </c>
      <c r="B3306" s="3" t="s">
        <v>4769</v>
      </c>
    </row>
    <row r="3307" spans="1:2" ht="112" hidden="1" customHeight="1" x14ac:dyDescent="0.25">
      <c r="A3307" t="s">
        <v>3039</v>
      </c>
      <c r="B3307" s="3" t="s">
        <v>4770</v>
      </c>
    </row>
    <row r="3308" spans="1:2" ht="112" hidden="1" customHeight="1" x14ac:dyDescent="0.25">
      <c r="A3308" t="s">
        <v>3040</v>
      </c>
      <c r="B3308" s="3" t="s">
        <v>4771</v>
      </c>
    </row>
    <row r="3309" spans="1:2" ht="112" hidden="1" customHeight="1" x14ac:dyDescent="0.25">
      <c r="A3309" t="s">
        <v>3041</v>
      </c>
      <c r="B3309" s="3" t="s">
        <v>4772</v>
      </c>
    </row>
    <row r="3310" spans="1:2" ht="112" hidden="1" customHeight="1" x14ac:dyDescent="0.25">
      <c r="A3310" t="s">
        <v>3051</v>
      </c>
      <c r="B3310" s="3" t="s">
        <v>4628</v>
      </c>
    </row>
    <row r="3311" spans="1:2" ht="112" hidden="1" customHeight="1" x14ac:dyDescent="0.25">
      <c r="A3311" t="s">
        <v>3052</v>
      </c>
      <c r="B3311" s="3" t="s">
        <v>4629</v>
      </c>
    </row>
    <row r="3312" spans="1:2" ht="112" hidden="1" customHeight="1" x14ac:dyDescent="0.25">
      <c r="A3312" t="s">
        <v>3053</v>
      </c>
      <c r="B3312" s="3" t="s">
        <v>4630</v>
      </c>
    </row>
    <row r="3313" spans="1:2" ht="112" hidden="1" customHeight="1" x14ac:dyDescent="0.25">
      <c r="A3313" t="s">
        <v>3054</v>
      </c>
      <c r="B3313" s="3" t="s">
        <v>4631</v>
      </c>
    </row>
    <row r="3314" spans="1:2" ht="112" hidden="1" customHeight="1" x14ac:dyDescent="0.25">
      <c r="A3314" t="s">
        <v>3055</v>
      </c>
      <c r="B3314" s="3" t="s">
        <v>4632</v>
      </c>
    </row>
    <row r="3315" spans="1:2" ht="112" hidden="1" customHeight="1" x14ac:dyDescent="0.25">
      <c r="A3315" t="s">
        <v>3056</v>
      </c>
      <c r="B3315" s="3" t="s">
        <v>4633</v>
      </c>
    </row>
    <row r="3316" spans="1:2" ht="112" hidden="1" customHeight="1" x14ac:dyDescent="0.25">
      <c r="A3316" t="s">
        <v>3057</v>
      </c>
      <c r="B3316" s="3" t="s">
        <v>5486</v>
      </c>
    </row>
    <row r="3317" spans="1:2" ht="112" hidden="1" customHeight="1" x14ac:dyDescent="0.25">
      <c r="A3317" t="s">
        <v>3058</v>
      </c>
      <c r="B3317" s="3" t="s">
        <v>4634</v>
      </c>
    </row>
    <row r="3318" spans="1:2" ht="112" hidden="1" customHeight="1" x14ac:dyDescent="0.25">
      <c r="A3318" t="s">
        <v>3059</v>
      </c>
      <c r="B3318" s="3" t="s">
        <v>4635</v>
      </c>
    </row>
    <row r="3319" spans="1:2" ht="112" hidden="1" customHeight="1" x14ac:dyDescent="0.25">
      <c r="A3319" t="s">
        <v>3060</v>
      </c>
      <c r="B3319" s="3" t="s">
        <v>4636</v>
      </c>
    </row>
    <row r="3320" spans="1:2" ht="112" hidden="1" customHeight="1" x14ac:dyDescent="0.25">
      <c r="A3320" t="s">
        <v>3061</v>
      </c>
      <c r="B3320" s="3" t="s">
        <v>4637</v>
      </c>
    </row>
    <row r="3321" spans="1:2" ht="112" hidden="1" customHeight="1" x14ac:dyDescent="0.25">
      <c r="A3321" t="s">
        <v>3062</v>
      </c>
      <c r="B3321" s="3" t="s">
        <v>4638</v>
      </c>
    </row>
    <row r="3322" spans="1:2" ht="112" hidden="1" customHeight="1" x14ac:dyDescent="0.25">
      <c r="A3322" t="s">
        <v>3063</v>
      </c>
      <c r="B3322" s="3" t="s">
        <v>4639</v>
      </c>
    </row>
    <row r="3323" spans="1:2" ht="112" hidden="1" customHeight="1" x14ac:dyDescent="0.25">
      <c r="A3323" t="s">
        <v>3064</v>
      </c>
      <c r="B3323" s="3" t="s">
        <v>4640</v>
      </c>
    </row>
    <row r="3324" spans="1:2" ht="112" hidden="1" customHeight="1" x14ac:dyDescent="0.25">
      <c r="A3324" t="s">
        <v>3065</v>
      </c>
      <c r="B3324" s="3" t="s">
        <v>4641</v>
      </c>
    </row>
    <row r="3325" spans="1:2" ht="112" hidden="1" customHeight="1" x14ac:dyDescent="0.25">
      <c r="A3325" t="s">
        <v>3066</v>
      </c>
      <c r="B3325" s="3" t="s">
        <v>4773</v>
      </c>
    </row>
    <row r="3326" spans="1:2" ht="112" hidden="1" customHeight="1" x14ac:dyDescent="0.25">
      <c r="A3326" t="s">
        <v>3067</v>
      </c>
      <c r="B3326" s="3" t="s">
        <v>5338</v>
      </c>
    </row>
    <row r="3327" spans="1:2" ht="112" hidden="1" customHeight="1" x14ac:dyDescent="0.25">
      <c r="A3327" t="s">
        <v>3068</v>
      </c>
      <c r="B3327" s="3" t="s">
        <v>5339</v>
      </c>
    </row>
    <row r="3328" spans="1:2" ht="112" hidden="1" customHeight="1" x14ac:dyDescent="0.25">
      <c r="A3328" t="s">
        <v>3069</v>
      </c>
      <c r="B3328" s="3" t="s">
        <v>7524</v>
      </c>
    </row>
    <row r="3329" spans="1:2" ht="112" hidden="1" customHeight="1" x14ac:dyDescent="0.25">
      <c r="A3329" t="s">
        <v>3070</v>
      </c>
      <c r="B3329" s="3" t="s">
        <v>4642</v>
      </c>
    </row>
    <row r="3330" spans="1:2" ht="112" hidden="1" customHeight="1" x14ac:dyDescent="0.25">
      <c r="A3330" t="s">
        <v>3071</v>
      </c>
      <c r="B3330" s="3" t="s">
        <v>4643</v>
      </c>
    </row>
    <row r="3331" spans="1:2" ht="112" hidden="1" customHeight="1" x14ac:dyDescent="0.25">
      <c r="A3331" t="s">
        <v>3072</v>
      </c>
      <c r="B3331" s="3" t="s">
        <v>4644</v>
      </c>
    </row>
    <row r="3332" spans="1:2" ht="112" hidden="1" customHeight="1" x14ac:dyDescent="0.25">
      <c r="A3332" t="s">
        <v>3073</v>
      </c>
      <c r="B3332" s="3" t="s">
        <v>4645</v>
      </c>
    </row>
    <row r="3333" spans="1:2" ht="112" hidden="1" customHeight="1" x14ac:dyDescent="0.25">
      <c r="A3333" t="s">
        <v>3074</v>
      </c>
      <c r="B3333" s="3" t="s">
        <v>4646</v>
      </c>
    </row>
    <row r="3334" spans="1:2" ht="112" hidden="1" customHeight="1" x14ac:dyDescent="0.25">
      <c r="A3334" t="s">
        <v>3075</v>
      </c>
      <c r="B3334" s="3" t="s">
        <v>4647</v>
      </c>
    </row>
    <row r="3335" spans="1:2" ht="112" hidden="1" customHeight="1" x14ac:dyDescent="0.25">
      <c r="A3335" t="s">
        <v>3076</v>
      </c>
      <c r="B3335" s="3" t="s">
        <v>4648</v>
      </c>
    </row>
    <row r="3336" spans="1:2" ht="112" hidden="1" customHeight="1" x14ac:dyDescent="0.25">
      <c r="A3336" t="s">
        <v>3077</v>
      </c>
      <c r="B3336" s="3" t="s">
        <v>4649</v>
      </c>
    </row>
    <row r="3337" spans="1:2" ht="112" hidden="1" customHeight="1" x14ac:dyDescent="0.25">
      <c r="A3337" t="s">
        <v>3078</v>
      </c>
      <c r="B3337" s="3" t="s">
        <v>6708</v>
      </c>
    </row>
    <row r="3338" spans="1:2" ht="112" hidden="1" customHeight="1" x14ac:dyDescent="0.25">
      <c r="A3338" t="s">
        <v>3079</v>
      </c>
      <c r="B3338" s="3" t="s">
        <v>4650</v>
      </c>
    </row>
    <row r="3339" spans="1:2" ht="112" hidden="1" customHeight="1" x14ac:dyDescent="0.25">
      <c r="A3339" t="s">
        <v>3080</v>
      </c>
      <c r="B3339" s="3" t="s">
        <v>4651</v>
      </c>
    </row>
    <row r="3340" spans="1:2" ht="112" hidden="1" customHeight="1" x14ac:dyDescent="0.25">
      <c r="A3340" t="s">
        <v>3081</v>
      </c>
      <c r="B3340" s="3" t="s">
        <v>4652</v>
      </c>
    </row>
    <row r="3341" spans="1:2" ht="112" hidden="1" customHeight="1" x14ac:dyDescent="0.25">
      <c r="A3341" t="s">
        <v>3082</v>
      </c>
      <c r="B3341" s="3" t="s">
        <v>4653</v>
      </c>
    </row>
    <row r="3342" spans="1:2" ht="112" hidden="1" customHeight="1" x14ac:dyDescent="0.25">
      <c r="A3342" t="s">
        <v>3083</v>
      </c>
      <c r="B3342" s="3" t="s">
        <v>4654</v>
      </c>
    </row>
    <row r="3343" spans="1:2" ht="112" hidden="1" customHeight="1" x14ac:dyDescent="0.25">
      <c r="A3343" t="s">
        <v>3084</v>
      </c>
      <c r="B3343" s="3" t="s">
        <v>4655</v>
      </c>
    </row>
    <row r="3344" spans="1:2" ht="112" hidden="1" customHeight="1" x14ac:dyDescent="0.25">
      <c r="A3344" t="s">
        <v>3085</v>
      </c>
      <c r="B3344" s="3" t="s">
        <v>4656</v>
      </c>
    </row>
    <row r="3345" spans="1:2" ht="112" hidden="1" customHeight="1" x14ac:dyDescent="0.25">
      <c r="A3345" t="s">
        <v>3086</v>
      </c>
      <c r="B3345" s="3" t="s">
        <v>4657</v>
      </c>
    </row>
    <row r="3346" spans="1:2" ht="112" hidden="1" customHeight="1" x14ac:dyDescent="0.25">
      <c r="A3346" t="s">
        <v>3087</v>
      </c>
      <c r="B3346" s="3" t="s">
        <v>5340</v>
      </c>
    </row>
    <row r="3347" spans="1:2" ht="112" hidden="1" customHeight="1" x14ac:dyDescent="0.25">
      <c r="A3347" t="s">
        <v>3088</v>
      </c>
      <c r="B3347" s="3" t="s">
        <v>5858</v>
      </c>
    </row>
    <row r="3348" spans="1:2" ht="112" hidden="1" customHeight="1" x14ac:dyDescent="0.25">
      <c r="A3348" t="s">
        <v>3089</v>
      </c>
      <c r="B3348" s="3" t="s">
        <v>6470</v>
      </c>
    </row>
    <row r="3349" spans="1:2" ht="112" hidden="1" customHeight="1" x14ac:dyDescent="0.25">
      <c r="A3349" t="s">
        <v>3090</v>
      </c>
      <c r="B3349" s="3" t="s">
        <v>4658</v>
      </c>
    </row>
    <row r="3350" spans="1:2" ht="112" hidden="1" customHeight="1" x14ac:dyDescent="0.25">
      <c r="A3350" t="s">
        <v>3091</v>
      </c>
      <c r="B3350" s="3" t="s">
        <v>4659</v>
      </c>
    </row>
    <row r="3351" spans="1:2" ht="112" hidden="1" customHeight="1" x14ac:dyDescent="0.25">
      <c r="A3351" t="s">
        <v>3092</v>
      </c>
      <c r="B3351" s="3" t="s">
        <v>4660</v>
      </c>
    </row>
    <row r="3352" spans="1:2" ht="112" hidden="1" customHeight="1" x14ac:dyDescent="0.25">
      <c r="A3352" t="s">
        <v>3093</v>
      </c>
      <c r="B3352" s="3" t="s">
        <v>5233</v>
      </c>
    </row>
    <row r="3353" spans="1:2" ht="112" hidden="1" customHeight="1" x14ac:dyDescent="0.25">
      <c r="A3353" t="s">
        <v>3094</v>
      </c>
      <c r="B3353" s="3" t="s">
        <v>5234</v>
      </c>
    </row>
    <row r="3354" spans="1:2" ht="112" hidden="1" customHeight="1" x14ac:dyDescent="0.25">
      <c r="A3354" t="s">
        <v>3095</v>
      </c>
      <c r="B3354" s="3" t="s">
        <v>5235</v>
      </c>
    </row>
    <row r="3355" spans="1:2" ht="112" hidden="1" customHeight="1" x14ac:dyDescent="0.25">
      <c r="A3355" t="s">
        <v>3096</v>
      </c>
      <c r="B3355" s="3" t="s">
        <v>5236</v>
      </c>
    </row>
    <row r="3356" spans="1:2" ht="112" hidden="1" customHeight="1" x14ac:dyDescent="0.25">
      <c r="A3356" t="s">
        <v>3097</v>
      </c>
      <c r="B3356" s="3" t="s">
        <v>5237</v>
      </c>
    </row>
    <row r="3357" spans="1:2" ht="112" hidden="1" customHeight="1" x14ac:dyDescent="0.25">
      <c r="A3357" t="s">
        <v>3098</v>
      </c>
      <c r="B3357" s="3" t="s">
        <v>5238</v>
      </c>
    </row>
    <row r="3358" spans="1:2" ht="112" hidden="1" customHeight="1" x14ac:dyDescent="0.25">
      <c r="A3358" t="s">
        <v>3099</v>
      </c>
      <c r="B3358" s="3" t="s">
        <v>5239</v>
      </c>
    </row>
    <row r="3359" spans="1:2" ht="112" hidden="1" customHeight="1" x14ac:dyDescent="0.25">
      <c r="A3359" t="s">
        <v>3100</v>
      </c>
      <c r="B3359" s="3" t="s">
        <v>5240</v>
      </c>
    </row>
    <row r="3360" spans="1:2" ht="112" hidden="1" customHeight="1" x14ac:dyDescent="0.25">
      <c r="A3360" t="s">
        <v>3101</v>
      </c>
      <c r="B3360" s="3" t="s">
        <v>5241</v>
      </c>
    </row>
    <row r="3361" spans="1:2" ht="112" hidden="1" customHeight="1" x14ac:dyDescent="0.25">
      <c r="A3361" t="s">
        <v>3102</v>
      </c>
      <c r="B3361" s="3" t="s">
        <v>5242</v>
      </c>
    </row>
    <row r="3362" spans="1:2" ht="112" hidden="1" customHeight="1" x14ac:dyDescent="0.25">
      <c r="A3362" t="s">
        <v>3103</v>
      </c>
      <c r="B3362" s="3" t="s">
        <v>5243</v>
      </c>
    </row>
    <row r="3363" spans="1:2" ht="112" hidden="1" customHeight="1" x14ac:dyDescent="0.25">
      <c r="A3363" t="s">
        <v>3104</v>
      </c>
      <c r="B3363" s="3" t="s">
        <v>5244</v>
      </c>
    </row>
    <row r="3364" spans="1:2" ht="112" hidden="1" customHeight="1" x14ac:dyDescent="0.25">
      <c r="A3364" t="s">
        <v>3105</v>
      </c>
      <c r="B3364" s="3" t="s">
        <v>5245</v>
      </c>
    </row>
    <row r="3365" spans="1:2" ht="112" hidden="1" customHeight="1" x14ac:dyDescent="0.25">
      <c r="A3365" t="s">
        <v>3106</v>
      </c>
      <c r="B3365" s="3" t="s">
        <v>5246</v>
      </c>
    </row>
    <row r="3366" spans="1:2" ht="112" hidden="1" customHeight="1" x14ac:dyDescent="0.25">
      <c r="A3366" t="s">
        <v>3107</v>
      </c>
      <c r="B3366" s="3" t="s">
        <v>5247</v>
      </c>
    </row>
    <row r="3367" spans="1:2" ht="112" hidden="1" customHeight="1" x14ac:dyDescent="0.25">
      <c r="A3367" t="s">
        <v>3108</v>
      </c>
      <c r="B3367" s="3" t="s">
        <v>5248</v>
      </c>
    </row>
    <row r="3368" spans="1:2" ht="112" hidden="1" customHeight="1" x14ac:dyDescent="0.25">
      <c r="A3368" t="s">
        <v>3109</v>
      </c>
      <c r="B3368" s="3" t="s">
        <v>5249</v>
      </c>
    </row>
    <row r="3369" spans="1:2" ht="112" hidden="1" customHeight="1" x14ac:dyDescent="0.25">
      <c r="A3369" t="s">
        <v>3110</v>
      </c>
      <c r="B3369" s="3" t="s">
        <v>5250</v>
      </c>
    </row>
    <row r="3370" spans="1:2" ht="112" hidden="1" customHeight="1" x14ac:dyDescent="0.25">
      <c r="A3370" t="s">
        <v>3111</v>
      </c>
      <c r="B3370" s="3" t="s">
        <v>5251</v>
      </c>
    </row>
    <row r="3371" spans="1:2" ht="112" hidden="1" customHeight="1" x14ac:dyDescent="0.25">
      <c r="A3371" t="s">
        <v>3112</v>
      </c>
      <c r="B3371" s="3" t="s">
        <v>5252</v>
      </c>
    </row>
    <row r="3372" spans="1:2" ht="112" hidden="1" customHeight="1" x14ac:dyDescent="0.25">
      <c r="A3372" t="s">
        <v>3113</v>
      </c>
      <c r="B3372" s="3" t="s">
        <v>5253</v>
      </c>
    </row>
    <row r="3373" spans="1:2" ht="112" hidden="1" customHeight="1" x14ac:dyDescent="0.25">
      <c r="A3373" t="s">
        <v>3114</v>
      </c>
      <c r="B3373" s="3" t="s">
        <v>4661</v>
      </c>
    </row>
    <row r="3374" spans="1:2" ht="112" hidden="1" customHeight="1" x14ac:dyDescent="0.25">
      <c r="A3374" t="s">
        <v>3115</v>
      </c>
      <c r="B3374" s="3" t="s">
        <v>4662</v>
      </c>
    </row>
    <row r="3375" spans="1:2" ht="112" hidden="1" customHeight="1" x14ac:dyDescent="0.25">
      <c r="A3375" t="s">
        <v>3116</v>
      </c>
      <c r="B3375" s="3" t="s">
        <v>4663</v>
      </c>
    </row>
    <row r="3376" spans="1:2" ht="112" hidden="1" customHeight="1" x14ac:dyDescent="0.25">
      <c r="A3376" t="s">
        <v>3117</v>
      </c>
      <c r="B3376" s="3" t="s">
        <v>4664</v>
      </c>
    </row>
    <row r="3377" spans="1:2" ht="112" hidden="1" customHeight="1" x14ac:dyDescent="0.25">
      <c r="A3377" t="s">
        <v>3118</v>
      </c>
      <c r="B3377" s="3" t="s">
        <v>4665</v>
      </c>
    </row>
    <row r="3378" spans="1:2" ht="112" hidden="1" customHeight="1" x14ac:dyDescent="0.25">
      <c r="A3378" t="s">
        <v>3119</v>
      </c>
      <c r="B3378" s="3" t="s">
        <v>4666</v>
      </c>
    </row>
    <row r="3379" spans="1:2" ht="112" hidden="1" customHeight="1" x14ac:dyDescent="0.25">
      <c r="A3379" t="s">
        <v>3120</v>
      </c>
      <c r="B3379" s="3" t="s">
        <v>4667</v>
      </c>
    </row>
    <row r="3380" spans="1:2" ht="112" hidden="1" customHeight="1" x14ac:dyDescent="0.25">
      <c r="A3380" t="s">
        <v>3121</v>
      </c>
      <c r="B3380" s="3" t="s">
        <v>4668</v>
      </c>
    </row>
    <row r="3381" spans="1:2" ht="112" hidden="1" customHeight="1" x14ac:dyDescent="0.25">
      <c r="A3381" t="s">
        <v>3122</v>
      </c>
      <c r="B3381" s="3" t="s">
        <v>4669</v>
      </c>
    </row>
    <row r="3382" spans="1:2" ht="112" hidden="1" customHeight="1" x14ac:dyDescent="0.25">
      <c r="A3382" t="s">
        <v>3123</v>
      </c>
      <c r="B3382" s="3" t="s">
        <v>4670</v>
      </c>
    </row>
    <row r="3383" spans="1:2" ht="112" hidden="1" customHeight="1" x14ac:dyDescent="0.25">
      <c r="A3383" t="s">
        <v>3124</v>
      </c>
      <c r="B3383" s="3" t="s">
        <v>4671</v>
      </c>
    </row>
    <row r="3384" spans="1:2" ht="112" hidden="1" customHeight="1" x14ac:dyDescent="0.25">
      <c r="A3384" t="s">
        <v>3125</v>
      </c>
      <c r="B3384" s="3" t="s">
        <v>4672</v>
      </c>
    </row>
    <row r="3385" spans="1:2" ht="112" hidden="1" customHeight="1" x14ac:dyDescent="0.25">
      <c r="A3385" t="s">
        <v>3126</v>
      </c>
      <c r="B3385" s="3" t="s">
        <v>5254</v>
      </c>
    </row>
    <row r="3386" spans="1:2" ht="112" hidden="1" customHeight="1" x14ac:dyDescent="0.25">
      <c r="A3386" t="s">
        <v>3127</v>
      </c>
      <c r="B3386" s="3" t="s">
        <v>5255</v>
      </c>
    </row>
    <row r="3387" spans="1:2" ht="112" hidden="1" customHeight="1" x14ac:dyDescent="0.25">
      <c r="A3387" t="s">
        <v>3128</v>
      </c>
      <c r="B3387" s="3" t="s">
        <v>5256</v>
      </c>
    </row>
    <row r="3388" spans="1:2" ht="112" hidden="1" customHeight="1" x14ac:dyDescent="0.25">
      <c r="A3388" t="s">
        <v>3129</v>
      </c>
      <c r="B3388" s="3" t="s">
        <v>5257</v>
      </c>
    </row>
    <row r="3389" spans="1:2" ht="112" hidden="1" customHeight="1" x14ac:dyDescent="0.25">
      <c r="A3389" t="s">
        <v>3130</v>
      </c>
      <c r="B3389" s="3" t="s">
        <v>5258</v>
      </c>
    </row>
    <row r="3390" spans="1:2" ht="112" hidden="1" customHeight="1" x14ac:dyDescent="0.25">
      <c r="A3390" t="s">
        <v>3131</v>
      </c>
      <c r="B3390" s="3" t="s">
        <v>5341</v>
      </c>
    </row>
    <row r="3391" spans="1:2" ht="112" hidden="1" customHeight="1" x14ac:dyDescent="0.25">
      <c r="A3391" t="s">
        <v>3132</v>
      </c>
      <c r="B3391" s="3" t="s">
        <v>11163</v>
      </c>
    </row>
    <row r="3392" spans="1:2" ht="112" hidden="1" customHeight="1" x14ac:dyDescent="0.25">
      <c r="A3392" t="s">
        <v>3133</v>
      </c>
      <c r="B3392" s="3" t="s">
        <v>7700</v>
      </c>
    </row>
    <row r="3393" spans="1:2" ht="112" hidden="1" customHeight="1" x14ac:dyDescent="0.25">
      <c r="A3393" t="s">
        <v>3134</v>
      </c>
      <c r="B3393" s="3" t="s">
        <v>7701</v>
      </c>
    </row>
    <row r="3394" spans="1:2" ht="112" hidden="1" customHeight="1" x14ac:dyDescent="0.25">
      <c r="A3394" t="s">
        <v>3135</v>
      </c>
      <c r="B3394" s="3" t="s">
        <v>7702</v>
      </c>
    </row>
    <row r="3395" spans="1:2" ht="112" hidden="1" customHeight="1" x14ac:dyDescent="0.25">
      <c r="A3395" t="s">
        <v>3136</v>
      </c>
      <c r="B3395" s="3" t="s">
        <v>7703</v>
      </c>
    </row>
    <row r="3396" spans="1:2" ht="112" hidden="1" customHeight="1" x14ac:dyDescent="0.25">
      <c r="A3396" t="s">
        <v>3137</v>
      </c>
      <c r="B3396" s="3" t="s">
        <v>4774</v>
      </c>
    </row>
    <row r="3397" spans="1:2" ht="112" hidden="1" customHeight="1" x14ac:dyDescent="0.25">
      <c r="A3397" t="s">
        <v>3138</v>
      </c>
      <c r="B3397" s="3" t="s">
        <v>4673</v>
      </c>
    </row>
    <row r="3398" spans="1:2" ht="112" hidden="1" customHeight="1" x14ac:dyDescent="0.25">
      <c r="A3398" t="s">
        <v>3139</v>
      </c>
      <c r="B3398" s="3" t="s">
        <v>4674</v>
      </c>
    </row>
    <row r="3399" spans="1:2" ht="112" hidden="1" customHeight="1" x14ac:dyDescent="0.25">
      <c r="A3399" t="s">
        <v>3140</v>
      </c>
      <c r="B3399" s="3" t="s">
        <v>4675</v>
      </c>
    </row>
    <row r="3400" spans="1:2" ht="112" hidden="1" customHeight="1" x14ac:dyDescent="0.25">
      <c r="A3400" t="s">
        <v>3141</v>
      </c>
      <c r="B3400" s="3" t="s">
        <v>4676</v>
      </c>
    </row>
    <row r="3401" spans="1:2" ht="112" hidden="1" customHeight="1" x14ac:dyDescent="0.25">
      <c r="A3401" t="s">
        <v>3142</v>
      </c>
      <c r="B3401" s="3" t="s">
        <v>4677</v>
      </c>
    </row>
    <row r="3402" spans="1:2" ht="112" hidden="1" customHeight="1" x14ac:dyDescent="0.25">
      <c r="A3402" t="s">
        <v>3143</v>
      </c>
      <c r="B3402" s="3" t="s">
        <v>4678</v>
      </c>
    </row>
    <row r="3403" spans="1:2" ht="112" hidden="1" customHeight="1" x14ac:dyDescent="0.25">
      <c r="A3403" t="s">
        <v>3144</v>
      </c>
      <c r="B3403" s="3" t="s">
        <v>4679</v>
      </c>
    </row>
    <row r="3404" spans="1:2" ht="112" hidden="1" customHeight="1" x14ac:dyDescent="0.25">
      <c r="A3404" t="s">
        <v>3145</v>
      </c>
      <c r="B3404" s="3" t="s">
        <v>4680</v>
      </c>
    </row>
    <row r="3405" spans="1:2" ht="112" hidden="1" customHeight="1" x14ac:dyDescent="0.25">
      <c r="A3405" t="s">
        <v>3146</v>
      </c>
      <c r="B3405" s="3" t="s">
        <v>4775</v>
      </c>
    </row>
    <row r="3406" spans="1:2" ht="112" hidden="1" customHeight="1" x14ac:dyDescent="0.25">
      <c r="A3406" t="s">
        <v>3147</v>
      </c>
      <c r="B3406" s="3" t="s">
        <v>4776</v>
      </c>
    </row>
    <row r="3407" spans="1:2" ht="112" hidden="1" customHeight="1" x14ac:dyDescent="0.25">
      <c r="A3407" t="s">
        <v>3148</v>
      </c>
      <c r="B3407" s="3" t="s">
        <v>4681</v>
      </c>
    </row>
    <row r="3408" spans="1:2" ht="112" hidden="1" customHeight="1" x14ac:dyDescent="0.25">
      <c r="A3408" t="s">
        <v>3149</v>
      </c>
      <c r="B3408" s="3" t="s">
        <v>4682</v>
      </c>
    </row>
    <row r="3409" spans="1:2" ht="112" hidden="1" customHeight="1" x14ac:dyDescent="0.25">
      <c r="A3409" t="s">
        <v>3150</v>
      </c>
      <c r="B3409" s="3" t="s">
        <v>4683</v>
      </c>
    </row>
    <row r="3410" spans="1:2" ht="112" hidden="1" customHeight="1" x14ac:dyDescent="0.25">
      <c r="A3410" t="s">
        <v>3151</v>
      </c>
      <c r="B3410" s="3" t="s">
        <v>4684</v>
      </c>
    </row>
    <row r="3411" spans="1:2" ht="112" hidden="1" customHeight="1" x14ac:dyDescent="0.25">
      <c r="A3411" t="s">
        <v>3152</v>
      </c>
      <c r="B3411" s="3" t="s">
        <v>6516</v>
      </c>
    </row>
    <row r="3412" spans="1:2" ht="112" hidden="1" customHeight="1" x14ac:dyDescent="0.25">
      <c r="A3412" t="s">
        <v>3153</v>
      </c>
      <c r="B3412" s="3" t="s">
        <v>4685</v>
      </c>
    </row>
    <row r="3413" spans="1:2" ht="112" hidden="1" customHeight="1" x14ac:dyDescent="0.25">
      <c r="A3413" t="s">
        <v>3154</v>
      </c>
      <c r="B3413" s="3" t="s">
        <v>4686</v>
      </c>
    </row>
    <row r="3414" spans="1:2" ht="112" hidden="1" customHeight="1" x14ac:dyDescent="0.25">
      <c r="A3414" t="s">
        <v>3155</v>
      </c>
      <c r="B3414" s="3" t="s">
        <v>4687</v>
      </c>
    </row>
    <row r="3415" spans="1:2" ht="112" hidden="1" customHeight="1" x14ac:dyDescent="0.25">
      <c r="A3415" t="s">
        <v>3156</v>
      </c>
      <c r="B3415" s="3" t="s">
        <v>4688</v>
      </c>
    </row>
    <row r="3416" spans="1:2" ht="112" hidden="1" customHeight="1" x14ac:dyDescent="0.25">
      <c r="A3416" t="s">
        <v>3157</v>
      </c>
      <c r="B3416" s="3" t="s">
        <v>5487</v>
      </c>
    </row>
    <row r="3417" spans="1:2" ht="112" hidden="1" customHeight="1" x14ac:dyDescent="0.25">
      <c r="A3417" t="s">
        <v>3158</v>
      </c>
      <c r="B3417" s="3" t="s">
        <v>5488</v>
      </c>
    </row>
    <row r="3418" spans="1:2" ht="112" hidden="1" customHeight="1" x14ac:dyDescent="0.25">
      <c r="A3418" t="s">
        <v>3159</v>
      </c>
      <c r="B3418" s="3" t="s">
        <v>5489</v>
      </c>
    </row>
    <row r="3419" spans="1:2" ht="112" hidden="1" customHeight="1" x14ac:dyDescent="0.25">
      <c r="A3419" t="s">
        <v>3160</v>
      </c>
      <c r="B3419" s="3" t="s">
        <v>5490</v>
      </c>
    </row>
    <row r="3420" spans="1:2" ht="112" hidden="1" customHeight="1" x14ac:dyDescent="0.25">
      <c r="A3420" t="s">
        <v>3161</v>
      </c>
      <c r="B3420" s="3" t="s">
        <v>5491</v>
      </c>
    </row>
    <row r="3421" spans="1:2" ht="112" hidden="1" customHeight="1" x14ac:dyDescent="0.25">
      <c r="A3421" t="s">
        <v>3162</v>
      </c>
      <c r="B3421" s="3" t="s">
        <v>5492</v>
      </c>
    </row>
    <row r="3422" spans="1:2" ht="112" hidden="1" customHeight="1" x14ac:dyDescent="0.25">
      <c r="A3422" t="s">
        <v>3163</v>
      </c>
      <c r="B3422" s="3" t="s">
        <v>5493</v>
      </c>
    </row>
    <row r="3423" spans="1:2" ht="112" hidden="1" customHeight="1" x14ac:dyDescent="0.25">
      <c r="A3423" t="s">
        <v>3164</v>
      </c>
      <c r="B3423" s="3" t="s">
        <v>5494</v>
      </c>
    </row>
    <row r="3424" spans="1:2" ht="112" hidden="1" customHeight="1" x14ac:dyDescent="0.25">
      <c r="A3424" t="s">
        <v>3165</v>
      </c>
      <c r="B3424" s="3" t="s">
        <v>5495</v>
      </c>
    </row>
    <row r="3425" spans="1:2" ht="112" hidden="1" customHeight="1" x14ac:dyDescent="0.25">
      <c r="A3425" t="s">
        <v>3166</v>
      </c>
      <c r="B3425" s="3" t="s">
        <v>5496</v>
      </c>
    </row>
    <row r="3426" spans="1:2" ht="112" hidden="1" customHeight="1" x14ac:dyDescent="0.25">
      <c r="A3426" t="s">
        <v>3167</v>
      </c>
      <c r="B3426" s="3" t="s">
        <v>5497</v>
      </c>
    </row>
    <row r="3427" spans="1:2" ht="112" hidden="1" customHeight="1" x14ac:dyDescent="0.25">
      <c r="A3427" t="s">
        <v>3168</v>
      </c>
      <c r="B3427" s="3" t="s">
        <v>5498</v>
      </c>
    </row>
    <row r="3428" spans="1:2" ht="112" hidden="1" customHeight="1" x14ac:dyDescent="0.25">
      <c r="A3428" t="s">
        <v>3169</v>
      </c>
      <c r="B3428" s="3" t="s">
        <v>5499</v>
      </c>
    </row>
    <row r="3429" spans="1:2" ht="112" hidden="1" customHeight="1" x14ac:dyDescent="0.25">
      <c r="A3429" t="s">
        <v>3170</v>
      </c>
      <c r="B3429" s="3" t="s">
        <v>5500</v>
      </c>
    </row>
    <row r="3430" spans="1:2" ht="112" hidden="1" customHeight="1" x14ac:dyDescent="0.25">
      <c r="A3430" t="s">
        <v>3171</v>
      </c>
      <c r="B3430" s="3" t="s">
        <v>5501</v>
      </c>
    </row>
    <row r="3431" spans="1:2" ht="112" hidden="1" customHeight="1" x14ac:dyDescent="0.25">
      <c r="A3431" t="s">
        <v>3176</v>
      </c>
      <c r="B3431" s="3" t="s">
        <v>4689</v>
      </c>
    </row>
    <row r="3432" spans="1:2" ht="112" hidden="1" customHeight="1" x14ac:dyDescent="0.25">
      <c r="A3432" t="s">
        <v>3090</v>
      </c>
      <c r="B3432" s="3" t="s">
        <v>4658</v>
      </c>
    </row>
    <row r="3433" spans="1:2" ht="112" hidden="1" customHeight="1" x14ac:dyDescent="0.25">
      <c r="A3433" t="s">
        <v>3091</v>
      </c>
      <c r="B3433" s="3" t="s">
        <v>4659</v>
      </c>
    </row>
    <row r="3434" spans="1:2" ht="112" hidden="1" customHeight="1" x14ac:dyDescent="0.25">
      <c r="A3434" t="s">
        <v>3092</v>
      </c>
      <c r="B3434" s="3" t="s">
        <v>4660</v>
      </c>
    </row>
    <row r="3435" spans="1:2" ht="112" hidden="1" customHeight="1" x14ac:dyDescent="0.25">
      <c r="A3435" t="s">
        <v>3093</v>
      </c>
      <c r="B3435" s="3" t="s">
        <v>5233</v>
      </c>
    </row>
    <row r="3436" spans="1:2" ht="112" hidden="1" customHeight="1" x14ac:dyDescent="0.25">
      <c r="A3436" t="s">
        <v>3094</v>
      </c>
      <c r="B3436" s="3" t="s">
        <v>5234</v>
      </c>
    </row>
    <row r="3437" spans="1:2" ht="112" hidden="1" customHeight="1" x14ac:dyDescent="0.25">
      <c r="A3437" t="s">
        <v>3095</v>
      </c>
      <c r="B3437" s="3" t="s">
        <v>5235</v>
      </c>
    </row>
    <row r="3438" spans="1:2" ht="112" hidden="1" customHeight="1" x14ac:dyDescent="0.25">
      <c r="A3438" t="s">
        <v>3096</v>
      </c>
      <c r="B3438" s="3" t="s">
        <v>5236</v>
      </c>
    </row>
    <row r="3439" spans="1:2" ht="112" hidden="1" customHeight="1" x14ac:dyDescent="0.25">
      <c r="A3439" t="s">
        <v>3097</v>
      </c>
      <c r="B3439" s="3" t="s">
        <v>5237</v>
      </c>
    </row>
    <row r="3440" spans="1:2" ht="112" hidden="1" customHeight="1" x14ac:dyDescent="0.25">
      <c r="A3440" t="s">
        <v>3098</v>
      </c>
      <c r="B3440" s="3" t="s">
        <v>5238</v>
      </c>
    </row>
    <row r="3441" spans="1:2" ht="112" hidden="1" customHeight="1" x14ac:dyDescent="0.25">
      <c r="A3441" t="s">
        <v>3099</v>
      </c>
      <c r="B3441" s="3" t="s">
        <v>5239</v>
      </c>
    </row>
    <row r="3442" spans="1:2" ht="112" hidden="1" customHeight="1" x14ac:dyDescent="0.25">
      <c r="A3442" t="s">
        <v>3100</v>
      </c>
      <c r="B3442" s="3" t="s">
        <v>5240</v>
      </c>
    </row>
    <row r="3443" spans="1:2" ht="112" hidden="1" customHeight="1" x14ac:dyDescent="0.25">
      <c r="A3443" t="s">
        <v>3101</v>
      </c>
      <c r="B3443" s="3" t="s">
        <v>5241</v>
      </c>
    </row>
    <row r="3444" spans="1:2" ht="112" hidden="1" customHeight="1" x14ac:dyDescent="0.25">
      <c r="A3444" t="s">
        <v>3102</v>
      </c>
      <c r="B3444" s="3" t="s">
        <v>5242</v>
      </c>
    </row>
    <row r="3445" spans="1:2" ht="112" hidden="1" customHeight="1" x14ac:dyDescent="0.25">
      <c r="A3445" t="s">
        <v>3103</v>
      </c>
      <c r="B3445" s="3" t="s">
        <v>5243</v>
      </c>
    </row>
    <row r="3446" spans="1:2" ht="112" hidden="1" customHeight="1" x14ac:dyDescent="0.25">
      <c r="A3446" t="s">
        <v>3104</v>
      </c>
      <c r="B3446" s="3" t="s">
        <v>5244</v>
      </c>
    </row>
    <row r="3447" spans="1:2" ht="112" hidden="1" customHeight="1" x14ac:dyDescent="0.25">
      <c r="A3447" t="s">
        <v>3105</v>
      </c>
      <c r="B3447" s="3" t="s">
        <v>5245</v>
      </c>
    </row>
    <row r="3448" spans="1:2" ht="112" hidden="1" customHeight="1" x14ac:dyDescent="0.25">
      <c r="A3448" t="s">
        <v>3106</v>
      </c>
      <c r="B3448" s="3" t="s">
        <v>5246</v>
      </c>
    </row>
    <row r="3449" spans="1:2" ht="112" hidden="1" customHeight="1" x14ac:dyDescent="0.25">
      <c r="A3449" t="s">
        <v>3107</v>
      </c>
      <c r="B3449" s="3" t="s">
        <v>5247</v>
      </c>
    </row>
    <row r="3450" spans="1:2" ht="112" hidden="1" customHeight="1" x14ac:dyDescent="0.25">
      <c r="A3450" t="s">
        <v>3177</v>
      </c>
      <c r="B3450" s="3" t="s">
        <v>5259</v>
      </c>
    </row>
    <row r="3451" spans="1:2" ht="112" hidden="1" customHeight="1" x14ac:dyDescent="0.25">
      <c r="A3451" t="s">
        <v>3108</v>
      </c>
      <c r="B3451" s="3" t="s">
        <v>5248</v>
      </c>
    </row>
    <row r="3452" spans="1:2" ht="112" hidden="1" customHeight="1" x14ac:dyDescent="0.25">
      <c r="A3452" t="s">
        <v>3109</v>
      </c>
      <c r="B3452" s="3" t="s">
        <v>5249</v>
      </c>
    </row>
    <row r="3453" spans="1:2" ht="112" hidden="1" customHeight="1" x14ac:dyDescent="0.25">
      <c r="A3453" t="s">
        <v>3110</v>
      </c>
      <c r="B3453" s="3" t="s">
        <v>5250</v>
      </c>
    </row>
    <row r="3454" spans="1:2" ht="112" hidden="1" customHeight="1" x14ac:dyDescent="0.25">
      <c r="A3454" t="s">
        <v>3111</v>
      </c>
      <c r="B3454" s="3" t="s">
        <v>5251</v>
      </c>
    </row>
    <row r="3455" spans="1:2" ht="112" hidden="1" customHeight="1" x14ac:dyDescent="0.25">
      <c r="A3455" t="s">
        <v>3178</v>
      </c>
      <c r="B3455" s="3" t="s">
        <v>5260</v>
      </c>
    </row>
    <row r="3456" spans="1:2" ht="112" hidden="1" customHeight="1" x14ac:dyDescent="0.25">
      <c r="A3456" t="s">
        <v>3112</v>
      </c>
      <c r="B3456" s="3" t="s">
        <v>5252</v>
      </c>
    </row>
    <row r="3457" spans="1:2" ht="112" hidden="1" customHeight="1" x14ac:dyDescent="0.25">
      <c r="A3457" t="s">
        <v>3113</v>
      </c>
      <c r="B3457" s="3" t="s">
        <v>5253</v>
      </c>
    </row>
    <row r="3458" spans="1:2" ht="112" hidden="1" customHeight="1" x14ac:dyDescent="0.25">
      <c r="A3458" t="s">
        <v>3114</v>
      </c>
      <c r="B3458" s="3" t="s">
        <v>4661</v>
      </c>
    </row>
    <row r="3459" spans="1:2" ht="112" hidden="1" customHeight="1" x14ac:dyDescent="0.25">
      <c r="A3459" t="s">
        <v>3115</v>
      </c>
      <c r="B3459" s="3" t="s">
        <v>4662</v>
      </c>
    </row>
    <row r="3460" spans="1:2" ht="112" hidden="1" customHeight="1" x14ac:dyDescent="0.25">
      <c r="A3460" t="s">
        <v>3116</v>
      </c>
      <c r="B3460" s="3" t="s">
        <v>4663</v>
      </c>
    </row>
    <row r="3461" spans="1:2" ht="112" hidden="1" customHeight="1" x14ac:dyDescent="0.25">
      <c r="A3461" t="s">
        <v>3117</v>
      </c>
      <c r="B3461" s="3" t="s">
        <v>4664</v>
      </c>
    </row>
    <row r="3462" spans="1:2" ht="112" hidden="1" customHeight="1" x14ac:dyDescent="0.25">
      <c r="A3462" t="s">
        <v>3118</v>
      </c>
      <c r="B3462" s="3" t="s">
        <v>4665</v>
      </c>
    </row>
    <row r="3463" spans="1:2" ht="112" hidden="1" customHeight="1" x14ac:dyDescent="0.25">
      <c r="A3463" t="s">
        <v>3119</v>
      </c>
      <c r="B3463" s="3" t="s">
        <v>4666</v>
      </c>
    </row>
    <row r="3464" spans="1:2" ht="112" hidden="1" customHeight="1" x14ac:dyDescent="0.25">
      <c r="A3464" t="s">
        <v>3120</v>
      </c>
      <c r="B3464" s="3" t="s">
        <v>4667</v>
      </c>
    </row>
    <row r="3465" spans="1:2" ht="112" hidden="1" customHeight="1" x14ac:dyDescent="0.25">
      <c r="A3465" t="s">
        <v>3121</v>
      </c>
      <c r="B3465" s="3" t="s">
        <v>4668</v>
      </c>
    </row>
    <row r="3466" spans="1:2" ht="112" hidden="1" customHeight="1" x14ac:dyDescent="0.25">
      <c r="A3466" t="s">
        <v>3122</v>
      </c>
      <c r="B3466" s="3" t="s">
        <v>4669</v>
      </c>
    </row>
    <row r="3467" spans="1:2" ht="112" hidden="1" customHeight="1" x14ac:dyDescent="0.25">
      <c r="A3467" t="s">
        <v>3123</v>
      </c>
      <c r="B3467" s="3" t="s">
        <v>4670</v>
      </c>
    </row>
    <row r="3468" spans="1:2" ht="112" hidden="1" customHeight="1" x14ac:dyDescent="0.25">
      <c r="A3468" t="s">
        <v>3124</v>
      </c>
      <c r="B3468" s="3" t="s">
        <v>4671</v>
      </c>
    </row>
    <row r="3469" spans="1:2" ht="112" hidden="1" customHeight="1" x14ac:dyDescent="0.25">
      <c r="A3469" t="s">
        <v>3125</v>
      </c>
      <c r="B3469" s="3" t="s">
        <v>4672</v>
      </c>
    </row>
    <row r="3470" spans="1:2" ht="112" hidden="1" customHeight="1" x14ac:dyDescent="0.25">
      <c r="A3470" t="s">
        <v>3126</v>
      </c>
      <c r="B3470" s="3" t="s">
        <v>5254</v>
      </c>
    </row>
    <row r="3471" spans="1:2" ht="112" hidden="1" customHeight="1" x14ac:dyDescent="0.25">
      <c r="A3471" t="s">
        <v>3127</v>
      </c>
      <c r="B3471" s="3" t="s">
        <v>5255</v>
      </c>
    </row>
    <row r="3472" spans="1:2" ht="112" hidden="1" customHeight="1" x14ac:dyDescent="0.25">
      <c r="A3472" t="s">
        <v>3128</v>
      </c>
      <c r="B3472" s="3" t="s">
        <v>5256</v>
      </c>
    </row>
    <row r="3473" spans="1:2" ht="112" hidden="1" customHeight="1" x14ac:dyDescent="0.25">
      <c r="A3473" t="s">
        <v>3129</v>
      </c>
      <c r="B3473" s="3" t="s">
        <v>5257</v>
      </c>
    </row>
    <row r="3474" spans="1:2" ht="112" hidden="1" customHeight="1" x14ac:dyDescent="0.25">
      <c r="A3474" t="s">
        <v>3130</v>
      </c>
      <c r="B3474" s="3" t="s">
        <v>5258</v>
      </c>
    </row>
    <row r="3475" spans="1:2" ht="112" hidden="1" customHeight="1" x14ac:dyDescent="0.25">
      <c r="A3475" t="s">
        <v>3131</v>
      </c>
      <c r="B3475" s="3" t="s">
        <v>5341</v>
      </c>
    </row>
    <row r="3476" spans="1:2" ht="112" hidden="1" customHeight="1" x14ac:dyDescent="0.25">
      <c r="A3476" t="s">
        <v>3179</v>
      </c>
      <c r="B3476" s="3" t="s">
        <v>5342</v>
      </c>
    </row>
    <row r="3477" spans="1:2" ht="112" hidden="1" customHeight="1" x14ac:dyDescent="0.25">
      <c r="A3477" t="s">
        <v>3180</v>
      </c>
      <c r="B3477" s="3" t="s">
        <v>5261</v>
      </c>
    </row>
    <row r="3478" spans="1:2" ht="112" hidden="1" customHeight="1" x14ac:dyDescent="0.25">
      <c r="A3478" t="s">
        <v>3181</v>
      </c>
      <c r="B3478" s="3" t="s">
        <v>5262</v>
      </c>
    </row>
    <row r="3479" spans="1:2" ht="112" hidden="1" customHeight="1" x14ac:dyDescent="0.25">
      <c r="A3479" t="s">
        <v>3182</v>
      </c>
      <c r="B3479" s="3" t="s">
        <v>5263</v>
      </c>
    </row>
    <row r="3480" spans="1:2" ht="112" hidden="1" customHeight="1" x14ac:dyDescent="0.25">
      <c r="A3480" t="s">
        <v>3183</v>
      </c>
      <c r="B3480" s="3" t="s">
        <v>5264</v>
      </c>
    </row>
    <row r="3481" spans="1:2" ht="112" hidden="1" customHeight="1" x14ac:dyDescent="0.25">
      <c r="A3481" t="s">
        <v>3184</v>
      </c>
      <c r="B3481" s="3" t="s">
        <v>5265</v>
      </c>
    </row>
    <row r="3482" spans="1:2" ht="112" hidden="1" customHeight="1" x14ac:dyDescent="0.25">
      <c r="A3482" t="s">
        <v>3185</v>
      </c>
      <c r="B3482" s="3" t="s">
        <v>5266</v>
      </c>
    </row>
    <row r="3483" spans="1:2" ht="112" hidden="1" customHeight="1" x14ac:dyDescent="0.25">
      <c r="A3483" t="s">
        <v>3186</v>
      </c>
      <c r="B3483" s="3" t="s">
        <v>5267</v>
      </c>
    </row>
    <row r="3484" spans="1:2" ht="112" hidden="1" customHeight="1" x14ac:dyDescent="0.25">
      <c r="A3484" t="s">
        <v>3187</v>
      </c>
      <c r="B3484" s="3" t="s">
        <v>5502</v>
      </c>
    </row>
    <row r="3485" spans="1:2" ht="112" hidden="1" customHeight="1" x14ac:dyDescent="0.25">
      <c r="A3485" t="s">
        <v>3188</v>
      </c>
      <c r="B3485" s="3" t="s">
        <v>5503</v>
      </c>
    </row>
    <row r="3486" spans="1:2" ht="112" hidden="1" customHeight="1" x14ac:dyDescent="0.25">
      <c r="A3486" t="s">
        <v>3189</v>
      </c>
      <c r="B3486" s="3" t="s">
        <v>4690</v>
      </c>
    </row>
    <row r="3487" spans="1:2" ht="112" hidden="1" customHeight="1" x14ac:dyDescent="0.25">
      <c r="A3487" t="s">
        <v>3190</v>
      </c>
      <c r="B3487" s="3" t="s">
        <v>4691</v>
      </c>
    </row>
    <row r="3488" spans="1:2" ht="112" hidden="1" customHeight="1" x14ac:dyDescent="0.25">
      <c r="A3488" t="s">
        <v>3191</v>
      </c>
      <c r="B3488" s="3" t="s">
        <v>4692</v>
      </c>
    </row>
    <row r="3489" spans="1:2" ht="112" hidden="1" customHeight="1" x14ac:dyDescent="0.25">
      <c r="A3489" t="s">
        <v>3192</v>
      </c>
      <c r="B3489" s="3" t="s">
        <v>4693</v>
      </c>
    </row>
    <row r="3490" spans="1:2" ht="112" hidden="1" customHeight="1" x14ac:dyDescent="0.25">
      <c r="A3490" t="s">
        <v>3193</v>
      </c>
      <c r="B3490" s="3" t="s">
        <v>4694</v>
      </c>
    </row>
    <row r="3491" spans="1:2" ht="112" hidden="1" customHeight="1" x14ac:dyDescent="0.25">
      <c r="A3491" t="s">
        <v>3194</v>
      </c>
      <c r="B3491" s="3" t="s">
        <v>4695</v>
      </c>
    </row>
    <row r="3492" spans="1:2" ht="112" hidden="1" customHeight="1" x14ac:dyDescent="0.25">
      <c r="A3492" t="s">
        <v>3195</v>
      </c>
      <c r="B3492" s="3" t="s">
        <v>4696</v>
      </c>
    </row>
    <row r="3493" spans="1:2" ht="112" hidden="1" customHeight="1" x14ac:dyDescent="0.25">
      <c r="A3493" t="s">
        <v>3196</v>
      </c>
      <c r="B3493" s="3" t="s">
        <v>4697</v>
      </c>
    </row>
    <row r="3494" spans="1:2" ht="112" hidden="1" customHeight="1" x14ac:dyDescent="0.25">
      <c r="A3494" t="s">
        <v>3197</v>
      </c>
      <c r="B3494" s="3" t="s">
        <v>4698</v>
      </c>
    </row>
    <row r="3495" spans="1:2" ht="112" hidden="1" customHeight="1" x14ac:dyDescent="0.25">
      <c r="A3495" t="s">
        <v>3198</v>
      </c>
      <c r="B3495" s="3" t="s">
        <v>4699</v>
      </c>
    </row>
    <row r="3496" spans="1:2" ht="112" hidden="1" customHeight="1" x14ac:dyDescent="0.25">
      <c r="A3496" t="s">
        <v>3199</v>
      </c>
      <c r="B3496" s="3" t="s">
        <v>4700</v>
      </c>
    </row>
    <row r="3497" spans="1:2" ht="112" hidden="1" customHeight="1" x14ac:dyDescent="0.25">
      <c r="A3497" t="s">
        <v>3200</v>
      </c>
      <c r="B3497" s="3" t="s">
        <v>4701</v>
      </c>
    </row>
    <row r="3498" spans="1:2" ht="112" hidden="1" customHeight="1" x14ac:dyDescent="0.25">
      <c r="A3498" t="s">
        <v>3201</v>
      </c>
      <c r="B3498" s="3" t="s">
        <v>4702</v>
      </c>
    </row>
    <row r="3499" spans="1:2" ht="112" hidden="1" customHeight="1" x14ac:dyDescent="0.25">
      <c r="A3499" t="s">
        <v>3202</v>
      </c>
      <c r="B3499" s="3" t="s">
        <v>4703</v>
      </c>
    </row>
    <row r="3500" spans="1:2" ht="112" hidden="1" customHeight="1" x14ac:dyDescent="0.25">
      <c r="A3500" t="s">
        <v>3203</v>
      </c>
      <c r="B3500" s="3" t="s">
        <v>4704</v>
      </c>
    </row>
    <row r="3501" spans="1:2" ht="112" hidden="1" customHeight="1" x14ac:dyDescent="0.25">
      <c r="A3501" t="s">
        <v>3204</v>
      </c>
      <c r="B3501" s="3" t="s">
        <v>4705</v>
      </c>
    </row>
    <row r="3502" spans="1:2" ht="112" hidden="1" customHeight="1" x14ac:dyDescent="0.25">
      <c r="A3502" t="s">
        <v>3205</v>
      </c>
      <c r="B3502" s="3" t="s">
        <v>4706</v>
      </c>
    </row>
    <row r="3503" spans="1:2" ht="112" hidden="1" customHeight="1" x14ac:dyDescent="0.25">
      <c r="A3503" t="s">
        <v>3206</v>
      </c>
      <c r="B3503" s="3" t="s">
        <v>4707</v>
      </c>
    </row>
    <row r="3504" spans="1:2" ht="112" hidden="1" customHeight="1" x14ac:dyDescent="0.25">
      <c r="A3504" t="s">
        <v>3207</v>
      </c>
      <c r="B3504" s="3" t="s">
        <v>4708</v>
      </c>
    </row>
    <row r="3505" spans="1:2" ht="112" hidden="1" customHeight="1" x14ac:dyDescent="0.25">
      <c r="A3505" t="s">
        <v>3208</v>
      </c>
      <c r="B3505" s="3" t="s">
        <v>4709</v>
      </c>
    </row>
    <row r="3506" spans="1:2" ht="112" hidden="1" customHeight="1" x14ac:dyDescent="0.25">
      <c r="A3506" t="s">
        <v>3209</v>
      </c>
      <c r="B3506" s="3" t="s">
        <v>4710</v>
      </c>
    </row>
    <row r="3507" spans="1:2" ht="112" hidden="1" customHeight="1" x14ac:dyDescent="0.25">
      <c r="A3507" t="s">
        <v>3210</v>
      </c>
      <c r="B3507" s="3" t="s">
        <v>4711</v>
      </c>
    </row>
    <row r="3508" spans="1:2" ht="112" hidden="1" customHeight="1" x14ac:dyDescent="0.25">
      <c r="A3508" t="s">
        <v>3211</v>
      </c>
      <c r="B3508" s="3" t="s">
        <v>4712</v>
      </c>
    </row>
    <row r="3509" spans="1:2" ht="112" hidden="1" customHeight="1" x14ac:dyDescent="0.25">
      <c r="A3509" t="s">
        <v>3212</v>
      </c>
      <c r="B3509" s="3" t="s">
        <v>4713</v>
      </c>
    </row>
    <row r="3510" spans="1:2" ht="112" hidden="1" customHeight="1" x14ac:dyDescent="0.25">
      <c r="A3510" t="s">
        <v>3213</v>
      </c>
      <c r="B3510" s="3" t="s">
        <v>4714</v>
      </c>
    </row>
    <row r="3511" spans="1:2" ht="112" hidden="1" customHeight="1" x14ac:dyDescent="0.25">
      <c r="A3511" t="s">
        <v>3214</v>
      </c>
      <c r="B3511" s="3" t="s">
        <v>4715</v>
      </c>
    </row>
    <row r="3512" spans="1:2" ht="112" hidden="1" customHeight="1" x14ac:dyDescent="0.25">
      <c r="A3512" t="s">
        <v>3215</v>
      </c>
      <c r="B3512" s="3" t="s">
        <v>4716</v>
      </c>
    </row>
    <row r="3513" spans="1:2" ht="112" hidden="1" customHeight="1" x14ac:dyDescent="0.25">
      <c r="A3513" t="s">
        <v>3216</v>
      </c>
      <c r="B3513" s="3" t="s">
        <v>4717</v>
      </c>
    </row>
    <row r="3514" spans="1:2" ht="112" hidden="1" customHeight="1" x14ac:dyDescent="0.25">
      <c r="A3514" t="s">
        <v>3217</v>
      </c>
      <c r="B3514" s="3" t="s">
        <v>4718</v>
      </c>
    </row>
    <row r="3515" spans="1:2" ht="112" hidden="1" customHeight="1" x14ac:dyDescent="0.25">
      <c r="A3515" t="s">
        <v>3218</v>
      </c>
      <c r="B3515" s="3" t="s">
        <v>6136</v>
      </c>
    </row>
    <row r="3516" spans="1:2" ht="112" hidden="1" customHeight="1" x14ac:dyDescent="0.25">
      <c r="A3516" t="s">
        <v>3219</v>
      </c>
      <c r="B3516" s="3" t="s">
        <v>4719</v>
      </c>
    </row>
    <row r="3517" spans="1:2" ht="112" hidden="1" customHeight="1" x14ac:dyDescent="0.25">
      <c r="A3517" t="s">
        <v>3220</v>
      </c>
      <c r="B3517" s="3" t="s">
        <v>4720</v>
      </c>
    </row>
    <row r="3518" spans="1:2" ht="112" hidden="1" customHeight="1" x14ac:dyDescent="0.25">
      <c r="A3518" t="s">
        <v>3221</v>
      </c>
      <c r="B3518" s="3" t="s">
        <v>4721</v>
      </c>
    </row>
    <row r="3519" spans="1:2" ht="112" hidden="1" customHeight="1" x14ac:dyDescent="0.25">
      <c r="A3519" t="s">
        <v>3222</v>
      </c>
      <c r="B3519" s="3" t="s">
        <v>4722</v>
      </c>
    </row>
    <row r="3520" spans="1:2" ht="112" hidden="1" customHeight="1" x14ac:dyDescent="0.25">
      <c r="A3520" t="s">
        <v>3223</v>
      </c>
      <c r="B3520" s="3" t="s">
        <v>4723</v>
      </c>
    </row>
    <row r="3521" spans="1:2" ht="112" hidden="1" customHeight="1" x14ac:dyDescent="0.25">
      <c r="A3521" t="s">
        <v>3224</v>
      </c>
      <c r="B3521" s="3" t="s">
        <v>4724</v>
      </c>
    </row>
    <row r="3522" spans="1:2" ht="112" hidden="1" customHeight="1" x14ac:dyDescent="0.25">
      <c r="A3522" t="s">
        <v>3225</v>
      </c>
      <c r="B3522" s="3" t="s">
        <v>4725</v>
      </c>
    </row>
    <row r="3523" spans="1:2" ht="112" hidden="1" customHeight="1" x14ac:dyDescent="0.25">
      <c r="A3523" t="s">
        <v>3226</v>
      </c>
      <c r="B3523" s="3" t="s">
        <v>4726</v>
      </c>
    </row>
    <row r="3524" spans="1:2" ht="112" hidden="1" customHeight="1" x14ac:dyDescent="0.25">
      <c r="A3524" t="s">
        <v>3227</v>
      </c>
      <c r="B3524" s="3" t="s">
        <v>4727</v>
      </c>
    </row>
    <row r="3525" spans="1:2" ht="112" hidden="1" customHeight="1" x14ac:dyDescent="0.25">
      <c r="A3525" t="s">
        <v>3228</v>
      </c>
      <c r="B3525" s="3" t="s">
        <v>6137</v>
      </c>
    </row>
    <row r="3526" spans="1:2" ht="112" hidden="1" customHeight="1" x14ac:dyDescent="0.25">
      <c r="A3526" t="s">
        <v>3229</v>
      </c>
      <c r="B3526" s="3" t="s">
        <v>4728</v>
      </c>
    </row>
    <row r="3527" spans="1:2" ht="112" hidden="1" customHeight="1" x14ac:dyDescent="0.25">
      <c r="A3527" t="s">
        <v>3230</v>
      </c>
      <c r="B3527" s="3" t="s">
        <v>4729</v>
      </c>
    </row>
    <row r="3528" spans="1:2" ht="112" hidden="1" customHeight="1" x14ac:dyDescent="0.25">
      <c r="A3528" t="s">
        <v>3231</v>
      </c>
      <c r="B3528" s="3" t="s">
        <v>4730</v>
      </c>
    </row>
    <row r="3529" spans="1:2" ht="112" hidden="1" customHeight="1" x14ac:dyDescent="0.25">
      <c r="A3529" t="s">
        <v>3232</v>
      </c>
      <c r="B3529" s="3" t="s">
        <v>4731</v>
      </c>
    </row>
    <row r="3530" spans="1:2" ht="112" hidden="1" customHeight="1" x14ac:dyDescent="0.25">
      <c r="A3530" t="s">
        <v>3233</v>
      </c>
      <c r="B3530" s="3" t="s">
        <v>6138</v>
      </c>
    </row>
    <row r="3531" spans="1:2" ht="112" hidden="1" customHeight="1" x14ac:dyDescent="0.25">
      <c r="A3531" t="s">
        <v>3234</v>
      </c>
      <c r="B3531" s="3" t="s">
        <v>4732</v>
      </c>
    </row>
    <row r="3532" spans="1:2" ht="112" hidden="1" customHeight="1" x14ac:dyDescent="0.25">
      <c r="A3532" t="s">
        <v>3235</v>
      </c>
      <c r="B3532" s="3" t="s">
        <v>4733</v>
      </c>
    </row>
    <row r="3533" spans="1:2" ht="112" hidden="1" customHeight="1" x14ac:dyDescent="0.25">
      <c r="A3533" t="s">
        <v>3236</v>
      </c>
      <c r="B3533" s="3" t="s">
        <v>4734</v>
      </c>
    </row>
    <row r="3534" spans="1:2" ht="112" hidden="1" customHeight="1" x14ac:dyDescent="0.25">
      <c r="A3534" t="s">
        <v>3237</v>
      </c>
      <c r="B3534" s="3" t="s">
        <v>7525</v>
      </c>
    </row>
    <row r="3535" spans="1:2" ht="112" hidden="1" customHeight="1" x14ac:dyDescent="0.25">
      <c r="A3535" t="s">
        <v>3238</v>
      </c>
      <c r="B3535" s="3" t="s">
        <v>7526</v>
      </c>
    </row>
    <row r="3536" spans="1:2" ht="112" hidden="1" customHeight="1" x14ac:dyDescent="0.25">
      <c r="A3536" t="s">
        <v>3239</v>
      </c>
      <c r="B3536" s="3" t="s">
        <v>7527</v>
      </c>
    </row>
    <row r="3537" spans="1:2" ht="112" hidden="1" customHeight="1" x14ac:dyDescent="0.25">
      <c r="A3537" t="s">
        <v>3240</v>
      </c>
      <c r="B3537" s="3" t="s">
        <v>4735</v>
      </c>
    </row>
    <row r="3538" spans="1:2" ht="112" hidden="1" customHeight="1" x14ac:dyDescent="0.25">
      <c r="A3538" t="s">
        <v>3241</v>
      </c>
      <c r="B3538" s="3" t="s">
        <v>4736</v>
      </c>
    </row>
    <row r="3539" spans="1:2" ht="112" hidden="1" customHeight="1" x14ac:dyDescent="0.25">
      <c r="A3539" t="s">
        <v>3242</v>
      </c>
      <c r="B3539" s="3" t="s">
        <v>4737</v>
      </c>
    </row>
    <row r="3540" spans="1:2" ht="112" hidden="1" customHeight="1" x14ac:dyDescent="0.25">
      <c r="A3540" t="s">
        <v>3243</v>
      </c>
      <c r="B3540" s="3" t="s">
        <v>4738</v>
      </c>
    </row>
    <row r="3541" spans="1:2" ht="112" hidden="1" customHeight="1" x14ac:dyDescent="0.25">
      <c r="A3541" t="s">
        <v>3244</v>
      </c>
      <c r="B3541" s="3" t="s">
        <v>4739</v>
      </c>
    </row>
    <row r="3542" spans="1:2" ht="112" hidden="1" customHeight="1" x14ac:dyDescent="0.25">
      <c r="A3542" t="s">
        <v>3245</v>
      </c>
      <c r="B3542" s="3" t="s">
        <v>5504</v>
      </c>
    </row>
    <row r="3543" spans="1:2" ht="112" hidden="1" customHeight="1" x14ac:dyDescent="0.25">
      <c r="A3543" t="s">
        <v>3246</v>
      </c>
      <c r="B3543" s="3" t="s">
        <v>5505</v>
      </c>
    </row>
    <row r="3544" spans="1:2" ht="112" hidden="1" customHeight="1" x14ac:dyDescent="0.25">
      <c r="A3544" t="s">
        <v>3247</v>
      </c>
      <c r="B3544" s="3" t="s">
        <v>5506</v>
      </c>
    </row>
    <row r="3545" spans="1:2" ht="112" hidden="1" customHeight="1" x14ac:dyDescent="0.25">
      <c r="A3545" t="s">
        <v>3248</v>
      </c>
      <c r="B3545" s="3" t="s">
        <v>5507</v>
      </c>
    </row>
    <row r="3546" spans="1:2" ht="112" hidden="1" customHeight="1" x14ac:dyDescent="0.25">
      <c r="A3546" t="s">
        <v>4740</v>
      </c>
      <c r="B3546" s="3" t="s">
        <v>4747</v>
      </c>
    </row>
    <row r="3547" spans="1:2" ht="112" hidden="1" customHeight="1" x14ac:dyDescent="0.25">
      <c r="A3547" t="s">
        <v>4741</v>
      </c>
      <c r="B3547" s="3" t="s">
        <v>4748</v>
      </c>
    </row>
    <row r="3548" spans="1:2" ht="112" hidden="1" customHeight="1" x14ac:dyDescent="0.25">
      <c r="A3548" t="s">
        <v>4742</v>
      </c>
      <c r="B3548" s="3" t="s">
        <v>4749</v>
      </c>
    </row>
    <row r="3549" spans="1:2" ht="112" hidden="1" customHeight="1" x14ac:dyDescent="0.25">
      <c r="A3549" t="s">
        <v>4743</v>
      </c>
      <c r="B3549" s="3" t="s">
        <v>4750</v>
      </c>
    </row>
    <row r="3550" spans="1:2" ht="112" hidden="1" customHeight="1" x14ac:dyDescent="0.25">
      <c r="A3550" t="s">
        <v>4744</v>
      </c>
      <c r="B3550" s="3" t="s">
        <v>4751</v>
      </c>
    </row>
    <row r="3551" spans="1:2" ht="112" hidden="1" customHeight="1" x14ac:dyDescent="0.25">
      <c r="A3551" t="s">
        <v>4745</v>
      </c>
      <c r="B3551" s="3" t="s">
        <v>4752</v>
      </c>
    </row>
    <row r="3552" spans="1:2" ht="112" hidden="1" customHeight="1" x14ac:dyDescent="0.25">
      <c r="A3552" t="s">
        <v>4753</v>
      </c>
      <c r="B3552" s="3" t="s">
        <v>5309</v>
      </c>
    </row>
    <row r="3553" spans="1:2" ht="112" hidden="1" customHeight="1" x14ac:dyDescent="0.25">
      <c r="A3553" t="s">
        <v>4754</v>
      </c>
      <c r="B3553" s="3" t="s">
        <v>5508</v>
      </c>
    </row>
    <row r="3554" spans="1:2" ht="112" hidden="1" customHeight="1" x14ac:dyDescent="0.25">
      <c r="A3554" t="s">
        <v>4755</v>
      </c>
      <c r="B3554" s="3" t="s">
        <v>6450</v>
      </c>
    </row>
    <row r="3555" spans="1:2" ht="112" hidden="1" customHeight="1" x14ac:dyDescent="0.25">
      <c r="A3555" t="s">
        <v>4756</v>
      </c>
      <c r="B3555" s="3" t="s">
        <v>5310</v>
      </c>
    </row>
    <row r="3556" spans="1:2" ht="112" hidden="1" customHeight="1" x14ac:dyDescent="0.25">
      <c r="A3556" t="s">
        <v>5308</v>
      </c>
      <c r="B3556" s="3" t="s">
        <v>5311</v>
      </c>
    </row>
    <row r="3557" spans="1:2" ht="112" hidden="1" customHeight="1" x14ac:dyDescent="0.25">
      <c r="A3557" t="s">
        <v>5312</v>
      </c>
      <c r="B3557" s="3" t="s">
        <v>5315</v>
      </c>
    </row>
    <row r="3558" spans="1:2" ht="112" hidden="1" customHeight="1" x14ac:dyDescent="0.25">
      <c r="A3558" t="s">
        <v>5313</v>
      </c>
      <c r="B3558" s="3" t="s">
        <v>5332</v>
      </c>
    </row>
    <row r="3559" spans="1:2" ht="112" hidden="1" customHeight="1" x14ac:dyDescent="0.25">
      <c r="A3559" t="s">
        <v>5314</v>
      </c>
      <c r="B3559" s="3" t="s">
        <v>5316</v>
      </c>
    </row>
    <row r="3560" spans="1:2" ht="112" hidden="1" customHeight="1" x14ac:dyDescent="0.25">
      <c r="A3560" t="s">
        <v>5322</v>
      </c>
      <c r="B3560" s="3" t="s">
        <v>5333</v>
      </c>
    </row>
    <row r="3561" spans="1:2" ht="112" hidden="1" customHeight="1" x14ac:dyDescent="0.25">
      <c r="A3561" t="s">
        <v>5323</v>
      </c>
      <c r="B3561" s="3" t="s">
        <v>5325</v>
      </c>
    </row>
    <row r="3562" spans="1:2" ht="112" hidden="1" customHeight="1" x14ac:dyDescent="0.25">
      <c r="A3562" t="s">
        <v>5324</v>
      </c>
      <c r="B3562" s="3" t="s">
        <v>5326</v>
      </c>
    </row>
    <row r="3563" spans="1:2" ht="112" hidden="1" customHeight="1" x14ac:dyDescent="0.25">
      <c r="A3563" t="s">
        <v>5320</v>
      </c>
      <c r="B3563" s="3" t="s">
        <v>7528</v>
      </c>
    </row>
    <row r="3564" spans="1:2" ht="112" hidden="1" customHeight="1" x14ac:dyDescent="0.25">
      <c r="A3564" t="s">
        <v>5321</v>
      </c>
      <c r="B3564" s="3" t="s">
        <v>5334</v>
      </c>
    </row>
    <row r="3565" spans="1:2" ht="112" hidden="1" customHeight="1" x14ac:dyDescent="0.25">
      <c r="A3565" t="s">
        <v>5317</v>
      </c>
      <c r="B3565" s="3" t="s">
        <v>5509</v>
      </c>
    </row>
    <row r="3566" spans="1:2" ht="112" hidden="1" customHeight="1" x14ac:dyDescent="0.25">
      <c r="A3566" t="s">
        <v>5318</v>
      </c>
      <c r="B3566" s="3" t="s">
        <v>5327</v>
      </c>
    </row>
    <row r="3567" spans="1:2" ht="112" hidden="1" customHeight="1" x14ac:dyDescent="0.25">
      <c r="A3567" t="s">
        <v>5319</v>
      </c>
      <c r="B3567" s="3" t="s">
        <v>5331</v>
      </c>
    </row>
    <row r="3568" spans="1:2" ht="112" hidden="1" customHeight="1" x14ac:dyDescent="0.25">
      <c r="A3568" t="s">
        <v>5328</v>
      </c>
      <c r="B3568" s="3" t="s">
        <v>5329</v>
      </c>
    </row>
    <row r="3569" spans="1:2" ht="112" hidden="1" customHeight="1" x14ac:dyDescent="0.25">
      <c r="A3569" t="s">
        <v>5330</v>
      </c>
      <c r="B3569" s="3" t="s">
        <v>7529</v>
      </c>
    </row>
    <row r="3570" spans="1:2" ht="112" hidden="1" customHeight="1" x14ac:dyDescent="0.25">
      <c r="A3570" t="s">
        <v>5335</v>
      </c>
      <c r="B3570" s="3" t="s">
        <v>5643</v>
      </c>
    </row>
    <row r="3571" spans="1:2" ht="112" hidden="1" customHeight="1" x14ac:dyDescent="0.25">
      <c r="A3571" t="s">
        <v>5519</v>
      </c>
      <c r="B3571" s="3" t="s">
        <v>5527</v>
      </c>
    </row>
    <row r="3572" spans="1:2" ht="112" hidden="1" customHeight="1" x14ac:dyDescent="0.25">
      <c r="A3572" t="s">
        <v>5520</v>
      </c>
      <c r="B3572" s="3" t="s">
        <v>5528</v>
      </c>
    </row>
    <row r="3573" spans="1:2" ht="112" hidden="1" customHeight="1" x14ac:dyDescent="0.25">
      <c r="A3573" t="s">
        <v>5521</v>
      </c>
      <c r="B3573" s="3" t="s">
        <v>5529</v>
      </c>
    </row>
    <row r="3574" spans="1:2" ht="112" hidden="1" customHeight="1" x14ac:dyDescent="0.25">
      <c r="A3574" t="s">
        <v>5522</v>
      </c>
      <c r="B3574" s="3" t="s">
        <v>5530</v>
      </c>
    </row>
    <row r="3575" spans="1:2" ht="112" hidden="1" customHeight="1" x14ac:dyDescent="0.25">
      <c r="A3575" t="s">
        <v>5523</v>
      </c>
      <c r="B3575" s="3" t="s">
        <v>5531</v>
      </c>
    </row>
    <row r="3576" spans="1:2" ht="112" hidden="1" customHeight="1" x14ac:dyDescent="0.25">
      <c r="A3576" t="s">
        <v>5524</v>
      </c>
      <c r="B3576" s="3" t="s">
        <v>5532</v>
      </c>
    </row>
    <row r="3577" spans="1:2" ht="112" hidden="1" customHeight="1" x14ac:dyDescent="0.25">
      <c r="A3577" t="s">
        <v>1656</v>
      </c>
      <c r="B3577" s="3" t="s">
        <v>7530</v>
      </c>
    </row>
    <row r="3578" spans="1:2" ht="112" hidden="1" customHeight="1" x14ac:dyDescent="0.25">
      <c r="A3578" t="s">
        <v>5525</v>
      </c>
      <c r="B3578" s="3" t="s">
        <v>5533</v>
      </c>
    </row>
    <row r="3579" spans="1:2" ht="112" hidden="1" customHeight="1" x14ac:dyDescent="0.25">
      <c r="A3579" t="s">
        <v>5526</v>
      </c>
      <c r="B3579" s="3" t="s">
        <v>5534</v>
      </c>
    </row>
    <row r="3580" spans="1:2" ht="112" hidden="1" customHeight="1" x14ac:dyDescent="0.25">
      <c r="A3580" t="s">
        <v>5541</v>
      </c>
      <c r="B3580" s="3" t="s">
        <v>5548</v>
      </c>
    </row>
    <row r="3581" spans="1:2" ht="112" hidden="1" customHeight="1" x14ac:dyDescent="0.25">
      <c r="A3581" t="s">
        <v>5542</v>
      </c>
      <c r="B3581" s="3" t="s">
        <v>5549</v>
      </c>
    </row>
    <row r="3582" spans="1:2" ht="112" hidden="1" customHeight="1" x14ac:dyDescent="0.25">
      <c r="A3582" t="s">
        <v>5543</v>
      </c>
      <c r="B3582" s="3" t="s">
        <v>5550</v>
      </c>
    </row>
    <row r="3583" spans="1:2" ht="112" hidden="1" customHeight="1" x14ac:dyDescent="0.25">
      <c r="A3583" t="s">
        <v>5544</v>
      </c>
      <c r="B3583" s="3" t="s">
        <v>5635</v>
      </c>
    </row>
    <row r="3584" spans="1:2" ht="112" hidden="1" customHeight="1" x14ac:dyDescent="0.25">
      <c r="A3584" t="s">
        <v>5545</v>
      </c>
      <c r="B3584" s="3" t="s">
        <v>5636</v>
      </c>
    </row>
    <row r="3585" spans="1:2" ht="112" hidden="1" customHeight="1" x14ac:dyDescent="0.25">
      <c r="A3585" t="s">
        <v>5546</v>
      </c>
      <c r="B3585" s="3" t="s">
        <v>5637</v>
      </c>
    </row>
    <row r="3586" spans="1:2" ht="112" hidden="1" customHeight="1" x14ac:dyDescent="0.25">
      <c r="A3586" t="s">
        <v>5547</v>
      </c>
      <c r="B3586" s="3" t="s">
        <v>5638</v>
      </c>
    </row>
    <row r="3587" spans="1:2" ht="112" hidden="1" customHeight="1" x14ac:dyDescent="0.25">
      <c r="A3587" t="s">
        <v>5535</v>
      </c>
      <c r="B3587" s="3" t="s">
        <v>7531</v>
      </c>
    </row>
    <row r="3588" spans="1:2" ht="112" hidden="1" customHeight="1" x14ac:dyDescent="0.25">
      <c r="A3588" t="s">
        <v>5536</v>
      </c>
      <c r="B3588" s="3" t="s">
        <v>7532</v>
      </c>
    </row>
    <row r="3589" spans="1:2" ht="112" hidden="1" customHeight="1" x14ac:dyDescent="0.25">
      <c r="A3589" t="s">
        <v>5537</v>
      </c>
      <c r="B3589" s="3" t="s">
        <v>7533</v>
      </c>
    </row>
    <row r="3590" spans="1:2" ht="112" hidden="1" customHeight="1" x14ac:dyDescent="0.25">
      <c r="A3590" t="s">
        <v>5538</v>
      </c>
      <c r="B3590" s="3" t="s">
        <v>7534</v>
      </c>
    </row>
    <row r="3591" spans="1:2" ht="112" hidden="1" customHeight="1" x14ac:dyDescent="0.25">
      <c r="A3591" t="s">
        <v>5539</v>
      </c>
      <c r="B3591" s="3" t="s">
        <v>7535</v>
      </c>
    </row>
    <row r="3592" spans="1:2" ht="112" hidden="1" customHeight="1" x14ac:dyDescent="0.25">
      <c r="A3592" t="s">
        <v>5540</v>
      </c>
      <c r="B3592" s="3" t="s">
        <v>7536</v>
      </c>
    </row>
    <row r="3593" spans="1:2" ht="112" hidden="1" customHeight="1" x14ac:dyDescent="0.25">
      <c r="A3593" t="s">
        <v>5551</v>
      </c>
      <c r="B3593" s="3" t="s">
        <v>5639</v>
      </c>
    </row>
    <row r="3594" spans="1:2" ht="112" hidden="1" customHeight="1" x14ac:dyDescent="0.25">
      <c r="A3594" t="s">
        <v>5552</v>
      </c>
      <c r="B3594" s="3" t="s">
        <v>5640</v>
      </c>
    </row>
    <row r="3595" spans="1:2" ht="112" hidden="1" customHeight="1" x14ac:dyDescent="0.25">
      <c r="A3595" t="s">
        <v>5553</v>
      </c>
      <c r="B3595" s="3" t="s">
        <v>5557</v>
      </c>
    </row>
    <row r="3596" spans="1:2" ht="112" hidden="1" customHeight="1" x14ac:dyDescent="0.25">
      <c r="A3596" t="s">
        <v>5554</v>
      </c>
      <c r="B3596" s="3" t="s">
        <v>5558</v>
      </c>
    </row>
    <row r="3597" spans="1:2" ht="112" hidden="1" customHeight="1" x14ac:dyDescent="0.25">
      <c r="A3597" t="s">
        <v>5555</v>
      </c>
      <c r="B3597" s="3" t="s">
        <v>5641</v>
      </c>
    </row>
    <row r="3598" spans="1:2" ht="112" hidden="1" customHeight="1" x14ac:dyDescent="0.25">
      <c r="A3598" t="s">
        <v>5556</v>
      </c>
      <c r="B3598" s="3" t="s">
        <v>5559</v>
      </c>
    </row>
    <row r="3599" spans="1:2" ht="112" hidden="1" customHeight="1" x14ac:dyDescent="0.25">
      <c r="A3599" t="s">
        <v>5560</v>
      </c>
      <c r="B3599" s="3" t="s">
        <v>5642</v>
      </c>
    </row>
    <row r="3600" spans="1:2" ht="112" hidden="1" customHeight="1" x14ac:dyDescent="0.25">
      <c r="A3600" t="s">
        <v>5561</v>
      </c>
      <c r="B3600" s="3" t="s">
        <v>5563</v>
      </c>
    </row>
    <row r="3601" spans="1:2" ht="112" hidden="1" customHeight="1" x14ac:dyDescent="0.25">
      <c r="A3601" t="s">
        <v>5562</v>
      </c>
      <c r="B3601" s="3" t="s">
        <v>5564</v>
      </c>
    </row>
    <row r="3602" spans="1:2" ht="112" hidden="1" customHeight="1" x14ac:dyDescent="0.25">
      <c r="A3602" t="s">
        <v>5565</v>
      </c>
      <c r="B3602" s="3" t="s">
        <v>5571</v>
      </c>
    </row>
    <row r="3603" spans="1:2" ht="112" hidden="1" customHeight="1" x14ac:dyDescent="0.25">
      <c r="A3603" t="s">
        <v>5566</v>
      </c>
      <c r="B3603" s="3" t="s">
        <v>5572</v>
      </c>
    </row>
    <row r="3604" spans="1:2" ht="112" hidden="1" customHeight="1" x14ac:dyDescent="0.25">
      <c r="A3604" t="s">
        <v>5567</v>
      </c>
      <c r="B3604" s="3" t="s">
        <v>5573</v>
      </c>
    </row>
    <row r="3605" spans="1:2" ht="112" hidden="1" customHeight="1" x14ac:dyDescent="0.25">
      <c r="A3605" t="s">
        <v>5568</v>
      </c>
      <c r="B3605" s="3" t="s">
        <v>5574</v>
      </c>
    </row>
    <row r="3606" spans="1:2" ht="112" hidden="1" customHeight="1" x14ac:dyDescent="0.25">
      <c r="A3606" t="s">
        <v>5569</v>
      </c>
      <c r="B3606" s="3" t="s">
        <v>5575</v>
      </c>
    </row>
    <row r="3607" spans="1:2" ht="112" hidden="1" customHeight="1" x14ac:dyDescent="0.25">
      <c r="A3607" t="s">
        <v>5570</v>
      </c>
      <c r="B3607" s="3" t="s">
        <v>5576</v>
      </c>
    </row>
    <row r="3608" spans="1:2" ht="112" hidden="1" customHeight="1" x14ac:dyDescent="0.25">
      <c r="A3608" t="s">
        <v>5577</v>
      </c>
      <c r="B3608" s="3" t="s">
        <v>5706</v>
      </c>
    </row>
    <row r="3609" spans="1:2" ht="112" hidden="1" customHeight="1" x14ac:dyDescent="0.25">
      <c r="A3609" t="s">
        <v>5578</v>
      </c>
      <c r="B3609" s="3" t="s">
        <v>5705</v>
      </c>
    </row>
    <row r="3610" spans="1:2" ht="112" hidden="1" customHeight="1" x14ac:dyDescent="0.25">
      <c r="A3610" t="s">
        <v>5579</v>
      </c>
      <c r="B3610" s="3" t="s">
        <v>5644</v>
      </c>
    </row>
    <row r="3611" spans="1:2" ht="112" hidden="1" customHeight="1" x14ac:dyDescent="0.25">
      <c r="A3611" t="s">
        <v>5580</v>
      </c>
      <c r="B3611" s="3" t="s">
        <v>5645</v>
      </c>
    </row>
    <row r="3612" spans="1:2" ht="112" hidden="1" customHeight="1" x14ac:dyDescent="0.25">
      <c r="A3612" t="s">
        <v>5581</v>
      </c>
      <c r="B3612" s="3" t="s">
        <v>5646</v>
      </c>
    </row>
    <row r="3613" spans="1:2" ht="112" hidden="1" customHeight="1" x14ac:dyDescent="0.25">
      <c r="A3613" t="s">
        <v>5582</v>
      </c>
      <c r="B3613" s="3" t="s">
        <v>5647</v>
      </c>
    </row>
    <row r="3614" spans="1:2" ht="112" hidden="1" customHeight="1" x14ac:dyDescent="0.25">
      <c r="A3614" t="s">
        <v>5583</v>
      </c>
      <c r="B3614" s="3" t="s">
        <v>5648</v>
      </c>
    </row>
    <row r="3615" spans="1:2" ht="112" hidden="1" customHeight="1" x14ac:dyDescent="0.25">
      <c r="A3615" t="s">
        <v>5584</v>
      </c>
      <c r="B3615" s="3" t="s">
        <v>5649</v>
      </c>
    </row>
    <row r="3616" spans="1:2" ht="112" hidden="1" customHeight="1" x14ac:dyDescent="0.25">
      <c r="A3616" t="s">
        <v>5585</v>
      </c>
      <c r="B3616" s="3" t="s">
        <v>5650</v>
      </c>
    </row>
    <row r="3617" spans="1:2" ht="112" hidden="1" customHeight="1" x14ac:dyDescent="0.25">
      <c r="A3617" t="s">
        <v>5586</v>
      </c>
      <c r="B3617" s="3" t="s">
        <v>5651</v>
      </c>
    </row>
    <row r="3618" spans="1:2" ht="112" hidden="1" customHeight="1" x14ac:dyDescent="0.25">
      <c r="A3618" t="s">
        <v>5587</v>
      </c>
      <c r="B3618" s="3" t="s">
        <v>5652</v>
      </c>
    </row>
    <row r="3619" spans="1:2" ht="112" hidden="1" customHeight="1" x14ac:dyDescent="0.25">
      <c r="A3619" t="s">
        <v>5588</v>
      </c>
      <c r="B3619" s="3" t="s">
        <v>5653</v>
      </c>
    </row>
    <row r="3620" spans="1:2" ht="112" hidden="1" customHeight="1" x14ac:dyDescent="0.25">
      <c r="A3620" t="s">
        <v>5589</v>
      </c>
      <c r="B3620" s="3" t="s">
        <v>5654</v>
      </c>
    </row>
    <row r="3621" spans="1:2" ht="112" hidden="1" customHeight="1" x14ac:dyDescent="0.25">
      <c r="A3621" t="s">
        <v>5590</v>
      </c>
      <c r="B3621" s="3" t="s">
        <v>5655</v>
      </c>
    </row>
    <row r="3622" spans="1:2" ht="112" hidden="1" customHeight="1" x14ac:dyDescent="0.25">
      <c r="A3622" t="s">
        <v>5591</v>
      </c>
      <c r="B3622" s="3" t="s">
        <v>5656</v>
      </c>
    </row>
    <row r="3623" spans="1:2" ht="112" hidden="1" customHeight="1" x14ac:dyDescent="0.25">
      <c r="A3623" t="s">
        <v>5592</v>
      </c>
      <c r="B3623" s="3" t="s">
        <v>5657</v>
      </c>
    </row>
    <row r="3624" spans="1:2" ht="112" hidden="1" customHeight="1" x14ac:dyDescent="0.25">
      <c r="A3624" t="s">
        <v>5593</v>
      </c>
      <c r="B3624" s="3" t="s">
        <v>5658</v>
      </c>
    </row>
    <row r="3625" spans="1:2" ht="112" hidden="1" customHeight="1" x14ac:dyDescent="0.25">
      <c r="A3625" t="s">
        <v>5594</v>
      </c>
      <c r="B3625" s="3" t="s">
        <v>5659</v>
      </c>
    </row>
    <row r="3626" spans="1:2" ht="112" hidden="1" customHeight="1" x14ac:dyDescent="0.25">
      <c r="A3626" t="s">
        <v>5595</v>
      </c>
      <c r="B3626" s="3" t="s">
        <v>5660</v>
      </c>
    </row>
    <row r="3627" spans="1:2" ht="112" hidden="1" customHeight="1" x14ac:dyDescent="0.25">
      <c r="A3627" t="s">
        <v>5596</v>
      </c>
      <c r="B3627" s="3" t="s">
        <v>10346</v>
      </c>
    </row>
    <row r="3628" spans="1:2" ht="112" hidden="1" customHeight="1" x14ac:dyDescent="0.25">
      <c r="A3628" t="s">
        <v>5597</v>
      </c>
      <c r="B3628" s="3" t="s">
        <v>5661</v>
      </c>
    </row>
    <row r="3629" spans="1:2" ht="112" hidden="1" customHeight="1" x14ac:dyDescent="0.25">
      <c r="A3629" t="s">
        <v>7885</v>
      </c>
      <c r="B3629" s="3" t="s">
        <v>5662</v>
      </c>
    </row>
    <row r="3630" spans="1:2" ht="112" hidden="1" customHeight="1" x14ac:dyDescent="0.25">
      <c r="A3630" t="s">
        <v>5599</v>
      </c>
      <c r="B3630" s="3" t="s">
        <v>5663</v>
      </c>
    </row>
    <row r="3631" spans="1:2" ht="112" hidden="1" customHeight="1" x14ac:dyDescent="0.25">
      <c r="A3631" t="s">
        <v>5600</v>
      </c>
      <c r="B3631" s="3" t="s">
        <v>5664</v>
      </c>
    </row>
    <row r="3632" spans="1:2" ht="112" hidden="1" customHeight="1" x14ac:dyDescent="0.25">
      <c r="A3632" t="s">
        <v>5601</v>
      </c>
      <c r="B3632" s="3" t="s">
        <v>5665</v>
      </c>
    </row>
    <row r="3633" spans="1:2" ht="112" hidden="1" customHeight="1" x14ac:dyDescent="0.25">
      <c r="A3633" t="s">
        <v>5602</v>
      </c>
      <c r="B3633" s="3" t="s">
        <v>5666</v>
      </c>
    </row>
    <row r="3634" spans="1:2" ht="112" hidden="1" customHeight="1" x14ac:dyDescent="0.25">
      <c r="A3634" t="s">
        <v>5603</v>
      </c>
      <c r="B3634" s="3" t="s">
        <v>5667</v>
      </c>
    </row>
    <row r="3635" spans="1:2" ht="112" hidden="1" customHeight="1" x14ac:dyDescent="0.25">
      <c r="A3635" t="s">
        <v>5604</v>
      </c>
      <c r="B3635" s="3" t="s">
        <v>5668</v>
      </c>
    </row>
    <row r="3636" spans="1:2" ht="112" hidden="1" customHeight="1" x14ac:dyDescent="0.25">
      <c r="A3636" t="s">
        <v>5605</v>
      </c>
      <c r="B3636" s="3" t="s">
        <v>5669</v>
      </c>
    </row>
    <row r="3637" spans="1:2" ht="112" hidden="1" customHeight="1" x14ac:dyDescent="0.25">
      <c r="A3637" t="s">
        <v>5606</v>
      </c>
      <c r="B3637" s="3" t="s">
        <v>5670</v>
      </c>
    </row>
    <row r="3638" spans="1:2" ht="112" hidden="1" customHeight="1" x14ac:dyDescent="0.25">
      <c r="A3638" t="s">
        <v>5607</v>
      </c>
      <c r="B3638" s="3" t="s">
        <v>5671</v>
      </c>
    </row>
    <row r="3639" spans="1:2" ht="112" hidden="1" customHeight="1" x14ac:dyDescent="0.25">
      <c r="A3639" t="s">
        <v>5608</v>
      </c>
      <c r="B3639" s="3" t="s">
        <v>5672</v>
      </c>
    </row>
    <row r="3640" spans="1:2" ht="112" hidden="1" customHeight="1" x14ac:dyDescent="0.25">
      <c r="A3640" t="s">
        <v>5609</v>
      </c>
      <c r="B3640" s="3" t="s">
        <v>5673</v>
      </c>
    </row>
    <row r="3641" spans="1:2" ht="112" hidden="1" customHeight="1" x14ac:dyDescent="0.25">
      <c r="A3641" t="s">
        <v>5610</v>
      </c>
      <c r="B3641" s="3" t="s">
        <v>5674</v>
      </c>
    </row>
    <row r="3642" spans="1:2" ht="112" hidden="1" customHeight="1" x14ac:dyDescent="0.25">
      <c r="A3642" t="s">
        <v>5611</v>
      </c>
      <c r="B3642" s="3" t="s">
        <v>5675</v>
      </c>
    </row>
    <row r="3643" spans="1:2" ht="112" hidden="1" customHeight="1" x14ac:dyDescent="0.25">
      <c r="A3643" t="s">
        <v>5612</v>
      </c>
      <c r="B3643" s="3" t="s">
        <v>5676</v>
      </c>
    </row>
    <row r="3644" spans="1:2" ht="112" hidden="1" customHeight="1" x14ac:dyDescent="0.25">
      <c r="A3644" t="s">
        <v>5613</v>
      </c>
      <c r="B3644" s="3" t="s">
        <v>5677</v>
      </c>
    </row>
    <row r="3645" spans="1:2" ht="112" hidden="1" customHeight="1" x14ac:dyDescent="0.25">
      <c r="A3645" t="s">
        <v>5614</v>
      </c>
      <c r="B3645" s="3" t="s">
        <v>5678</v>
      </c>
    </row>
    <row r="3646" spans="1:2" ht="112" hidden="1" customHeight="1" x14ac:dyDescent="0.25">
      <c r="A3646" t="s">
        <v>5615</v>
      </c>
      <c r="B3646" s="3" t="s">
        <v>5679</v>
      </c>
    </row>
    <row r="3647" spans="1:2" ht="112" hidden="1" customHeight="1" x14ac:dyDescent="0.25">
      <c r="A3647" t="s">
        <v>5616</v>
      </c>
      <c r="B3647" s="3" t="s">
        <v>5680</v>
      </c>
    </row>
    <row r="3648" spans="1:2" ht="112" hidden="1" customHeight="1" x14ac:dyDescent="0.25">
      <c r="A3648" t="s">
        <v>5617</v>
      </c>
      <c r="B3648" s="3" t="s">
        <v>5681</v>
      </c>
    </row>
    <row r="3649" spans="1:2" ht="112" hidden="1" customHeight="1" x14ac:dyDescent="0.25">
      <c r="A3649" t="s">
        <v>5618</v>
      </c>
      <c r="B3649" s="3" t="s">
        <v>5682</v>
      </c>
    </row>
    <row r="3650" spans="1:2" ht="112" hidden="1" customHeight="1" x14ac:dyDescent="0.25">
      <c r="A3650" t="s">
        <v>5619</v>
      </c>
      <c r="B3650" s="3" t="s">
        <v>5683</v>
      </c>
    </row>
    <row r="3651" spans="1:2" ht="112" hidden="1" customHeight="1" x14ac:dyDescent="0.25">
      <c r="A3651" t="s">
        <v>5620</v>
      </c>
      <c r="B3651" s="3" t="s">
        <v>5684</v>
      </c>
    </row>
    <row r="3652" spans="1:2" ht="112" hidden="1" customHeight="1" x14ac:dyDescent="0.25">
      <c r="A3652" t="s">
        <v>5621</v>
      </c>
      <c r="B3652" s="3" t="s">
        <v>5685</v>
      </c>
    </row>
    <row r="3653" spans="1:2" ht="112" hidden="1" customHeight="1" x14ac:dyDescent="0.25">
      <c r="A3653" t="s">
        <v>5622</v>
      </c>
      <c r="B3653" s="3" t="s">
        <v>5686</v>
      </c>
    </row>
    <row r="3654" spans="1:2" ht="112" hidden="1" customHeight="1" x14ac:dyDescent="0.25">
      <c r="A3654" t="s">
        <v>5623</v>
      </c>
      <c r="B3654" s="3" t="s">
        <v>5687</v>
      </c>
    </row>
    <row r="3655" spans="1:2" ht="112" hidden="1" customHeight="1" x14ac:dyDescent="0.25">
      <c r="A3655" t="s">
        <v>5624</v>
      </c>
      <c r="B3655" s="3" t="s">
        <v>5688</v>
      </c>
    </row>
    <row r="3656" spans="1:2" ht="112" hidden="1" customHeight="1" x14ac:dyDescent="0.25">
      <c r="A3656" t="s">
        <v>5625</v>
      </c>
      <c r="B3656" s="3" t="s">
        <v>5689</v>
      </c>
    </row>
    <row r="3657" spans="1:2" ht="112" hidden="1" customHeight="1" x14ac:dyDescent="0.25">
      <c r="A3657" t="s">
        <v>5626</v>
      </c>
      <c r="B3657" s="3" t="s">
        <v>5690</v>
      </c>
    </row>
    <row r="3658" spans="1:2" ht="112" hidden="1" customHeight="1" x14ac:dyDescent="0.25">
      <c r="A3658" t="s">
        <v>5627</v>
      </c>
      <c r="B3658" s="3" t="s">
        <v>5691</v>
      </c>
    </row>
    <row r="3659" spans="1:2" ht="112" hidden="1" customHeight="1" x14ac:dyDescent="0.25">
      <c r="A3659" t="s">
        <v>5628</v>
      </c>
      <c r="B3659" s="3" t="s">
        <v>5692</v>
      </c>
    </row>
    <row r="3660" spans="1:2" ht="112" hidden="1" customHeight="1" x14ac:dyDescent="0.25">
      <c r="A3660" t="s">
        <v>5629</v>
      </c>
      <c r="B3660" s="3" t="s">
        <v>5693</v>
      </c>
    </row>
    <row r="3661" spans="1:2" ht="112" hidden="1" customHeight="1" x14ac:dyDescent="0.25">
      <c r="A3661" t="s">
        <v>5694</v>
      </c>
      <c r="B3661" s="3" t="s">
        <v>5695</v>
      </c>
    </row>
    <row r="3662" spans="1:2" ht="112" hidden="1" customHeight="1" x14ac:dyDescent="0.25">
      <c r="A3662" t="s">
        <v>5696</v>
      </c>
      <c r="B3662" s="3" t="s">
        <v>5701</v>
      </c>
    </row>
    <row r="3663" spans="1:2" ht="112" hidden="1" customHeight="1" x14ac:dyDescent="0.25">
      <c r="A3663" t="s">
        <v>5697</v>
      </c>
      <c r="B3663" s="3" t="s">
        <v>5700</v>
      </c>
    </row>
    <row r="3664" spans="1:2" ht="112" hidden="1" customHeight="1" x14ac:dyDescent="0.25">
      <c r="A3664" t="s">
        <v>5698</v>
      </c>
      <c r="B3664" s="3" t="s">
        <v>5702</v>
      </c>
    </row>
    <row r="3665" spans="1:2" ht="112" hidden="1" customHeight="1" x14ac:dyDescent="0.25">
      <c r="A3665" t="s">
        <v>5699</v>
      </c>
      <c r="B3665" s="3" t="s">
        <v>5703</v>
      </c>
    </row>
    <row r="3666" spans="1:2" ht="112" hidden="1" customHeight="1" x14ac:dyDescent="0.25">
      <c r="A3666" t="s">
        <v>5704</v>
      </c>
      <c r="B3666" s="3" t="s">
        <v>7537</v>
      </c>
    </row>
    <row r="3667" spans="1:2" ht="112" hidden="1" customHeight="1" x14ac:dyDescent="0.25">
      <c r="A3667" t="s">
        <v>5707</v>
      </c>
      <c r="B3667" s="3" t="s">
        <v>7538</v>
      </c>
    </row>
    <row r="3668" spans="1:2" ht="112" hidden="1" customHeight="1" x14ac:dyDescent="0.25">
      <c r="A3668" t="s">
        <v>5708</v>
      </c>
      <c r="B3668" s="3" t="s">
        <v>5710</v>
      </c>
    </row>
    <row r="3669" spans="1:2" ht="112" hidden="1" customHeight="1" x14ac:dyDescent="0.25">
      <c r="A3669" t="s">
        <v>5709</v>
      </c>
      <c r="B3669" s="3" t="s">
        <v>5711</v>
      </c>
    </row>
    <row r="3670" spans="1:2" ht="112" hidden="1" customHeight="1" x14ac:dyDescent="0.25">
      <c r="A3670" t="s">
        <v>5712</v>
      </c>
      <c r="B3670" s="3" t="s">
        <v>7539</v>
      </c>
    </row>
    <row r="3671" spans="1:2" ht="112" hidden="1" customHeight="1" x14ac:dyDescent="0.25">
      <c r="A3671" t="s">
        <v>5713</v>
      </c>
      <c r="B3671" s="3" t="s">
        <v>7540</v>
      </c>
    </row>
    <row r="3672" spans="1:2" ht="112" hidden="1" customHeight="1" x14ac:dyDescent="0.25">
      <c r="A3672" t="s">
        <v>5714</v>
      </c>
      <c r="B3672" s="3" t="s">
        <v>5715</v>
      </c>
    </row>
    <row r="3673" spans="1:2" ht="112" hidden="1" customHeight="1" x14ac:dyDescent="0.25">
      <c r="A3673" t="s">
        <v>5716</v>
      </c>
      <c r="B3673" s="3" t="s">
        <v>6950</v>
      </c>
    </row>
    <row r="3674" spans="1:2" ht="112" hidden="1" customHeight="1" x14ac:dyDescent="0.25">
      <c r="A3674" t="s">
        <v>5717</v>
      </c>
      <c r="B3674" s="3" t="s">
        <v>5718</v>
      </c>
    </row>
    <row r="3675" spans="1:2" ht="112" hidden="1" customHeight="1" x14ac:dyDescent="0.25">
      <c r="A3675" t="s">
        <v>5719</v>
      </c>
      <c r="B3675" s="3" t="s">
        <v>7671</v>
      </c>
    </row>
    <row r="3676" spans="1:2" ht="112" hidden="1" customHeight="1" x14ac:dyDescent="0.25">
      <c r="A3676" t="s">
        <v>5720</v>
      </c>
      <c r="B3676" s="3" t="s">
        <v>7672</v>
      </c>
    </row>
    <row r="3677" spans="1:2" ht="112" hidden="1" customHeight="1" x14ac:dyDescent="0.25">
      <c r="A3677" t="s">
        <v>7843</v>
      </c>
      <c r="B3677" s="3" t="s">
        <v>7673</v>
      </c>
    </row>
    <row r="3678" spans="1:2" ht="112" hidden="1" customHeight="1" x14ac:dyDescent="0.25">
      <c r="A3678" t="s">
        <v>5721</v>
      </c>
      <c r="B3678" s="3" t="s">
        <v>7674</v>
      </c>
    </row>
    <row r="3679" spans="1:2" ht="112" hidden="1" customHeight="1" x14ac:dyDescent="0.25">
      <c r="A3679" t="s">
        <v>5722</v>
      </c>
      <c r="B3679" s="3" t="s">
        <v>7541</v>
      </c>
    </row>
    <row r="3680" spans="1:2" ht="112" hidden="1" customHeight="1" x14ac:dyDescent="0.25">
      <c r="A3680" t="s">
        <v>5723</v>
      </c>
      <c r="B3680" s="3" t="s">
        <v>6951</v>
      </c>
    </row>
    <row r="3681" spans="1:2" ht="112" hidden="1" customHeight="1" x14ac:dyDescent="0.25">
      <c r="A3681" t="s">
        <v>5724</v>
      </c>
      <c r="B3681" s="3" t="s">
        <v>6952</v>
      </c>
    </row>
    <row r="3682" spans="1:2" ht="112" hidden="1" customHeight="1" x14ac:dyDescent="0.25">
      <c r="A3682" t="s">
        <v>5725</v>
      </c>
      <c r="B3682" s="3" t="s">
        <v>6953</v>
      </c>
    </row>
    <row r="3683" spans="1:2" ht="112" hidden="1" customHeight="1" x14ac:dyDescent="0.25">
      <c r="A3683" t="s">
        <v>5726</v>
      </c>
      <c r="B3683" s="3" t="s">
        <v>6954</v>
      </c>
    </row>
    <row r="3684" spans="1:2" ht="112" hidden="1" customHeight="1" x14ac:dyDescent="0.25">
      <c r="A3684" t="s">
        <v>5727</v>
      </c>
      <c r="B3684" s="3" t="s">
        <v>6955</v>
      </c>
    </row>
    <row r="3685" spans="1:2" ht="112" hidden="1" customHeight="1" x14ac:dyDescent="0.25">
      <c r="A3685" t="s">
        <v>5728</v>
      </c>
      <c r="B3685" s="3" t="s">
        <v>6956</v>
      </c>
    </row>
    <row r="3686" spans="1:2" ht="112" hidden="1" customHeight="1" x14ac:dyDescent="0.25">
      <c r="A3686" t="s">
        <v>5729</v>
      </c>
      <c r="B3686" s="3" t="s">
        <v>6957</v>
      </c>
    </row>
    <row r="3687" spans="1:2" ht="112" hidden="1" customHeight="1" x14ac:dyDescent="0.25">
      <c r="A3687" t="s">
        <v>5730</v>
      </c>
      <c r="B3687" s="3" t="s">
        <v>6958</v>
      </c>
    </row>
    <row r="3688" spans="1:2" ht="112" hidden="1" customHeight="1" x14ac:dyDescent="0.25">
      <c r="A3688" t="s">
        <v>5731</v>
      </c>
      <c r="B3688" s="3" t="s">
        <v>6959</v>
      </c>
    </row>
    <row r="3689" spans="1:2" ht="112" hidden="1" customHeight="1" x14ac:dyDescent="0.25">
      <c r="A3689" t="s">
        <v>5732</v>
      </c>
      <c r="B3689" s="3" t="s">
        <v>6960</v>
      </c>
    </row>
    <row r="3690" spans="1:2" ht="112" hidden="1" customHeight="1" x14ac:dyDescent="0.25">
      <c r="A3690" t="s">
        <v>5733</v>
      </c>
      <c r="B3690" s="3" t="s">
        <v>7675</v>
      </c>
    </row>
    <row r="3691" spans="1:2" ht="112" hidden="1" customHeight="1" x14ac:dyDescent="0.25">
      <c r="A3691" t="s">
        <v>5734</v>
      </c>
      <c r="B3691" s="3" t="s">
        <v>5742</v>
      </c>
    </row>
    <row r="3692" spans="1:2" ht="112" hidden="1" customHeight="1" x14ac:dyDescent="0.25">
      <c r="A3692" t="s">
        <v>5735</v>
      </c>
      <c r="B3692" s="3" t="s">
        <v>7676</v>
      </c>
    </row>
    <row r="3693" spans="1:2" ht="112" hidden="1" customHeight="1" x14ac:dyDescent="0.25">
      <c r="A3693" t="s">
        <v>5736</v>
      </c>
      <c r="B3693" s="3" t="s">
        <v>7542</v>
      </c>
    </row>
    <row r="3694" spans="1:2" ht="112" hidden="1" customHeight="1" x14ac:dyDescent="0.25">
      <c r="A3694" t="s">
        <v>5737</v>
      </c>
      <c r="B3694" s="3" t="s">
        <v>7543</v>
      </c>
    </row>
    <row r="3695" spans="1:2" ht="112" hidden="1" customHeight="1" x14ac:dyDescent="0.25">
      <c r="A3695" t="s">
        <v>5738</v>
      </c>
      <c r="B3695" s="3" t="s">
        <v>7544</v>
      </c>
    </row>
    <row r="3696" spans="1:2" ht="112" hidden="1" customHeight="1" x14ac:dyDescent="0.25">
      <c r="A3696" t="s">
        <v>5739</v>
      </c>
      <c r="B3696" s="3" t="s">
        <v>7545</v>
      </c>
    </row>
    <row r="3697" spans="1:2" ht="112" hidden="1" customHeight="1" x14ac:dyDescent="0.25">
      <c r="A3697" t="s">
        <v>5740</v>
      </c>
      <c r="B3697" s="3" t="s">
        <v>5741</v>
      </c>
    </row>
    <row r="3698" spans="1:2" ht="112" hidden="1" customHeight="1" x14ac:dyDescent="0.25">
      <c r="A3698" t="s">
        <v>5734</v>
      </c>
      <c r="B3698" s="3" t="s">
        <v>5742</v>
      </c>
    </row>
    <row r="3699" spans="1:2" ht="112" hidden="1" customHeight="1" x14ac:dyDescent="0.25">
      <c r="A3699" t="s">
        <v>5743</v>
      </c>
      <c r="B3699" s="3" t="s">
        <v>5745</v>
      </c>
    </row>
    <row r="3700" spans="1:2" ht="112" hidden="1" customHeight="1" x14ac:dyDescent="0.25">
      <c r="A3700" t="s">
        <v>5744</v>
      </c>
      <c r="B3700" s="3" t="s">
        <v>5746</v>
      </c>
    </row>
    <row r="3701" spans="1:2" ht="112" hidden="1" customHeight="1" x14ac:dyDescent="0.25">
      <c r="A3701" t="s">
        <v>5747</v>
      </c>
      <c r="B3701" s="3" t="s">
        <v>5753</v>
      </c>
    </row>
    <row r="3702" spans="1:2" ht="112" hidden="1" customHeight="1" x14ac:dyDescent="0.25">
      <c r="A3702" t="s">
        <v>5748</v>
      </c>
      <c r="B3702" s="3" t="s">
        <v>5754</v>
      </c>
    </row>
    <row r="3703" spans="1:2" ht="112" hidden="1" customHeight="1" x14ac:dyDescent="0.25">
      <c r="A3703" t="s">
        <v>5749</v>
      </c>
      <c r="B3703" s="3" t="s">
        <v>5755</v>
      </c>
    </row>
    <row r="3704" spans="1:2" ht="112" hidden="1" customHeight="1" x14ac:dyDescent="0.25">
      <c r="A3704" t="s">
        <v>5750</v>
      </c>
      <c r="B3704" s="3" t="s">
        <v>5756</v>
      </c>
    </row>
    <row r="3705" spans="1:2" ht="112" hidden="1" customHeight="1" x14ac:dyDescent="0.25">
      <c r="A3705" t="s">
        <v>5751</v>
      </c>
      <c r="B3705" s="3" t="s">
        <v>5757</v>
      </c>
    </row>
    <row r="3706" spans="1:2" ht="112" hidden="1" customHeight="1" x14ac:dyDescent="0.25">
      <c r="A3706" t="s">
        <v>5752</v>
      </c>
      <c r="B3706" s="3" t="s">
        <v>5758</v>
      </c>
    </row>
    <row r="3707" spans="1:2" ht="112" hidden="1" customHeight="1" x14ac:dyDescent="0.25">
      <c r="A3707" t="s">
        <v>5759</v>
      </c>
      <c r="B3707" s="3" t="s">
        <v>7546</v>
      </c>
    </row>
    <row r="3708" spans="1:2" ht="112" hidden="1" customHeight="1" x14ac:dyDescent="0.25">
      <c r="A3708" t="s">
        <v>5760</v>
      </c>
      <c r="B3708" s="3" t="s">
        <v>5764</v>
      </c>
    </row>
    <row r="3709" spans="1:2" ht="112" hidden="1" customHeight="1" x14ac:dyDescent="0.25">
      <c r="A3709" t="s">
        <v>5761</v>
      </c>
      <c r="B3709" s="3" t="s">
        <v>6961</v>
      </c>
    </row>
    <row r="3710" spans="1:2" ht="112" hidden="1" customHeight="1" x14ac:dyDescent="0.25">
      <c r="A3710" t="s">
        <v>5762</v>
      </c>
      <c r="B3710" s="3" t="s">
        <v>6962</v>
      </c>
    </row>
    <row r="3711" spans="1:2" ht="112" hidden="1" customHeight="1" x14ac:dyDescent="0.25">
      <c r="A3711" t="s">
        <v>5763</v>
      </c>
      <c r="B3711" s="3" t="s">
        <v>6963</v>
      </c>
    </row>
    <row r="3712" spans="1:2" ht="112" hidden="1" customHeight="1" x14ac:dyDescent="0.25">
      <c r="A3712" t="s">
        <v>5765</v>
      </c>
      <c r="B3712" s="3" t="s">
        <v>7547</v>
      </c>
    </row>
    <row r="3713" spans="1:2" ht="112" hidden="1" customHeight="1" x14ac:dyDescent="0.25">
      <c r="A3713" t="s">
        <v>7844</v>
      </c>
      <c r="B3713" s="3" t="s">
        <v>7548</v>
      </c>
    </row>
    <row r="3714" spans="1:2" ht="112" hidden="1" customHeight="1" x14ac:dyDescent="0.25">
      <c r="A3714" t="s">
        <v>6709</v>
      </c>
      <c r="B3714" s="56" t="s">
        <v>6710</v>
      </c>
    </row>
    <row r="3715" spans="1:2" ht="112" hidden="1" customHeight="1" x14ac:dyDescent="0.25">
      <c r="A3715" t="s">
        <v>6712</v>
      </c>
      <c r="B3715" s="56" t="s">
        <v>7549</v>
      </c>
    </row>
    <row r="3716" spans="1:2" ht="112" hidden="1" customHeight="1" x14ac:dyDescent="0.25">
      <c r="A3716" t="s">
        <v>6713</v>
      </c>
      <c r="B3716" s="56" t="s">
        <v>7550</v>
      </c>
    </row>
    <row r="3717" spans="1:2" ht="112" hidden="1" customHeight="1" x14ac:dyDescent="0.25">
      <c r="A3717" t="s">
        <v>6711</v>
      </c>
      <c r="B3717" s="56" t="s">
        <v>7551</v>
      </c>
    </row>
    <row r="3718" spans="1:2" ht="112" hidden="1" customHeight="1" x14ac:dyDescent="0.25">
      <c r="A3718" t="s">
        <v>6714</v>
      </c>
      <c r="B3718" s="56" t="s">
        <v>6719</v>
      </c>
    </row>
    <row r="3719" spans="1:2" ht="112" hidden="1" customHeight="1" x14ac:dyDescent="0.25">
      <c r="A3719" t="s">
        <v>6715</v>
      </c>
      <c r="B3719" s="56" t="s">
        <v>6720</v>
      </c>
    </row>
    <row r="3720" spans="1:2" ht="112" hidden="1" customHeight="1" x14ac:dyDescent="0.25">
      <c r="A3720" t="s">
        <v>6716</v>
      </c>
      <c r="B3720" s="56" t="s">
        <v>6721</v>
      </c>
    </row>
    <row r="3721" spans="1:2" ht="112" hidden="1" customHeight="1" x14ac:dyDescent="0.25">
      <c r="A3721" t="s">
        <v>6717</v>
      </c>
      <c r="B3721" s="56" t="s">
        <v>7552</v>
      </c>
    </row>
    <row r="3722" spans="1:2" ht="112" hidden="1" customHeight="1" x14ac:dyDescent="0.25">
      <c r="A3722" t="s">
        <v>7845</v>
      </c>
      <c r="B3722" s="56" t="s">
        <v>7553</v>
      </c>
    </row>
    <row r="3723" spans="1:2" ht="112" hidden="1" customHeight="1" x14ac:dyDescent="0.25">
      <c r="A3723" t="s">
        <v>6718</v>
      </c>
      <c r="B3723" s="56" t="s">
        <v>7554</v>
      </c>
    </row>
    <row r="3724" spans="1:2" ht="112" hidden="1" customHeight="1" x14ac:dyDescent="0.25">
      <c r="A3724" t="s">
        <v>7846</v>
      </c>
      <c r="B3724" s="56" t="s">
        <v>7555</v>
      </c>
    </row>
    <row r="3725" spans="1:2" ht="112" hidden="1" customHeight="1" x14ac:dyDescent="0.25">
      <c r="A3725" t="s">
        <v>6722</v>
      </c>
      <c r="B3725" s="56" t="s">
        <v>6726</v>
      </c>
    </row>
    <row r="3726" spans="1:2" ht="112" hidden="1" customHeight="1" x14ac:dyDescent="0.25">
      <c r="A3726" t="s">
        <v>6723</v>
      </c>
      <c r="B3726" s="56" t="s">
        <v>6727</v>
      </c>
    </row>
    <row r="3727" spans="1:2" ht="112" hidden="1" customHeight="1" x14ac:dyDescent="0.25">
      <c r="A3727" t="s">
        <v>6724</v>
      </c>
      <c r="B3727" s="56" t="s">
        <v>7556</v>
      </c>
    </row>
    <row r="3728" spans="1:2" ht="112" hidden="1" customHeight="1" x14ac:dyDescent="0.25">
      <c r="A3728" t="s">
        <v>6725</v>
      </c>
      <c r="B3728" s="56" t="s">
        <v>7557</v>
      </c>
    </row>
    <row r="3729" spans="1:2" ht="112" hidden="1" customHeight="1" x14ac:dyDescent="0.25">
      <c r="A3729" t="s">
        <v>6728</v>
      </c>
      <c r="B3729" s="56" t="s">
        <v>7558</v>
      </c>
    </row>
    <row r="3730" spans="1:2" ht="112" hidden="1" customHeight="1" x14ac:dyDescent="0.25">
      <c r="A3730" t="s">
        <v>6729</v>
      </c>
      <c r="B3730" s="56" t="s">
        <v>7559</v>
      </c>
    </row>
    <row r="3731" spans="1:2" ht="112" hidden="1" customHeight="1" x14ac:dyDescent="0.25">
      <c r="A3731" t="s">
        <v>6730</v>
      </c>
      <c r="B3731" s="56" t="s">
        <v>6731</v>
      </c>
    </row>
    <row r="3732" spans="1:2" ht="112" hidden="1" customHeight="1" x14ac:dyDescent="0.25">
      <c r="A3732" t="s">
        <v>6732</v>
      </c>
      <c r="B3732" s="56" t="s">
        <v>6734</v>
      </c>
    </row>
    <row r="3733" spans="1:2" ht="112" hidden="1" customHeight="1" x14ac:dyDescent="0.25">
      <c r="A3733" t="s">
        <v>6733</v>
      </c>
      <c r="B3733" s="56" t="s">
        <v>7560</v>
      </c>
    </row>
    <row r="3734" spans="1:2" ht="112" hidden="1" customHeight="1" x14ac:dyDescent="0.25">
      <c r="A3734" t="s">
        <v>7847</v>
      </c>
      <c r="B3734" s="56" t="s">
        <v>7561</v>
      </c>
    </row>
    <row r="3735" spans="1:2" ht="112" hidden="1" customHeight="1" x14ac:dyDescent="0.25">
      <c r="A3735" t="s">
        <v>6735</v>
      </c>
      <c r="B3735" s="56" t="s">
        <v>7562</v>
      </c>
    </row>
    <row r="3736" spans="1:2" ht="112" hidden="1" customHeight="1" x14ac:dyDescent="0.25">
      <c r="A3736" t="s">
        <v>6736</v>
      </c>
      <c r="B3736" s="56" t="s">
        <v>6738</v>
      </c>
    </row>
    <row r="3737" spans="1:2" ht="112" hidden="1" customHeight="1" x14ac:dyDescent="0.25">
      <c r="A3737" t="s">
        <v>6737</v>
      </c>
      <c r="B3737" s="56" t="s">
        <v>6739</v>
      </c>
    </row>
    <row r="3738" spans="1:2" ht="112" hidden="1" customHeight="1" x14ac:dyDescent="0.25">
      <c r="A3738" t="s">
        <v>6740</v>
      </c>
      <c r="B3738" s="56" t="s">
        <v>6741</v>
      </c>
    </row>
    <row r="3739" spans="1:2" ht="112" hidden="1" customHeight="1" x14ac:dyDescent="0.25">
      <c r="A3739" t="s">
        <v>6742</v>
      </c>
      <c r="B3739" s="56" t="s">
        <v>7563</v>
      </c>
    </row>
    <row r="3740" spans="1:2" ht="112" hidden="1" customHeight="1" x14ac:dyDescent="0.25">
      <c r="A3740" t="s">
        <v>6743</v>
      </c>
      <c r="B3740" s="56" t="s">
        <v>7564</v>
      </c>
    </row>
    <row r="3741" spans="1:2" ht="112" hidden="1" customHeight="1" x14ac:dyDescent="0.25">
      <c r="A3741" t="s">
        <v>6744</v>
      </c>
      <c r="B3741" s="56" t="s">
        <v>6746</v>
      </c>
    </row>
    <row r="3742" spans="1:2" ht="112" hidden="1" customHeight="1" x14ac:dyDescent="0.25">
      <c r="A3742" t="s">
        <v>6745</v>
      </c>
      <c r="B3742" s="56" t="s">
        <v>11221</v>
      </c>
    </row>
    <row r="3743" spans="1:2" ht="112" hidden="1" customHeight="1" x14ac:dyDescent="0.25">
      <c r="A3743" t="s">
        <v>6747</v>
      </c>
      <c r="B3743" s="56" t="s">
        <v>7565</v>
      </c>
    </row>
    <row r="3744" spans="1:2" ht="112" hidden="1" customHeight="1" x14ac:dyDescent="0.25">
      <c r="A3744" t="s">
        <v>7848</v>
      </c>
      <c r="B3744" s="56" t="s">
        <v>7566</v>
      </c>
    </row>
    <row r="3745" spans="1:2" ht="112" hidden="1" customHeight="1" x14ac:dyDescent="0.25">
      <c r="A3745" t="s">
        <v>6748</v>
      </c>
      <c r="B3745" s="56" t="s">
        <v>7567</v>
      </c>
    </row>
    <row r="3746" spans="1:2" ht="112" hidden="1" customHeight="1" x14ac:dyDescent="0.25">
      <c r="A3746" t="s">
        <v>6749</v>
      </c>
      <c r="B3746" s="56" t="s">
        <v>7568</v>
      </c>
    </row>
    <row r="3747" spans="1:2" ht="112" hidden="1" customHeight="1" x14ac:dyDescent="0.25">
      <c r="A3747" t="s">
        <v>6750</v>
      </c>
      <c r="B3747" s="56" t="s">
        <v>7569</v>
      </c>
    </row>
    <row r="3748" spans="1:2" ht="112" hidden="1" customHeight="1" x14ac:dyDescent="0.25">
      <c r="A3748" t="s">
        <v>6751</v>
      </c>
      <c r="B3748" s="56" t="s">
        <v>7570</v>
      </c>
    </row>
    <row r="3749" spans="1:2" ht="112" hidden="1" customHeight="1" x14ac:dyDescent="0.25">
      <c r="A3749" t="s">
        <v>6752</v>
      </c>
      <c r="B3749" s="56" t="s">
        <v>6758</v>
      </c>
    </row>
    <row r="3750" spans="1:2" ht="112" hidden="1" customHeight="1" x14ac:dyDescent="0.25">
      <c r="A3750" t="s">
        <v>6753</v>
      </c>
      <c r="B3750" s="56" t="s">
        <v>6759</v>
      </c>
    </row>
    <row r="3751" spans="1:2" ht="112" hidden="1" customHeight="1" x14ac:dyDescent="0.25">
      <c r="A3751" t="s">
        <v>6754</v>
      </c>
      <c r="B3751" s="56" t="s">
        <v>7571</v>
      </c>
    </row>
    <row r="3752" spans="1:2" ht="112" hidden="1" customHeight="1" x14ac:dyDescent="0.25">
      <c r="A3752" t="s">
        <v>6755</v>
      </c>
      <c r="B3752" s="56" t="s">
        <v>6760</v>
      </c>
    </row>
    <row r="3753" spans="1:2" ht="112" hidden="1" customHeight="1" x14ac:dyDescent="0.25">
      <c r="A3753" t="s">
        <v>6756</v>
      </c>
      <c r="B3753" s="56" t="s">
        <v>6761</v>
      </c>
    </row>
    <row r="3754" spans="1:2" ht="112" hidden="1" customHeight="1" x14ac:dyDescent="0.25">
      <c r="A3754" t="s">
        <v>6757</v>
      </c>
      <c r="B3754" s="56" t="s">
        <v>6762</v>
      </c>
    </row>
    <row r="3755" spans="1:2" ht="112" hidden="1" customHeight="1" x14ac:dyDescent="0.25">
      <c r="A3755" t="s">
        <v>6763</v>
      </c>
      <c r="B3755" s="56" t="s">
        <v>7572</v>
      </c>
    </row>
    <row r="3756" spans="1:2" ht="112" hidden="1" customHeight="1" x14ac:dyDescent="0.25">
      <c r="A3756" t="s">
        <v>6764</v>
      </c>
      <c r="B3756" s="56" t="s">
        <v>7573</v>
      </c>
    </row>
    <row r="3757" spans="1:2" ht="112" hidden="1" customHeight="1" x14ac:dyDescent="0.25">
      <c r="A3757" t="s">
        <v>6765</v>
      </c>
      <c r="B3757" s="56" t="s">
        <v>7574</v>
      </c>
    </row>
    <row r="3758" spans="1:2" ht="112" hidden="1" customHeight="1" x14ac:dyDescent="0.25">
      <c r="A3758" t="s">
        <v>6766</v>
      </c>
      <c r="B3758" s="56" t="s">
        <v>7575</v>
      </c>
    </row>
    <row r="3759" spans="1:2" ht="112" hidden="1" customHeight="1" x14ac:dyDescent="0.25">
      <c r="A3759" t="s">
        <v>6767</v>
      </c>
      <c r="B3759" s="56" t="s">
        <v>7576</v>
      </c>
    </row>
    <row r="3760" spans="1:2" ht="112" hidden="1" customHeight="1" x14ac:dyDescent="0.25">
      <c r="A3760" t="s">
        <v>6768</v>
      </c>
      <c r="B3760" s="56" t="s">
        <v>7577</v>
      </c>
    </row>
    <row r="3761" spans="1:2" ht="112" hidden="1" customHeight="1" x14ac:dyDescent="0.25">
      <c r="A3761" t="s">
        <v>6769</v>
      </c>
      <c r="B3761" s="56" t="s">
        <v>7578</v>
      </c>
    </row>
    <row r="3762" spans="1:2" ht="112" hidden="1" customHeight="1" x14ac:dyDescent="0.25">
      <c r="A3762" t="s">
        <v>6770</v>
      </c>
      <c r="B3762" s="56" t="s">
        <v>7579</v>
      </c>
    </row>
    <row r="3763" spans="1:2" ht="112" hidden="1" customHeight="1" x14ac:dyDescent="0.25">
      <c r="A3763" t="s">
        <v>6771</v>
      </c>
      <c r="B3763" s="56" t="s">
        <v>6949</v>
      </c>
    </row>
    <row r="3764" spans="1:2" ht="112" hidden="1" customHeight="1" x14ac:dyDescent="0.25">
      <c r="A3764" t="s">
        <v>6772</v>
      </c>
      <c r="B3764" s="56" t="s">
        <v>7580</v>
      </c>
    </row>
    <row r="3765" spans="1:2" ht="112" hidden="1" customHeight="1" x14ac:dyDescent="0.25">
      <c r="A3765" t="s">
        <v>6773</v>
      </c>
      <c r="B3765" s="56" t="s">
        <v>7581</v>
      </c>
    </row>
    <row r="3766" spans="1:2" ht="112" hidden="1" customHeight="1" x14ac:dyDescent="0.25">
      <c r="A3766" t="s">
        <v>6774</v>
      </c>
      <c r="B3766" s="56" t="s">
        <v>7582</v>
      </c>
    </row>
    <row r="3767" spans="1:2" ht="112" hidden="1" customHeight="1" x14ac:dyDescent="0.25">
      <c r="A3767" t="s">
        <v>6775</v>
      </c>
      <c r="B3767" s="56" t="s">
        <v>6782</v>
      </c>
    </row>
    <row r="3768" spans="1:2" ht="112" hidden="1" customHeight="1" x14ac:dyDescent="0.25">
      <c r="A3768" t="s">
        <v>6776</v>
      </c>
      <c r="B3768" s="56" t="s">
        <v>6783</v>
      </c>
    </row>
    <row r="3769" spans="1:2" ht="112" hidden="1" customHeight="1" x14ac:dyDescent="0.25">
      <c r="A3769" t="s">
        <v>6777</v>
      </c>
      <c r="B3769" s="56" t="s">
        <v>6784</v>
      </c>
    </row>
    <row r="3770" spans="1:2" ht="112" hidden="1" customHeight="1" x14ac:dyDescent="0.25">
      <c r="A3770" t="s">
        <v>6778</v>
      </c>
      <c r="B3770" s="56" t="s">
        <v>6785</v>
      </c>
    </row>
    <row r="3771" spans="1:2" ht="112" hidden="1" customHeight="1" x14ac:dyDescent="0.25">
      <c r="A3771" t="s">
        <v>6779</v>
      </c>
      <c r="B3771" s="56" t="s">
        <v>6786</v>
      </c>
    </row>
    <row r="3772" spans="1:2" ht="112" hidden="1" customHeight="1" x14ac:dyDescent="0.25">
      <c r="A3772" t="s">
        <v>6780</v>
      </c>
      <c r="B3772" s="56" t="s">
        <v>6787</v>
      </c>
    </row>
    <row r="3773" spans="1:2" ht="112" hidden="1" customHeight="1" x14ac:dyDescent="0.25">
      <c r="A3773" t="s">
        <v>6781</v>
      </c>
      <c r="B3773" s="56" t="s">
        <v>6788</v>
      </c>
    </row>
    <row r="3774" spans="1:2" ht="112" hidden="1" customHeight="1" x14ac:dyDescent="0.25">
      <c r="A3774" t="s">
        <v>6789</v>
      </c>
      <c r="B3774" s="56" t="s">
        <v>7857</v>
      </c>
    </row>
    <row r="3775" spans="1:2" ht="112" hidden="1" customHeight="1" x14ac:dyDescent="0.25">
      <c r="A3775" t="s">
        <v>6790</v>
      </c>
      <c r="B3775" s="56" t="s">
        <v>7856</v>
      </c>
    </row>
    <row r="3776" spans="1:2" ht="112" hidden="1" customHeight="1" x14ac:dyDescent="0.25">
      <c r="A3776" t="s">
        <v>6791</v>
      </c>
      <c r="B3776" s="56" t="s">
        <v>6803</v>
      </c>
    </row>
    <row r="3777" spans="1:2" ht="112" hidden="1" customHeight="1" x14ac:dyDescent="0.25">
      <c r="A3777" t="s">
        <v>6792</v>
      </c>
      <c r="B3777" s="56" t="s">
        <v>7583</v>
      </c>
    </row>
    <row r="3778" spans="1:2" ht="112" hidden="1" customHeight="1" x14ac:dyDescent="0.25">
      <c r="A3778" t="s">
        <v>6793</v>
      </c>
      <c r="B3778" s="56" t="s">
        <v>7584</v>
      </c>
    </row>
    <row r="3779" spans="1:2" ht="112" hidden="1" customHeight="1" x14ac:dyDescent="0.25">
      <c r="A3779" t="s">
        <v>6794</v>
      </c>
      <c r="B3779" s="56" t="s">
        <v>7585</v>
      </c>
    </row>
    <row r="3780" spans="1:2" ht="112" hidden="1" customHeight="1" x14ac:dyDescent="0.25">
      <c r="A3780" t="s">
        <v>6795</v>
      </c>
      <c r="B3780" s="56" t="s">
        <v>7586</v>
      </c>
    </row>
    <row r="3781" spans="1:2" ht="112" hidden="1" customHeight="1" x14ac:dyDescent="0.25">
      <c r="A3781" t="s">
        <v>6796</v>
      </c>
      <c r="B3781" s="56" t="s">
        <v>7587</v>
      </c>
    </row>
    <row r="3782" spans="1:2" ht="112" hidden="1" customHeight="1" x14ac:dyDescent="0.25">
      <c r="A3782" t="s">
        <v>6797</v>
      </c>
      <c r="B3782" s="56" t="s">
        <v>7588</v>
      </c>
    </row>
    <row r="3783" spans="1:2" ht="112" hidden="1" customHeight="1" x14ac:dyDescent="0.25">
      <c r="A3783" t="s">
        <v>6798</v>
      </c>
      <c r="B3783" s="56" t="s">
        <v>7589</v>
      </c>
    </row>
    <row r="3784" spans="1:2" ht="112" hidden="1" customHeight="1" x14ac:dyDescent="0.25">
      <c r="A3784" t="s">
        <v>6799</v>
      </c>
      <c r="B3784" s="56" t="s">
        <v>7590</v>
      </c>
    </row>
    <row r="3785" spans="1:2" ht="112" hidden="1" customHeight="1" x14ac:dyDescent="0.25">
      <c r="A3785" t="s">
        <v>6800</v>
      </c>
      <c r="B3785" s="56" t="s">
        <v>7591</v>
      </c>
    </row>
    <row r="3786" spans="1:2" ht="112" hidden="1" customHeight="1" x14ac:dyDescent="0.25">
      <c r="A3786" t="s">
        <v>6801</v>
      </c>
      <c r="B3786" s="56" t="s">
        <v>7592</v>
      </c>
    </row>
    <row r="3787" spans="1:2" ht="112" hidden="1" customHeight="1" x14ac:dyDescent="0.25">
      <c r="A3787" t="s">
        <v>6802</v>
      </c>
      <c r="B3787" s="56" t="s">
        <v>7593</v>
      </c>
    </row>
    <row r="3788" spans="1:2" ht="112" hidden="1" customHeight="1" x14ac:dyDescent="0.25">
      <c r="A3788" t="s">
        <v>6804</v>
      </c>
      <c r="B3788" s="56" t="s">
        <v>7594</v>
      </c>
    </row>
    <row r="3789" spans="1:2" ht="112" hidden="1" customHeight="1" x14ac:dyDescent="0.25">
      <c r="A3789" t="s">
        <v>6805</v>
      </c>
      <c r="B3789" s="56" t="s">
        <v>7595</v>
      </c>
    </row>
    <row r="3790" spans="1:2" ht="112" hidden="1" customHeight="1" x14ac:dyDescent="0.25">
      <c r="A3790" t="s">
        <v>7849</v>
      </c>
      <c r="B3790" s="56" t="s">
        <v>7596</v>
      </c>
    </row>
    <row r="3791" spans="1:2" ht="112" hidden="1" customHeight="1" x14ac:dyDescent="0.25">
      <c r="A3791" t="s">
        <v>6806</v>
      </c>
      <c r="B3791" s="56" t="s">
        <v>7597</v>
      </c>
    </row>
    <row r="3792" spans="1:2" ht="112" hidden="1" customHeight="1" x14ac:dyDescent="0.25">
      <c r="A3792" t="s">
        <v>6807</v>
      </c>
      <c r="B3792" s="56" t="s">
        <v>6810</v>
      </c>
    </row>
    <row r="3793" spans="1:2" ht="112" hidden="1" customHeight="1" x14ac:dyDescent="0.25">
      <c r="A3793" t="s">
        <v>6808</v>
      </c>
      <c r="B3793" s="56" t="s">
        <v>6811</v>
      </c>
    </row>
    <row r="3794" spans="1:2" ht="112" hidden="1" customHeight="1" x14ac:dyDescent="0.25">
      <c r="A3794" t="s">
        <v>6809</v>
      </c>
      <c r="B3794" s="56" t="s">
        <v>6812</v>
      </c>
    </row>
    <row r="3795" spans="1:2" ht="112" hidden="1" customHeight="1" x14ac:dyDescent="0.25">
      <c r="A3795" t="s">
        <v>6813</v>
      </c>
      <c r="B3795" s="56" t="s">
        <v>6816</v>
      </c>
    </row>
    <row r="3796" spans="1:2" ht="112" hidden="1" customHeight="1" x14ac:dyDescent="0.25">
      <c r="A3796" t="s">
        <v>6814</v>
      </c>
      <c r="B3796" s="56" t="s">
        <v>6817</v>
      </c>
    </row>
    <row r="3797" spans="1:2" ht="112" hidden="1" customHeight="1" x14ac:dyDescent="0.25">
      <c r="A3797" t="s">
        <v>6815</v>
      </c>
      <c r="B3797" s="56" t="s">
        <v>6818</v>
      </c>
    </row>
    <row r="3798" spans="1:2" ht="112" hidden="1" customHeight="1" x14ac:dyDescent="0.25">
      <c r="A3798" t="s">
        <v>6807</v>
      </c>
      <c r="B3798" s="56" t="s">
        <v>6810</v>
      </c>
    </row>
    <row r="3799" spans="1:2" ht="112" hidden="1" customHeight="1" x14ac:dyDescent="0.25">
      <c r="A3799" t="s">
        <v>6808</v>
      </c>
      <c r="B3799" s="56" t="s">
        <v>6811</v>
      </c>
    </row>
    <row r="3800" spans="1:2" ht="112" hidden="1" customHeight="1" x14ac:dyDescent="0.25">
      <c r="A3800" t="s">
        <v>6809</v>
      </c>
      <c r="B3800" s="56" t="s">
        <v>6812</v>
      </c>
    </row>
    <row r="3801" spans="1:2" ht="112" hidden="1" customHeight="1" x14ac:dyDescent="0.25">
      <c r="A3801" t="s">
        <v>7154</v>
      </c>
      <c r="B3801" s="56" t="s">
        <v>7157</v>
      </c>
    </row>
    <row r="3802" spans="1:2" ht="112" hidden="1" customHeight="1" x14ac:dyDescent="0.25">
      <c r="A3802" t="s">
        <v>7155</v>
      </c>
      <c r="B3802" s="56" t="s">
        <v>7158</v>
      </c>
    </row>
    <row r="3803" spans="1:2" ht="112" hidden="1" customHeight="1" x14ac:dyDescent="0.25">
      <c r="A3803" t="s">
        <v>7156</v>
      </c>
      <c r="B3803" s="56" t="s">
        <v>7159</v>
      </c>
    </row>
    <row r="3804" spans="1:2" ht="112" hidden="1" customHeight="1" x14ac:dyDescent="0.25">
      <c r="A3804" t="s">
        <v>6819</v>
      </c>
      <c r="B3804" s="56" t="s">
        <v>7598</v>
      </c>
    </row>
    <row r="3805" spans="1:2" ht="112" hidden="1" customHeight="1" x14ac:dyDescent="0.25">
      <c r="A3805" t="s">
        <v>6820</v>
      </c>
      <c r="B3805" s="56" t="s">
        <v>7599</v>
      </c>
    </row>
    <row r="3806" spans="1:2" ht="112" hidden="1" customHeight="1" x14ac:dyDescent="0.25">
      <c r="A3806" t="s">
        <v>6821</v>
      </c>
      <c r="B3806" s="56" t="s">
        <v>7600</v>
      </c>
    </row>
    <row r="3807" spans="1:2" ht="112" hidden="1" customHeight="1" x14ac:dyDescent="0.25">
      <c r="A3807" t="s">
        <v>6822</v>
      </c>
      <c r="B3807" s="56" t="s">
        <v>7601</v>
      </c>
    </row>
    <row r="3808" spans="1:2" ht="112" hidden="1" customHeight="1" x14ac:dyDescent="0.25">
      <c r="A3808" t="s">
        <v>6823</v>
      </c>
      <c r="B3808" s="56" t="s">
        <v>7602</v>
      </c>
    </row>
    <row r="3809" spans="1:2" ht="112" hidden="1" customHeight="1" x14ac:dyDescent="0.25">
      <c r="A3809" t="s">
        <v>6824</v>
      </c>
      <c r="B3809" s="56" t="s">
        <v>6827</v>
      </c>
    </row>
    <row r="3810" spans="1:2" ht="112" hidden="1" customHeight="1" x14ac:dyDescent="0.25">
      <c r="A3810" t="s">
        <v>6825</v>
      </c>
      <c r="B3810" s="56" t="s">
        <v>7603</v>
      </c>
    </row>
    <row r="3811" spans="1:2" ht="112" hidden="1" customHeight="1" x14ac:dyDescent="0.25">
      <c r="A3811" t="s">
        <v>6826</v>
      </c>
      <c r="B3811" s="56" t="s">
        <v>7048</v>
      </c>
    </row>
    <row r="3812" spans="1:2" ht="112" hidden="1" customHeight="1" x14ac:dyDescent="0.25">
      <c r="A3812" t="s">
        <v>6828</v>
      </c>
      <c r="B3812" s="56" t="s">
        <v>11013</v>
      </c>
    </row>
    <row r="3813" spans="1:2" ht="112" hidden="1" customHeight="1" x14ac:dyDescent="0.25">
      <c r="A3813" t="s">
        <v>6829</v>
      </c>
      <c r="B3813" s="56" t="s">
        <v>7604</v>
      </c>
    </row>
    <row r="3814" spans="1:2" ht="112" hidden="1" customHeight="1" x14ac:dyDescent="0.25">
      <c r="A3814" t="s">
        <v>6830</v>
      </c>
      <c r="B3814" s="56" t="s">
        <v>7677</v>
      </c>
    </row>
    <row r="3815" spans="1:2" ht="112" hidden="1" customHeight="1" x14ac:dyDescent="0.25">
      <c r="A3815" t="s">
        <v>6831</v>
      </c>
      <c r="B3815" s="56" t="s">
        <v>6846</v>
      </c>
    </row>
    <row r="3816" spans="1:2" ht="112" hidden="1" customHeight="1" x14ac:dyDescent="0.25">
      <c r="A3816" t="s">
        <v>6832</v>
      </c>
      <c r="B3816" s="56" t="s">
        <v>6847</v>
      </c>
    </row>
    <row r="3817" spans="1:2" ht="112" hidden="1" customHeight="1" x14ac:dyDescent="0.25">
      <c r="A3817" t="s">
        <v>6833</v>
      </c>
      <c r="B3817" s="56" t="s">
        <v>6848</v>
      </c>
    </row>
    <row r="3818" spans="1:2" ht="112" hidden="1" customHeight="1" x14ac:dyDescent="0.25">
      <c r="A3818" t="s">
        <v>6834</v>
      </c>
      <c r="B3818" s="56" t="s">
        <v>6849</v>
      </c>
    </row>
    <row r="3819" spans="1:2" ht="112" hidden="1" customHeight="1" x14ac:dyDescent="0.25">
      <c r="A3819" t="s">
        <v>6835</v>
      </c>
      <c r="B3819" s="56" t="s">
        <v>6850</v>
      </c>
    </row>
    <row r="3820" spans="1:2" ht="112" hidden="1" customHeight="1" x14ac:dyDescent="0.25">
      <c r="A3820" t="s">
        <v>6836</v>
      </c>
      <c r="B3820" s="56" t="s">
        <v>6851</v>
      </c>
    </row>
    <row r="3821" spans="1:2" ht="112" hidden="1" customHeight="1" x14ac:dyDescent="0.25">
      <c r="A3821" t="s">
        <v>6837</v>
      </c>
      <c r="B3821" s="56" t="s">
        <v>6852</v>
      </c>
    </row>
    <row r="3822" spans="1:2" ht="112" hidden="1" customHeight="1" x14ac:dyDescent="0.25">
      <c r="A3822" t="s">
        <v>6838</v>
      </c>
      <c r="B3822" s="56" t="s">
        <v>6853</v>
      </c>
    </row>
    <row r="3823" spans="1:2" ht="112" hidden="1" customHeight="1" x14ac:dyDescent="0.25">
      <c r="A3823" t="s">
        <v>6839</v>
      </c>
      <c r="B3823" s="56" t="s">
        <v>6854</v>
      </c>
    </row>
    <row r="3824" spans="1:2" ht="112" hidden="1" customHeight="1" x14ac:dyDescent="0.25">
      <c r="A3824" t="s">
        <v>6840</v>
      </c>
      <c r="B3824" s="56" t="s">
        <v>6855</v>
      </c>
    </row>
    <row r="3825" spans="1:2" ht="112" hidden="1" customHeight="1" x14ac:dyDescent="0.25">
      <c r="A3825" t="s">
        <v>6841</v>
      </c>
      <c r="B3825" s="56" t="s">
        <v>6856</v>
      </c>
    </row>
    <row r="3826" spans="1:2" ht="112" hidden="1" customHeight="1" x14ac:dyDescent="0.25">
      <c r="A3826" t="s">
        <v>6842</v>
      </c>
      <c r="B3826" s="56" t="s">
        <v>6857</v>
      </c>
    </row>
    <row r="3827" spans="1:2" ht="112" hidden="1" customHeight="1" x14ac:dyDescent="0.25">
      <c r="A3827" t="s">
        <v>6843</v>
      </c>
      <c r="B3827" s="56" t="s">
        <v>6858</v>
      </c>
    </row>
    <row r="3828" spans="1:2" ht="112" hidden="1" customHeight="1" x14ac:dyDescent="0.25">
      <c r="A3828" t="s">
        <v>6844</v>
      </c>
      <c r="B3828" s="56" t="s">
        <v>6859</v>
      </c>
    </row>
    <row r="3829" spans="1:2" ht="112" hidden="1" customHeight="1" x14ac:dyDescent="0.25">
      <c r="A3829" t="s">
        <v>6845</v>
      </c>
      <c r="B3829" s="56" t="s">
        <v>6860</v>
      </c>
    </row>
    <row r="3830" spans="1:2" ht="112" hidden="1" customHeight="1" x14ac:dyDescent="0.25">
      <c r="A3830" t="s">
        <v>6861</v>
      </c>
      <c r="B3830" s="56" t="s">
        <v>7605</v>
      </c>
    </row>
    <row r="3831" spans="1:2" ht="112" hidden="1" customHeight="1" x14ac:dyDescent="0.25">
      <c r="A3831" t="s">
        <v>6862</v>
      </c>
      <c r="B3831" s="56" t="s">
        <v>6964</v>
      </c>
    </row>
    <row r="3832" spans="1:2" ht="112" hidden="1" customHeight="1" x14ac:dyDescent="0.25">
      <c r="A3832" t="s">
        <v>6863</v>
      </c>
      <c r="B3832" s="56" t="s">
        <v>6965</v>
      </c>
    </row>
    <row r="3833" spans="1:2" ht="112" hidden="1" customHeight="1" x14ac:dyDescent="0.25">
      <c r="A3833" t="s">
        <v>6864</v>
      </c>
      <c r="B3833" s="56" t="s">
        <v>6966</v>
      </c>
    </row>
    <row r="3834" spans="1:2" ht="112" hidden="1" customHeight="1" x14ac:dyDescent="0.25">
      <c r="A3834" t="s">
        <v>6865</v>
      </c>
      <c r="B3834" s="56" t="s">
        <v>6967</v>
      </c>
    </row>
    <row r="3835" spans="1:2" ht="112" hidden="1" customHeight="1" x14ac:dyDescent="0.25">
      <c r="A3835" t="s">
        <v>6866</v>
      </c>
      <c r="B3835" s="56" t="s">
        <v>6968</v>
      </c>
    </row>
    <row r="3836" spans="1:2" ht="112" hidden="1" customHeight="1" x14ac:dyDescent="0.25">
      <c r="A3836" t="s">
        <v>6867</v>
      </c>
      <c r="B3836" s="56" t="s">
        <v>6969</v>
      </c>
    </row>
    <row r="3837" spans="1:2" ht="112" hidden="1" customHeight="1" x14ac:dyDescent="0.25">
      <c r="A3837" t="s">
        <v>6868</v>
      </c>
      <c r="B3837" s="56" t="s">
        <v>6970</v>
      </c>
    </row>
    <row r="3838" spans="1:2" ht="112" hidden="1" customHeight="1" x14ac:dyDescent="0.25">
      <c r="A3838" t="s">
        <v>6869</v>
      </c>
      <c r="B3838" s="56" t="s">
        <v>6971</v>
      </c>
    </row>
    <row r="3839" spans="1:2" ht="112" hidden="1" customHeight="1" x14ac:dyDescent="0.25">
      <c r="A3839" t="s">
        <v>6870</v>
      </c>
      <c r="B3839" s="56" t="s">
        <v>6972</v>
      </c>
    </row>
    <row r="3840" spans="1:2" ht="112" hidden="1" customHeight="1" x14ac:dyDescent="0.25">
      <c r="A3840" t="s">
        <v>6871</v>
      </c>
      <c r="B3840" s="56" t="s">
        <v>6973</v>
      </c>
    </row>
    <row r="3841" spans="1:2" ht="112" hidden="1" customHeight="1" x14ac:dyDescent="0.25">
      <c r="A3841" t="s">
        <v>6872</v>
      </c>
      <c r="B3841" s="56" t="s">
        <v>7606</v>
      </c>
    </row>
    <row r="3842" spans="1:2" ht="112" hidden="1" customHeight="1" x14ac:dyDescent="0.25">
      <c r="A3842" t="s">
        <v>6873</v>
      </c>
      <c r="B3842" s="56" t="s">
        <v>7607</v>
      </c>
    </row>
    <row r="3843" spans="1:2" ht="112" hidden="1" customHeight="1" x14ac:dyDescent="0.25">
      <c r="A3843" t="s">
        <v>6874</v>
      </c>
      <c r="B3843" s="56" t="s">
        <v>7608</v>
      </c>
    </row>
    <row r="3844" spans="1:2" ht="112" hidden="1" customHeight="1" x14ac:dyDescent="0.25">
      <c r="A3844" t="s">
        <v>6875</v>
      </c>
      <c r="B3844" s="56" t="s">
        <v>7609</v>
      </c>
    </row>
    <row r="3845" spans="1:2" ht="112" hidden="1" customHeight="1" x14ac:dyDescent="0.25">
      <c r="A3845" t="s">
        <v>6876</v>
      </c>
      <c r="B3845" s="56" t="s">
        <v>7610</v>
      </c>
    </row>
    <row r="3846" spans="1:2" ht="112" hidden="1" customHeight="1" x14ac:dyDescent="0.25">
      <c r="A3846" t="s">
        <v>6877</v>
      </c>
      <c r="B3846" s="56" t="s">
        <v>7611</v>
      </c>
    </row>
    <row r="3847" spans="1:2" ht="112" hidden="1" customHeight="1" x14ac:dyDescent="0.25">
      <c r="A3847" t="s">
        <v>6878</v>
      </c>
      <c r="B3847" s="56" t="s">
        <v>7612</v>
      </c>
    </row>
    <row r="3848" spans="1:2" ht="112" hidden="1" customHeight="1" x14ac:dyDescent="0.25">
      <c r="A3848" t="s">
        <v>6879</v>
      </c>
      <c r="B3848" s="56" t="s">
        <v>7613</v>
      </c>
    </row>
    <row r="3849" spans="1:2" ht="112" hidden="1" customHeight="1" x14ac:dyDescent="0.25">
      <c r="A3849" t="s">
        <v>6880</v>
      </c>
      <c r="B3849" s="56" t="s">
        <v>7614</v>
      </c>
    </row>
    <row r="3850" spans="1:2" ht="112" hidden="1" customHeight="1" x14ac:dyDescent="0.25">
      <c r="A3850" t="s">
        <v>6881</v>
      </c>
      <c r="B3850" s="56" t="s">
        <v>6974</v>
      </c>
    </row>
    <row r="3851" spans="1:2" ht="112" hidden="1" customHeight="1" x14ac:dyDescent="0.25">
      <c r="A3851" t="s">
        <v>6882</v>
      </c>
      <c r="B3851" s="56" t="s">
        <v>6975</v>
      </c>
    </row>
    <row r="3852" spans="1:2" ht="112" hidden="1" customHeight="1" x14ac:dyDescent="0.25">
      <c r="A3852" t="s">
        <v>6883</v>
      </c>
      <c r="B3852" s="56" t="s">
        <v>6976</v>
      </c>
    </row>
    <row r="3853" spans="1:2" ht="112" hidden="1" customHeight="1" x14ac:dyDescent="0.25">
      <c r="A3853" t="s">
        <v>6884</v>
      </c>
      <c r="B3853" s="56" t="s">
        <v>6977</v>
      </c>
    </row>
    <row r="3854" spans="1:2" ht="112" hidden="1" customHeight="1" x14ac:dyDescent="0.25">
      <c r="A3854" t="s">
        <v>6885</v>
      </c>
      <c r="B3854" s="56" t="s">
        <v>7615</v>
      </c>
    </row>
    <row r="3855" spans="1:2" ht="112" hidden="1" customHeight="1" x14ac:dyDescent="0.25">
      <c r="A3855" t="s">
        <v>6886</v>
      </c>
      <c r="B3855" s="56" t="s">
        <v>6978</v>
      </c>
    </row>
    <row r="3856" spans="1:2" ht="112" hidden="1" customHeight="1" x14ac:dyDescent="0.25">
      <c r="A3856" t="s">
        <v>6887</v>
      </c>
      <c r="B3856" s="56" t="s">
        <v>6979</v>
      </c>
    </row>
    <row r="3857" spans="1:2" ht="112" hidden="1" customHeight="1" x14ac:dyDescent="0.25">
      <c r="A3857" t="s">
        <v>6888</v>
      </c>
      <c r="B3857" s="56" t="s">
        <v>6980</v>
      </c>
    </row>
    <row r="3858" spans="1:2" ht="112" hidden="1" customHeight="1" x14ac:dyDescent="0.25">
      <c r="A3858" t="s">
        <v>6889</v>
      </c>
      <c r="B3858" s="56" t="s">
        <v>6981</v>
      </c>
    </row>
    <row r="3859" spans="1:2" ht="112" hidden="1" customHeight="1" x14ac:dyDescent="0.25">
      <c r="A3859" t="s">
        <v>6890</v>
      </c>
      <c r="B3859" s="56" t="s">
        <v>6982</v>
      </c>
    </row>
    <row r="3860" spans="1:2" ht="112" hidden="1" customHeight="1" x14ac:dyDescent="0.25">
      <c r="A3860" t="s">
        <v>6891</v>
      </c>
      <c r="B3860" s="56" t="s">
        <v>6983</v>
      </c>
    </row>
    <row r="3861" spans="1:2" ht="112" hidden="1" customHeight="1" x14ac:dyDescent="0.25">
      <c r="A3861" t="s">
        <v>6892</v>
      </c>
      <c r="B3861" s="56" t="s">
        <v>6984</v>
      </c>
    </row>
    <row r="3862" spans="1:2" ht="112" hidden="1" customHeight="1" x14ac:dyDescent="0.25">
      <c r="A3862" t="s">
        <v>6893</v>
      </c>
      <c r="B3862" s="56" t="s">
        <v>6985</v>
      </c>
    </row>
    <row r="3863" spans="1:2" ht="112" hidden="1" customHeight="1" x14ac:dyDescent="0.25">
      <c r="A3863" t="s">
        <v>6894</v>
      </c>
      <c r="B3863" s="56" t="s">
        <v>6986</v>
      </c>
    </row>
    <row r="3864" spans="1:2" ht="112" hidden="1" customHeight="1" x14ac:dyDescent="0.25">
      <c r="A3864" t="s">
        <v>6895</v>
      </c>
      <c r="B3864" s="56" t="s">
        <v>6987</v>
      </c>
    </row>
    <row r="3865" spans="1:2" ht="112" hidden="1" customHeight="1" x14ac:dyDescent="0.25">
      <c r="A3865" t="s">
        <v>6896</v>
      </c>
      <c r="B3865" s="56" t="s">
        <v>6988</v>
      </c>
    </row>
    <row r="3866" spans="1:2" ht="112" hidden="1" customHeight="1" x14ac:dyDescent="0.25">
      <c r="A3866" t="s">
        <v>6897</v>
      </c>
      <c r="B3866" s="56" t="s">
        <v>6989</v>
      </c>
    </row>
    <row r="3867" spans="1:2" ht="112" hidden="1" customHeight="1" x14ac:dyDescent="0.25">
      <c r="A3867" t="s">
        <v>6898</v>
      </c>
      <c r="B3867" s="56" t="s">
        <v>6990</v>
      </c>
    </row>
    <row r="3868" spans="1:2" ht="112" hidden="1" customHeight="1" x14ac:dyDescent="0.25">
      <c r="A3868" t="s">
        <v>6899</v>
      </c>
      <c r="B3868" s="56" t="s">
        <v>6991</v>
      </c>
    </row>
    <row r="3869" spans="1:2" ht="112" hidden="1" customHeight="1" x14ac:dyDescent="0.25">
      <c r="A3869" t="s">
        <v>6900</v>
      </c>
      <c r="B3869" s="56" t="s">
        <v>6992</v>
      </c>
    </row>
    <row r="3870" spans="1:2" ht="112" hidden="1" customHeight="1" x14ac:dyDescent="0.25">
      <c r="A3870" t="s">
        <v>6901</v>
      </c>
      <c r="B3870" s="56" t="s">
        <v>6993</v>
      </c>
    </row>
    <row r="3871" spans="1:2" ht="112" hidden="1" customHeight="1" x14ac:dyDescent="0.25">
      <c r="A3871" t="s">
        <v>6902</v>
      </c>
      <c r="B3871" s="56" t="s">
        <v>6994</v>
      </c>
    </row>
    <row r="3872" spans="1:2" ht="112" hidden="1" customHeight="1" x14ac:dyDescent="0.25">
      <c r="A3872" t="s">
        <v>6903</v>
      </c>
      <c r="B3872" s="56" t="s">
        <v>6995</v>
      </c>
    </row>
    <row r="3873" spans="1:2" ht="112" hidden="1" customHeight="1" x14ac:dyDescent="0.25">
      <c r="A3873" t="s">
        <v>6904</v>
      </c>
      <c r="B3873" s="56" t="s">
        <v>6996</v>
      </c>
    </row>
    <row r="3874" spans="1:2" ht="112" hidden="1" customHeight="1" x14ac:dyDescent="0.25">
      <c r="A3874" t="s">
        <v>6905</v>
      </c>
      <c r="B3874" s="56" t="s">
        <v>6997</v>
      </c>
    </row>
    <row r="3875" spans="1:2" ht="112" hidden="1" customHeight="1" x14ac:dyDescent="0.25">
      <c r="A3875" t="s">
        <v>6906</v>
      </c>
      <c r="B3875" s="56" t="s">
        <v>6998</v>
      </c>
    </row>
    <row r="3876" spans="1:2" ht="112" hidden="1" customHeight="1" x14ac:dyDescent="0.25">
      <c r="A3876" t="s">
        <v>6907</v>
      </c>
      <c r="B3876" s="56" t="s">
        <v>6999</v>
      </c>
    </row>
    <row r="3877" spans="1:2" ht="112" hidden="1" customHeight="1" x14ac:dyDescent="0.25">
      <c r="A3877" t="s">
        <v>6908</v>
      </c>
      <c r="B3877" s="56" t="s">
        <v>7000</v>
      </c>
    </row>
    <row r="3878" spans="1:2" ht="112" hidden="1" customHeight="1" x14ac:dyDescent="0.25">
      <c r="A3878" t="s">
        <v>6909</v>
      </c>
      <c r="B3878" s="56" t="s">
        <v>7001</v>
      </c>
    </row>
    <row r="3879" spans="1:2" ht="112" hidden="1" customHeight="1" x14ac:dyDescent="0.25">
      <c r="A3879" t="s">
        <v>6910</v>
      </c>
      <c r="B3879" s="56" t="s">
        <v>7002</v>
      </c>
    </row>
    <row r="3880" spans="1:2" ht="112" hidden="1" customHeight="1" x14ac:dyDescent="0.25">
      <c r="A3880" t="s">
        <v>6911</v>
      </c>
      <c r="B3880" s="56" t="s">
        <v>7003</v>
      </c>
    </row>
    <row r="3881" spans="1:2" ht="112" hidden="1" customHeight="1" x14ac:dyDescent="0.25">
      <c r="A3881" t="s">
        <v>6912</v>
      </c>
      <c r="B3881" s="56" t="s">
        <v>7004</v>
      </c>
    </row>
    <row r="3882" spans="1:2" ht="112" hidden="1" customHeight="1" x14ac:dyDescent="0.25">
      <c r="A3882" t="s">
        <v>6913</v>
      </c>
      <c r="B3882" s="56" t="s">
        <v>7005</v>
      </c>
    </row>
    <row r="3883" spans="1:2" ht="112" hidden="1" customHeight="1" x14ac:dyDescent="0.25">
      <c r="A3883" t="s">
        <v>6914</v>
      </c>
      <c r="B3883" s="56" t="s">
        <v>7006</v>
      </c>
    </row>
    <row r="3884" spans="1:2" ht="112" hidden="1" customHeight="1" x14ac:dyDescent="0.25">
      <c r="A3884" t="s">
        <v>6915</v>
      </c>
      <c r="B3884" s="56" t="s">
        <v>7007</v>
      </c>
    </row>
    <row r="3885" spans="1:2" ht="112" hidden="1" customHeight="1" x14ac:dyDescent="0.25">
      <c r="A3885" t="s">
        <v>6916</v>
      </c>
      <c r="B3885" s="56" t="s">
        <v>7008</v>
      </c>
    </row>
    <row r="3886" spans="1:2" ht="112" hidden="1" customHeight="1" x14ac:dyDescent="0.25">
      <c r="A3886" t="s">
        <v>6917</v>
      </c>
      <c r="B3886" s="56" t="s">
        <v>7009</v>
      </c>
    </row>
    <row r="3887" spans="1:2" ht="112" hidden="1" customHeight="1" x14ac:dyDescent="0.25">
      <c r="A3887" t="s">
        <v>6918</v>
      </c>
      <c r="B3887" s="56" t="s">
        <v>7010</v>
      </c>
    </row>
    <row r="3888" spans="1:2" ht="112" hidden="1" customHeight="1" x14ac:dyDescent="0.25">
      <c r="A3888" t="s">
        <v>6919</v>
      </c>
      <c r="B3888" s="56" t="s">
        <v>7011</v>
      </c>
    </row>
    <row r="3889" spans="1:2" ht="112" hidden="1" customHeight="1" x14ac:dyDescent="0.25">
      <c r="A3889" t="s">
        <v>6920</v>
      </c>
      <c r="B3889" s="56" t="s">
        <v>7012</v>
      </c>
    </row>
    <row r="3890" spans="1:2" ht="112" hidden="1" customHeight="1" x14ac:dyDescent="0.25">
      <c r="A3890" t="s">
        <v>6921</v>
      </c>
      <c r="B3890" s="56" t="s">
        <v>7013</v>
      </c>
    </row>
    <row r="3891" spans="1:2" ht="112" hidden="1" customHeight="1" x14ac:dyDescent="0.25">
      <c r="A3891" t="s">
        <v>6922</v>
      </c>
      <c r="B3891" s="56" t="s">
        <v>7014</v>
      </c>
    </row>
    <row r="3892" spans="1:2" ht="112" hidden="1" customHeight="1" x14ac:dyDescent="0.25">
      <c r="A3892" t="s">
        <v>6923</v>
      </c>
      <c r="B3892" s="56" t="s">
        <v>7015</v>
      </c>
    </row>
    <row r="3893" spans="1:2" ht="112" hidden="1" customHeight="1" x14ac:dyDescent="0.25">
      <c r="A3893" t="s">
        <v>6924</v>
      </c>
      <c r="B3893" s="56" t="s">
        <v>7016</v>
      </c>
    </row>
    <row r="3894" spans="1:2" ht="112" hidden="1" customHeight="1" x14ac:dyDescent="0.25">
      <c r="A3894" t="s">
        <v>6925</v>
      </c>
      <c r="B3894" s="56" t="s">
        <v>7017</v>
      </c>
    </row>
    <row r="3895" spans="1:2" ht="112" hidden="1" customHeight="1" x14ac:dyDescent="0.25">
      <c r="A3895" t="s">
        <v>6926</v>
      </c>
      <c r="B3895" s="56" t="s">
        <v>7018</v>
      </c>
    </row>
    <row r="3896" spans="1:2" ht="112" hidden="1" customHeight="1" x14ac:dyDescent="0.25">
      <c r="A3896" t="s">
        <v>6927</v>
      </c>
      <c r="B3896" s="56" t="s">
        <v>7019</v>
      </c>
    </row>
    <row r="3897" spans="1:2" ht="112" hidden="1" customHeight="1" x14ac:dyDescent="0.25">
      <c r="A3897" t="s">
        <v>6928</v>
      </c>
      <c r="B3897" s="56" t="s">
        <v>7020</v>
      </c>
    </row>
    <row r="3898" spans="1:2" ht="112" hidden="1" customHeight="1" x14ac:dyDescent="0.25">
      <c r="A3898" t="s">
        <v>6929</v>
      </c>
      <c r="B3898" s="56" t="s">
        <v>7021</v>
      </c>
    </row>
    <row r="3899" spans="1:2" ht="112" hidden="1" customHeight="1" x14ac:dyDescent="0.25">
      <c r="A3899" t="s">
        <v>6930</v>
      </c>
      <c r="B3899" s="56" t="s">
        <v>7022</v>
      </c>
    </row>
    <row r="3900" spans="1:2" ht="112" hidden="1" customHeight="1" x14ac:dyDescent="0.25">
      <c r="A3900" t="s">
        <v>6931</v>
      </c>
      <c r="B3900" s="56" t="s">
        <v>7023</v>
      </c>
    </row>
    <row r="3901" spans="1:2" ht="112" hidden="1" customHeight="1" x14ac:dyDescent="0.25">
      <c r="A3901" t="s">
        <v>6932</v>
      </c>
      <c r="B3901" s="56" t="s">
        <v>7024</v>
      </c>
    </row>
    <row r="3902" spans="1:2" ht="112" hidden="1" customHeight="1" x14ac:dyDescent="0.25">
      <c r="A3902" t="s">
        <v>6933</v>
      </c>
      <c r="B3902" s="56" t="s">
        <v>7025</v>
      </c>
    </row>
    <row r="3903" spans="1:2" ht="112" hidden="1" customHeight="1" x14ac:dyDescent="0.25">
      <c r="A3903" t="s">
        <v>6934</v>
      </c>
      <c r="B3903" s="56" t="s">
        <v>7026</v>
      </c>
    </row>
    <row r="3904" spans="1:2" ht="112" hidden="1" customHeight="1" x14ac:dyDescent="0.25">
      <c r="A3904" t="s">
        <v>6935</v>
      </c>
      <c r="B3904" s="56" t="s">
        <v>7027</v>
      </c>
    </row>
    <row r="3905" spans="1:2" ht="112" hidden="1" customHeight="1" x14ac:dyDescent="0.25">
      <c r="A3905" t="s">
        <v>6936</v>
      </c>
      <c r="B3905" s="56" t="s">
        <v>7028</v>
      </c>
    </row>
    <row r="3906" spans="1:2" ht="112" hidden="1" customHeight="1" x14ac:dyDescent="0.25">
      <c r="A3906" t="s">
        <v>6937</v>
      </c>
      <c r="B3906" s="56" t="s">
        <v>7616</v>
      </c>
    </row>
    <row r="3907" spans="1:2" ht="112" hidden="1" customHeight="1" x14ac:dyDescent="0.25">
      <c r="A3907" t="s">
        <v>6938</v>
      </c>
      <c r="B3907" s="56" t="s">
        <v>7029</v>
      </c>
    </row>
    <row r="3908" spans="1:2" ht="112" hidden="1" customHeight="1" x14ac:dyDescent="0.25">
      <c r="A3908" t="s">
        <v>6939</v>
      </c>
      <c r="B3908" s="56" t="s">
        <v>7030</v>
      </c>
    </row>
    <row r="3909" spans="1:2" ht="112" hidden="1" customHeight="1" x14ac:dyDescent="0.25">
      <c r="A3909" t="s">
        <v>6940</v>
      </c>
      <c r="B3909" s="56" t="s">
        <v>7031</v>
      </c>
    </row>
    <row r="3910" spans="1:2" ht="112" hidden="1" customHeight="1" x14ac:dyDescent="0.25">
      <c r="A3910" t="s">
        <v>6941</v>
      </c>
      <c r="B3910" s="56" t="s">
        <v>7032</v>
      </c>
    </row>
    <row r="3911" spans="1:2" ht="112" hidden="1" customHeight="1" x14ac:dyDescent="0.25">
      <c r="A3911" t="s">
        <v>6942</v>
      </c>
      <c r="B3911" s="56" t="s">
        <v>7033</v>
      </c>
    </row>
    <row r="3912" spans="1:2" ht="112" hidden="1" customHeight="1" x14ac:dyDescent="0.25">
      <c r="A3912" t="s">
        <v>6943</v>
      </c>
      <c r="B3912" s="56" t="s">
        <v>7034</v>
      </c>
    </row>
    <row r="3913" spans="1:2" ht="112" hidden="1" customHeight="1" x14ac:dyDescent="0.25">
      <c r="A3913" t="s">
        <v>6944</v>
      </c>
      <c r="B3913" s="56" t="s">
        <v>7035</v>
      </c>
    </row>
    <row r="3914" spans="1:2" ht="112" hidden="1" customHeight="1" x14ac:dyDescent="0.25">
      <c r="A3914" t="s">
        <v>6945</v>
      </c>
      <c r="B3914" s="56" t="s">
        <v>7036</v>
      </c>
    </row>
    <row r="3915" spans="1:2" ht="112" hidden="1" customHeight="1" x14ac:dyDescent="0.25">
      <c r="A3915" t="s">
        <v>6946</v>
      </c>
      <c r="B3915" s="56" t="s">
        <v>7037</v>
      </c>
    </row>
    <row r="3916" spans="1:2" ht="112" hidden="1" customHeight="1" x14ac:dyDescent="0.25">
      <c r="A3916" t="s">
        <v>6947</v>
      </c>
      <c r="B3916" s="56" t="s">
        <v>7038</v>
      </c>
    </row>
    <row r="3917" spans="1:2" ht="112" hidden="1" customHeight="1" x14ac:dyDescent="0.25">
      <c r="A3917" t="s">
        <v>6948</v>
      </c>
      <c r="B3917" s="56" t="s">
        <v>7039</v>
      </c>
    </row>
    <row r="3918" spans="1:2" ht="112" hidden="1" customHeight="1" x14ac:dyDescent="0.25">
      <c r="A3918" t="s">
        <v>7850</v>
      </c>
      <c r="B3918" s="56" t="s">
        <v>7049</v>
      </c>
    </row>
    <row r="3919" spans="1:2" ht="112" hidden="1" customHeight="1" x14ac:dyDescent="0.25">
      <c r="A3919" t="s">
        <v>7040</v>
      </c>
      <c r="B3919" s="56" t="s">
        <v>7617</v>
      </c>
    </row>
    <row r="3920" spans="1:2" ht="112" hidden="1" customHeight="1" x14ac:dyDescent="0.25">
      <c r="A3920" t="s">
        <v>7041</v>
      </c>
      <c r="B3920" s="56" t="s">
        <v>7618</v>
      </c>
    </row>
    <row r="3921" spans="1:2" ht="112" hidden="1" customHeight="1" x14ac:dyDescent="0.25">
      <c r="A3921" t="s">
        <v>7042</v>
      </c>
      <c r="B3921" s="56" t="s">
        <v>7043</v>
      </c>
    </row>
    <row r="3922" spans="1:2" ht="112" hidden="1" customHeight="1" x14ac:dyDescent="0.25">
      <c r="A3922" t="s">
        <v>7044</v>
      </c>
      <c r="B3922" s="56" t="s">
        <v>7050</v>
      </c>
    </row>
    <row r="3923" spans="1:2" ht="112" hidden="1" customHeight="1" x14ac:dyDescent="0.25">
      <c r="A3923" t="s">
        <v>7045</v>
      </c>
      <c r="B3923" s="56" t="s">
        <v>7051</v>
      </c>
    </row>
    <row r="3924" spans="1:2" ht="112" hidden="1" customHeight="1" x14ac:dyDescent="0.25">
      <c r="A3924" t="s">
        <v>7046</v>
      </c>
      <c r="B3924" s="56" t="s">
        <v>7619</v>
      </c>
    </row>
    <row r="3925" spans="1:2" ht="112" hidden="1" customHeight="1" x14ac:dyDescent="0.25">
      <c r="A3925" t="s">
        <v>7047</v>
      </c>
      <c r="B3925" s="56" t="s">
        <v>7620</v>
      </c>
    </row>
    <row r="3926" spans="1:2" ht="112" hidden="1" customHeight="1" x14ac:dyDescent="0.25">
      <c r="A3926" t="s">
        <v>7052</v>
      </c>
      <c r="B3926" s="56" t="s">
        <v>7621</v>
      </c>
    </row>
    <row r="3927" spans="1:2" ht="112" hidden="1" customHeight="1" x14ac:dyDescent="0.25">
      <c r="A3927" t="s">
        <v>7053</v>
      </c>
      <c r="B3927" s="56" t="s">
        <v>7678</v>
      </c>
    </row>
    <row r="3928" spans="1:2" ht="112" hidden="1" customHeight="1" x14ac:dyDescent="0.25">
      <c r="A3928" t="s">
        <v>7054</v>
      </c>
      <c r="B3928" s="56" t="s">
        <v>7679</v>
      </c>
    </row>
    <row r="3929" spans="1:2" ht="112" hidden="1" customHeight="1" x14ac:dyDescent="0.25">
      <c r="A3929" t="s">
        <v>7055</v>
      </c>
      <c r="B3929" s="56" t="s">
        <v>7680</v>
      </c>
    </row>
    <row r="3930" spans="1:2" ht="112" hidden="1" customHeight="1" x14ac:dyDescent="0.25">
      <c r="A3930" t="s">
        <v>7056</v>
      </c>
      <c r="B3930" s="56" t="s">
        <v>7681</v>
      </c>
    </row>
    <row r="3931" spans="1:2" ht="112" hidden="1" customHeight="1" x14ac:dyDescent="0.25">
      <c r="A3931" t="s">
        <v>7057</v>
      </c>
      <c r="B3931" s="56" t="s">
        <v>7682</v>
      </c>
    </row>
    <row r="3932" spans="1:2" ht="112" hidden="1" customHeight="1" x14ac:dyDescent="0.25">
      <c r="A3932" t="s">
        <v>7058</v>
      </c>
      <c r="B3932" s="56" t="s">
        <v>7683</v>
      </c>
    </row>
    <row r="3933" spans="1:2" ht="112" hidden="1" customHeight="1" x14ac:dyDescent="0.25">
      <c r="A3933" t="s">
        <v>7059</v>
      </c>
      <c r="B3933" s="56" t="s">
        <v>7684</v>
      </c>
    </row>
    <row r="3934" spans="1:2" ht="112" hidden="1" customHeight="1" x14ac:dyDescent="0.25">
      <c r="A3934" t="s">
        <v>7060</v>
      </c>
      <c r="B3934" s="56" t="s">
        <v>7685</v>
      </c>
    </row>
    <row r="3935" spans="1:2" ht="112" hidden="1" customHeight="1" x14ac:dyDescent="0.25">
      <c r="A3935" t="s">
        <v>7061</v>
      </c>
      <c r="B3935" s="56" t="s">
        <v>7686</v>
      </c>
    </row>
    <row r="3936" spans="1:2" ht="112" hidden="1" customHeight="1" x14ac:dyDescent="0.25">
      <c r="A3936" t="s">
        <v>7068</v>
      </c>
      <c r="B3936" s="56" t="s">
        <v>7093</v>
      </c>
    </row>
    <row r="3937" spans="1:2" ht="112" hidden="1" customHeight="1" x14ac:dyDescent="0.25">
      <c r="A3937" t="s">
        <v>7069</v>
      </c>
      <c r="B3937" s="56" t="s">
        <v>7094</v>
      </c>
    </row>
    <row r="3938" spans="1:2" ht="112" hidden="1" customHeight="1" x14ac:dyDescent="0.25">
      <c r="A3938" t="s">
        <v>7070</v>
      </c>
      <c r="B3938" s="56" t="s">
        <v>7095</v>
      </c>
    </row>
    <row r="3939" spans="1:2" ht="112" hidden="1" customHeight="1" x14ac:dyDescent="0.25">
      <c r="A3939" t="s">
        <v>7071</v>
      </c>
      <c r="B3939" s="56" t="s">
        <v>7622</v>
      </c>
    </row>
    <row r="3940" spans="1:2" ht="112" hidden="1" customHeight="1" x14ac:dyDescent="0.25">
      <c r="A3940" t="s">
        <v>7851</v>
      </c>
      <c r="B3940" s="56" t="s">
        <v>7096</v>
      </c>
    </row>
    <row r="3941" spans="1:2" ht="112" hidden="1" customHeight="1" x14ac:dyDescent="0.25">
      <c r="A3941" t="s">
        <v>7072</v>
      </c>
      <c r="B3941" s="56" t="s">
        <v>7623</v>
      </c>
    </row>
    <row r="3942" spans="1:2" ht="112" hidden="1" customHeight="1" x14ac:dyDescent="0.25">
      <c r="A3942" t="s">
        <v>7852</v>
      </c>
      <c r="B3942" s="56" t="s">
        <v>7624</v>
      </c>
    </row>
    <row r="3943" spans="1:2" ht="112" hidden="1" customHeight="1" x14ac:dyDescent="0.25">
      <c r="A3943" t="s">
        <v>7073</v>
      </c>
      <c r="B3943" s="56" t="s">
        <v>7097</v>
      </c>
    </row>
    <row r="3944" spans="1:2" ht="112" hidden="1" customHeight="1" x14ac:dyDescent="0.25">
      <c r="A3944" t="s">
        <v>7074</v>
      </c>
      <c r="B3944" s="56" t="s">
        <v>7098</v>
      </c>
    </row>
    <row r="3945" spans="1:2" ht="112" hidden="1" customHeight="1" x14ac:dyDescent="0.25">
      <c r="A3945" t="s">
        <v>7075</v>
      </c>
      <c r="B3945" s="56" t="s">
        <v>7099</v>
      </c>
    </row>
    <row r="3946" spans="1:2" ht="112" hidden="1" customHeight="1" x14ac:dyDescent="0.25">
      <c r="A3946" t="s">
        <v>7076</v>
      </c>
      <c r="B3946" s="56" t="s">
        <v>7100</v>
      </c>
    </row>
    <row r="3947" spans="1:2" ht="112" hidden="1" customHeight="1" x14ac:dyDescent="0.25">
      <c r="A3947" t="s">
        <v>7077</v>
      </c>
      <c r="B3947" s="56" t="s">
        <v>7101</v>
      </c>
    </row>
    <row r="3948" spans="1:2" ht="112" hidden="1" customHeight="1" x14ac:dyDescent="0.25">
      <c r="A3948" t="s">
        <v>7078</v>
      </c>
      <c r="B3948" s="56" t="s">
        <v>7102</v>
      </c>
    </row>
    <row r="3949" spans="1:2" ht="112" hidden="1" customHeight="1" x14ac:dyDescent="0.25">
      <c r="A3949" t="s">
        <v>7079</v>
      </c>
      <c r="B3949" s="56" t="s">
        <v>7103</v>
      </c>
    </row>
    <row r="3950" spans="1:2" ht="112" hidden="1" customHeight="1" x14ac:dyDescent="0.25">
      <c r="A3950" t="s">
        <v>7080</v>
      </c>
      <c r="B3950" s="56" t="s">
        <v>7104</v>
      </c>
    </row>
    <row r="3951" spans="1:2" ht="112" hidden="1" customHeight="1" x14ac:dyDescent="0.25">
      <c r="A3951" t="s">
        <v>7081</v>
      </c>
      <c r="B3951" s="56" t="s">
        <v>7105</v>
      </c>
    </row>
    <row r="3952" spans="1:2" ht="112" hidden="1" customHeight="1" x14ac:dyDescent="0.25">
      <c r="A3952" t="s">
        <v>7082</v>
      </c>
      <c r="B3952" s="56" t="s">
        <v>7106</v>
      </c>
    </row>
    <row r="3953" spans="1:2" ht="112" hidden="1" customHeight="1" x14ac:dyDescent="0.25">
      <c r="A3953" t="s">
        <v>7083</v>
      </c>
      <c r="B3953" s="56" t="s">
        <v>7107</v>
      </c>
    </row>
    <row r="3954" spans="1:2" ht="112" hidden="1" customHeight="1" x14ac:dyDescent="0.25">
      <c r="A3954" t="s">
        <v>7084</v>
      </c>
      <c r="B3954" s="56" t="s">
        <v>7108</v>
      </c>
    </row>
    <row r="3955" spans="1:2" ht="112" hidden="1" customHeight="1" x14ac:dyDescent="0.25">
      <c r="A3955" t="s">
        <v>7085</v>
      </c>
      <c r="B3955" s="56" t="s">
        <v>7109</v>
      </c>
    </row>
    <row r="3956" spans="1:2" ht="112" hidden="1" customHeight="1" x14ac:dyDescent="0.25">
      <c r="A3956" t="s">
        <v>7086</v>
      </c>
      <c r="B3956" s="56" t="s">
        <v>9215</v>
      </c>
    </row>
    <row r="3957" spans="1:2" ht="112" hidden="1" customHeight="1" x14ac:dyDescent="0.25">
      <c r="A3957" t="s">
        <v>7087</v>
      </c>
      <c r="B3957" s="56" t="s">
        <v>7110</v>
      </c>
    </row>
    <row r="3958" spans="1:2" ht="112" hidden="1" customHeight="1" x14ac:dyDescent="0.25">
      <c r="A3958" t="s">
        <v>7088</v>
      </c>
      <c r="B3958" s="56" t="s">
        <v>7111</v>
      </c>
    </row>
    <row r="3959" spans="1:2" ht="112" hidden="1" customHeight="1" x14ac:dyDescent="0.25">
      <c r="A3959" t="s">
        <v>7089</v>
      </c>
      <c r="B3959" s="56" t="s">
        <v>7112</v>
      </c>
    </row>
    <row r="3960" spans="1:2" ht="112" hidden="1" customHeight="1" x14ac:dyDescent="0.25">
      <c r="A3960" t="s">
        <v>7090</v>
      </c>
      <c r="B3960" s="56" t="s">
        <v>7113</v>
      </c>
    </row>
    <row r="3961" spans="1:2" ht="112" hidden="1" customHeight="1" x14ac:dyDescent="0.25">
      <c r="A3961" t="s">
        <v>7091</v>
      </c>
      <c r="B3961" s="56" t="s">
        <v>7114</v>
      </c>
    </row>
    <row r="3962" spans="1:2" ht="112" hidden="1" customHeight="1" x14ac:dyDescent="0.25">
      <c r="A3962" t="s">
        <v>7092</v>
      </c>
      <c r="B3962" s="56" t="s">
        <v>7115</v>
      </c>
    </row>
    <row r="3963" spans="1:2" ht="112" hidden="1" customHeight="1" x14ac:dyDescent="0.25">
      <c r="A3963" t="s">
        <v>7129</v>
      </c>
      <c r="B3963" s="56" t="s">
        <v>7118</v>
      </c>
    </row>
    <row r="3964" spans="1:2" ht="112" hidden="1" customHeight="1" x14ac:dyDescent="0.25">
      <c r="A3964" t="s">
        <v>7116</v>
      </c>
      <c r="B3964" s="56" t="s">
        <v>7625</v>
      </c>
    </row>
    <row r="3965" spans="1:2" ht="112" hidden="1" customHeight="1" x14ac:dyDescent="0.25">
      <c r="A3965" t="s">
        <v>7117</v>
      </c>
      <c r="B3965" s="56" t="s">
        <v>7119</v>
      </c>
    </row>
    <row r="3966" spans="1:2" ht="112" hidden="1" customHeight="1" x14ac:dyDescent="0.25">
      <c r="A3966" t="s">
        <v>7062</v>
      </c>
      <c r="B3966" s="56" t="s">
        <v>7065</v>
      </c>
    </row>
    <row r="3967" spans="1:2" ht="112" hidden="1" customHeight="1" x14ac:dyDescent="0.25">
      <c r="A3967" t="s">
        <v>7063</v>
      </c>
      <c r="B3967" s="56" t="s">
        <v>7066</v>
      </c>
    </row>
    <row r="3968" spans="1:2" ht="112" hidden="1" customHeight="1" x14ac:dyDescent="0.25">
      <c r="A3968" t="s">
        <v>7064</v>
      </c>
      <c r="B3968" s="56" t="s">
        <v>7067</v>
      </c>
    </row>
    <row r="3969" spans="1:2" ht="112" hidden="1" customHeight="1" x14ac:dyDescent="0.25">
      <c r="A3969" t="s">
        <v>7091</v>
      </c>
      <c r="B3969" s="56" t="s">
        <v>7114</v>
      </c>
    </row>
    <row r="3970" spans="1:2" ht="112" hidden="1" customHeight="1" x14ac:dyDescent="0.25">
      <c r="A3970" t="s">
        <v>7092</v>
      </c>
      <c r="B3970" s="56" t="s">
        <v>7115</v>
      </c>
    </row>
    <row r="3971" spans="1:2" ht="112" hidden="1" customHeight="1" x14ac:dyDescent="0.25">
      <c r="A3971" t="s">
        <v>7120</v>
      </c>
      <c r="B3971" s="56" t="s">
        <v>7122</v>
      </c>
    </row>
    <row r="3972" spans="1:2" ht="112" hidden="1" customHeight="1" x14ac:dyDescent="0.25">
      <c r="A3972" t="s">
        <v>7121</v>
      </c>
      <c r="B3972" s="56" t="s">
        <v>7123</v>
      </c>
    </row>
    <row r="3973" spans="1:2" ht="112" hidden="1" customHeight="1" x14ac:dyDescent="0.25">
      <c r="A3973" t="s">
        <v>7073</v>
      </c>
      <c r="B3973" s="56" t="s">
        <v>7124</v>
      </c>
    </row>
    <row r="3974" spans="1:2" ht="112" hidden="1" customHeight="1" x14ac:dyDescent="0.25">
      <c r="A3974" t="s">
        <v>7086</v>
      </c>
      <c r="B3974" s="56" t="s">
        <v>9216</v>
      </c>
    </row>
    <row r="3975" spans="1:2" ht="112" hidden="1" customHeight="1" x14ac:dyDescent="0.25">
      <c r="A3975" t="s">
        <v>7125</v>
      </c>
      <c r="B3975" s="56" t="s">
        <v>7130</v>
      </c>
    </row>
    <row r="3976" spans="1:2" ht="112" hidden="1" customHeight="1" x14ac:dyDescent="0.25">
      <c r="A3976" t="s">
        <v>7126</v>
      </c>
      <c r="B3976" s="56" t="s">
        <v>7131</v>
      </c>
    </row>
    <row r="3977" spans="1:2" ht="112" hidden="1" customHeight="1" x14ac:dyDescent="0.25">
      <c r="A3977" t="s">
        <v>7127</v>
      </c>
      <c r="B3977" s="56" t="s">
        <v>7132</v>
      </c>
    </row>
    <row r="3978" spans="1:2" ht="112" hidden="1" customHeight="1" x14ac:dyDescent="0.25">
      <c r="A3978" t="s">
        <v>7128</v>
      </c>
      <c r="B3978" s="56" t="s">
        <v>7133</v>
      </c>
    </row>
    <row r="3979" spans="1:2" ht="112" hidden="1" customHeight="1" x14ac:dyDescent="0.25">
      <c r="A3979" t="s">
        <v>7129</v>
      </c>
      <c r="B3979" s="56" t="s">
        <v>7118</v>
      </c>
    </row>
    <row r="3980" spans="1:2" ht="112" hidden="1" customHeight="1" x14ac:dyDescent="0.25">
      <c r="A3980" t="s">
        <v>7853</v>
      </c>
      <c r="B3980" s="56" t="s">
        <v>7626</v>
      </c>
    </row>
    <row r="3981" spans="1:2" ht="112" hidden="1" customHeight="1" x14ac:dyDescent="0.25">
      <c r="A3981" t="s">
        <v>7854</v>
      </c>
      <c r="B3981" s="56" t="s">
        <v>7627</v>
      </c>
    </row>
    <row r="3982" spans="1:2" ht="112" hidden="1" customHeight="1" x14ac:dyDescent="0.25">
      <c r="A3982" t="s">
        <v>7855</v>
      </c>
      <c r="B3982" s="56" t="s">
        <v>7628</v>
      </c>
    </row>
    <row r="3983" spans="1:2" ht="112" hidden="1" customHeight="1" x14ac:dyDescent="0.25">
      <c r="A3983" t="s">
        <v>7134</v>
      </c>
      <c r="B3983" s="56" t="s">
        <v>7687</v>
      </c>
    </row>
    <row r="3984" spans="1:2" ht="112" hidden="1" customHeight="1" x14ac:dyDescent="0.25">
      <c r="A3984" t="s">
        <v>7135</v>
      </c>
      <c r="B3984" s="56" t="s">
        <v>7688</v>
      </c>
    </row>
    <row r="3985" spans="1:2" ht="112" hidden="1" customHeight="1" x14ac:dyDescent="0.25">
      <c r="A3985" t="s">
        <v>7136</v>
      </c>
      <c r="B3985" s="56" t="s">
        <v>7772</v>
      </c>
    </row>
    <row r="3986" spans="1:2" ht="112" hidden="1" customHeight="1" x14ac:dyDescent="0.25">
      <c r="A3986" t="s">
        <v>7137</v>
      </c>
      <c r="B3986" s="56" t="s">
        <v>7689</v>
      </c>
    </row>
    <row r="3987" spans="1:2" ht="112" hidden="1" customHeight="1" x14ac:dyDescent="0.25">
      <c r="A3987" t="s">
        <v>7138</v>
      </c>
      <c r="B3987" s="56" t="s">
        <v>7629</v>
      </c>
    </row>
    <row r="3988" spans="1:2" ht="112" hidden="1" customHeight="1" x14ac:dyDescent="0.25">
      <c r="A3988" t="s">
        <v>7139</v>
      </c>
      <c r="B3988" s="56" t="s">
        <v>7630</v>
      </c>
    </row>
    <row r="3989" spans="1:2" ht="112" hidden="1" customHeight="1" x14ac:dyDescent="0.25">
      <c r="A3989" t="s">
        <v>7140</v>
      </c>
      <c r="B3989" s="56" t="s">
        <v>7631</v>
      </c>
    </row>
    <row r="3990" spans="1:2" ht="112" hidden="1" customHeight="1" x14ac:dyDescent="0.25">
      <c r="A3990" t="s">
        <v>7141</v>
      </c>
      <c r="B3990" s="56" t="s">
        <v>7632</v>
      </c>
    </row>
    <row r="3991" spans="1:2" ht="112" hidden="1" customHeight="1" x14ac:dyDescent="0.25">
      <c r="A3991" t="s">
        <v>7143</v>
      </c>
      <c r="B3991" s="56" t="s">
        <v>7773</v>
      </c>
    </row>
    <row r="3992" spans="1:2" ht="112" hidden="1" customHeight="1" x14ac:dyDescent="0.25">
      <c r="A3992" t="s">
        <v>7144</v>
      </c>
      <c r="B3992" s="56" t="s">
        <v>7774</v>
      </c>
    </row>
    <row r="3993" spans="1:2" ht="112" hidden="1" customHeight="1" x14ac:dyDescent="0.25">
      <c r="A3993" t="s">
        <v>7145</v>
      </c>
      <c r="B3993" s="56" t="s">
        <v>7775</v>
      </c>
    </row>
    <row r="3994" spans="1:2" ht="112" hidden="1" customHeight="1" x14ac:dyDescent="0.25">
      <c r="A3994" t="s">
        <v>6805</v>
      </c>
      <c r="B3994" s="56" t="s">
        <v>7776</v>
      </c>
    </row>
    <row r="3995" spans="1:2" ht="112" hidden="1" customHeight="1" x14ac:dyDescent="0.25">
      <c r="A3995" t="s">
        <v>7146</v>
      </c>
      <c r="B3995" s="56" t="s">
        <v>7633</v>
      </c>
    </row>
    <row r="3996" spans="1:2" ht="112" hidden="1" customHeight="1" x14ac:dyDescent="0.25">
      <c r="A3996" t="s">
        <v>7147</v>
      </c>
      <c r="B3996" s="56" t="s">
        <v>7777</v>
      </c>
    </row>
    <row r="3997" spans="1:2" ht="112" hidden="1" customHeight="1" x14ac:dyDescent="0.25">
      <c r="A3997" t="s">
        <v>7148</v>
      </c>
      <c r="B3997" s="56" t="s">
        <v>7778</v>
      </c>
    </row>
    <row r="3998" spans="1:2" ht="112" hidden="1" customHeight="1" x14ac:dyDescent="0.25">
      <c r="A3998" t="s">
        <v>7149</v>
      </c>
      <c r="B3998" s="56" t="s">
        <v>7634</v>
      </c>
    </row>
    <row r="3999" spans="1:2" ht="112" hidden="1" customHeight="1" x14ac:dyDescent="0.25">
      <c r="A3999" t="s">
        <v>7150</v>
      </c>
      <c r="B3999" s="56" t="s">
        <v>7635</v>
      </c>
    </row>
    <row r="4000" spans="1:2" ht="112" hidden="1" customHeight="1" x14ac:dyDescent="0.25">
      <c r="A4000" t="s">
        <v>7151</v>
      </c>
      <c r="B4000" s="56" t="s">
        <v>7636</v>
      </c>
    </row>
    <row r="4001" spans="1:2" ht="112" hidden="1" customHeight="1" x14ac:dyDescent="0.25">
      <c r="A4001" t="s">
        <v>7152</v>
      </c>
      <c r="B4001" s="56" t="s">
        <v>7637</v>
      </c>
    </row>
    <row r="4002" spans="1:2" ht="112" hidden="1" customHeight="1" x14ac:dyDescent="0.25">
      <c r="A4002" t="s">
        <v>7153</v>
      </c>
      <c r="B4002" s="56" t="s">
        <v>7638</v>
      </c>
    </row>
    <row r="4003" spans="1:2" ht="112" hidden="1" customHeight="1" x14ac:dyDescent="0.25">
      <c r="A4003" t="s">
        <v>7160</v>
      </c>
      <c r="B4003" s="56" t="s">
        <v>7639</v>
      </c>
    </row>
    <row r="4004" spans="1:2" ht="112" hidden="1" customHeight="1" x14ac:dyDescent="0.25">
      <c r="A4004" t="s">
        <v>7163</v>
      </c>
      <c r="B4004" s="56" t="s">
        <v>7644</v>
      </c>
    </row>
    <row r="4005" spans="1:2" ht="112" hidden="1" customHeight="1" x14ac:dyDescent="0.25">
      <c r="A4005" t="s">
        <v>7164</v>
      </c>
      <c r="B4005" s="56" t="s">
        <v>7708</v>
      </c>
    </row>
    <row r="4006" spans="1:2" ht="112" hidden="1" customHeight="1" x14ac:dyDescent="0.25">
      <c r="A4006" t="s">
        <v>7165</v>
      </c>
      <c r="B4006" s="56" t="s">
        <v>7640</v>
      </c>
    </row>
    <row r="4007" spans="1:2" ht="112" hidden="1" customHeight="1" x14ac:dyDescent="0.25">
      <c r="A4007" t="s">
        <v>7166</v>
      </c>
      <c r="B4007" s="56" t="s">
        <v>7265</v>
      </c>
    </row>
    <row r="4008" spans="1:2" ht="112" hidden="1" customHeight="1" x14ac:dyDescent="0.25">
      <c r="A4008" t="s">
        <v>7167</v>
      </c>
      <c r="B4008" s="56" t="s">
        <v>7266</v>
      </c>
    </row>
    <row r="4009" spans="1:2" ht="112" hidden="1" customHeight="1" x14ac:dyDescent="0.25">
      <c r="A4009" t="s">
        <v>7168</v>
      </c>
      <c r="B4009" s="56" t="s">
        <v>7267</v>
      </c>
    </row>
    <row r="4010" spans="1:2" ht="112" hidden="1" customHeight="1" x14ac:dyDescent="0.25">
      <c r="A4010" t="s">
        <v>7169</v>
      </c>
      <c r="B4010" s="56" t="s">
        <v>7268</v>
      </c>
    </row>
    <row r="4011" spans="1:2" ht="112" hidden="1" customHeight="1" x14ac:dyDescent="0.25">
      <c r="A4011" t="s">
        <v>7170</v>
      </c>
      <c r="B4011" s="56" t="s">
        <v>7269</v>
      </c>
    </row>
    <row r="4012" spans="1:2" ht="112" hidden="1" customHeight="1" x14ac:dyDescent="0.25">
      <c r="A4012" t="s">
        <v>7171</v>
      </c>
      <c r="B4012" s="56" t="s">
        <v>7270</v>
      </c>
    </row>
    <row r="4013" spans="1:2" ht="112" hidden="1" customHeight="1" x14ac:dyDescent="0.25">
      <c r="A4013" t="s">
        <v>7172</v>
      </c>
      <c r="B4013" s="56" t="s">
        <v>7271</v>
      </c>
    </row>
    <row r="4014" spans="1:2" ht="112" hidden="1" customHeight="1" x14ac:dyDescent="0.25">
      <c r="A4014" t="s">
        <v>7173</v>
      </c>
      <c r="B4014" s="56" t="s">
        <v>7272</v>
      </c>
    </row>
    <row r="4015" spans="1:2" ht="112" hidden="1" customHeight="1" x14ac:dyDescent="0.25">
      <c r="A4015" t="s">
        <v>7174</v>
      </c>
      <c r="B4015" s="56" t="s">
        <v>7273</v>
      </c>
    </row>
    <row r="4016" spans="1:2" ht="112" hidden="1" customHeight="1" x14ac:dyDescent="0.25">
      <c r="A4016" t="s">
        <v>7175</v>
      </c>
      <c r="B4016" s="56" t="s">
        <v>7274</v>
      </c>
    </row>
    <row r="4017" spans="1:2" ht="112" hidden="1" customHeight="1" x14ac:dyDescent="0.25">
      <c r="A4017" t="s">
        <v>7176</v>
      </c>
      <c r="B4017" s="56" t="s">
        <v>7275</v>
      </c>
    </row>
    <row r="4018" spans="1:2" ht="112" hidden="1" customHeight="1" x14ac:dyDescent="0.25">
      <c r="A4018" t="s">
        <v>7177</v>
      </c>
      <c r="B4018" s="56" t="s">
        <v>7276</v>
      </c>
    </row>
    <row r="4019" spans="1:2" ht="112" hidden="1" customHeight="1" x14ac:dyDescent="0.25">
      <c r="A4019" t="s">
        <v>7178</v>
      </c>
      <c r="B4019" s="56" t="s">
        <v>7277</v>
      </c>
    </row>
    <row r="4020" spans="1:2" ht="112" hidden="1" customHeight="1" x14ac:dyDescent="0.25">
      <c r="A4020" t="s">
        <v>7179</v>
      </c>
      <c r="B4020" s="56" t="s">
        <v>7278</v>
      </c>
    </row>
    <row r="4021" spans="1:2" ht="112" hidden="1" customHeight="1" x14ac:dyDescent="0.25">
      <c r="A4021" t="s">
        <v>7180</v>
      </c>
      <c r="B4021" s="56" t="s">
        <v>7279</v>
      </c>
    </row>
    <row r="4022" spans="1:2" ht="112" hidden="1" customHeight="1" x14ac:dyDescent="0.25">
      <c r="A4022" t="s">
        <v>7181</v>
      </c>
      <c r="B4022" s="56" t="s">
        <v>7280</v>
      </c>
    </row>
    <row r="4023" spans="1:2" ht="112" hidden="1" customHeight="1" x14ac:dyDescent="0.25">
      <c r="A4023" t="s">
        <v>7182</v>
      </c>
      <c r="B4023" s="56" t="s">
        <v>7281</v>
      </c>
    </row>
    <row r="4024" spans="1:2" ht="112" hidden="1" customHeight="1" x14ac:dyDescent="0.25">
      <c r="A4024" t="s">
        <v>7183</v>
      </c>
      <c r="B4024" s="56" t="s">
        <v>7282</v>
      </c>
    </row>
    <row r="4025" spans="1:2" ht="112" hidden="1" customHeight="1" x14ac:dyDescent="0.25">
      <c r="A4025" t="s">
        <v>7184</v>
      </c>
      <c r="B4025" s="56" t="s">
        <v>7283</v>
      </c>
    </row>
    <row r="4026" spans="1:2" ht="112" hidden="1" customHeight="1" x14ac:dyDescent="0.25">
      <c r="A4026" t="s">
        <v>7185</v>
      </c>
      <c r="B4026" s="56" t="s">
        <v>7284</v>
      </c>
    </row>
    <row r="4027" spans="1:2" ht="112" hidden="1" customHeight="1" x14ac:dyDescent="0.25">
      <c r="A4027" t="s">
        <v>7186</v>
      </c>
      <c r="B4027" s="56" t="s">
        <v>7285</v>
      </c>
    </row>
    <row r="4028" spans="1:2" ht="112" hidden="1" customHeight="1" x14ac:dyDescent="0.25">
      <c r="A4028" t="s">
        <v>7187</v>
      </c>
      <c r="B4028" s="56" t="s">
        <v>7286</v>
      </c>
    </row>
    <row r="4029" spans="1:2" ht="112" hidden="1" customHeight="1" x14ac:dyDescent="0.25">
      <c r="A4029" t="s">
        <v>7188</v>
      </c>
      <c r="B4029" s="56" t="s">
        <v>7287</v>
      </c>
    </row>
    <row r="4030" spans="1:2" ht="112" hidden="1" customHeight="1" x14ac:dyDescent="0.25">
      <c r="A4030" t="s">
        <v>7189</v>
      </c>
      <c r="B4030" s="56" t="s">
        <v>7288</v>
      </c>
    </row>
    <row r="4031" spans="1:2" ht="112" hidden="1" customHeight="1" x14ac:dyDescent="0.25">
      <c r="A4031" t="s">
        <v>7190</v>
      </c>
      <c r="B4031" s="56" t="s">
        <v>7289</v>
      </c>
    </row>
    <row r="4032" spans="1:2" ht="112" hidden="1" customHeight="1" x14ac:dyDescent="0.25">
      <c r="A4032" t="s">
        <v>7191</v>
      </c>
      <c r="B4032" s="56" t="s">
        <v>7290</v>
      </c>
    </row>
    <row r="4033" spans="1:2" ht="112" hidden="1" customHeight="1" x14ac:dyDescent="0.25">
      <c r="A4033" t="s">
        <v>7192</v>
      </c>
      <c r="B4033" s="56" t="s">
        <v>7291</v>
      </c>
    </row>
    <row r="4034" spans="1:2" ht="112" hidden="1" customHeight="1" x14ac:dyDescent="0.25">
      <c r="A4034" t="s">
        <v>7193</v>
      </c>
      <c r="B4034" s="56" t="s">
        <v>7292</v>
      </c>
    </row>
    <row r="4035" spans="1:2" ht="112" hidden="1" customHeight="1" x14ac:dyDescent="0.25">
      <c r="A4035" t="s">
        <v>7194</v>
      </c>
      <c r="B4035" s="56" t="s">
        <v>7293</v>
      </c>
    </row>
    <row r="4036" spans="1:2" ht="112" hidden="1" customHeight="1" x14ac:dyDescent="0.25">
      <c r="A4036" t="s">
        <v>7195</v>
      </c>
      <c r="B4036" s="56" t="s">
        <v>7294</v>
      </c>
    </row>
    <row r="4037" spans="1:2" ht="112" hidden="1" customHeight="1" x14ac:dyDescent="0.25">
      <c r="A4037" t="s">
        <v>7196</v>
      </c>
      <c r="B4037" s="56" t="s">
        <v>7295</v>
      </c>
    </row>
    <row r="4038" spans="1:2" ht="112" hidden="1" customHeight="1" x14ac:dyDescent="0.25">
      <c r="A4038" t="s">
        <v>7197</v>
      </c>
      <c r="B4038" s="56" t="s">
        <v>7296</v>
      </c>
    </row>
    <row r="4039" spans="1:2" ht="112" hidden="1" customHeight="1" x14ac:dyDescent="0.25">
      <c r="A4039" t="s">
        <v>7198</v>
      </c>
      <c r="B4039" s="56" t="s">
        <v>7297</v>
      </c>
    </row>
    <row r="4040" spans="1:2" ht="112" hidden="1" customHeight="1" x14ac:dyDescent="0.25">
      <c r="A4040" t="s">
        <v>7199</v>
      </c>
      <c r="B4040" s="56" t="s">
        <v>7298</v>
      </c>
    </row>
    <row r="4041" spans="1:2" ht="112" hidden="1" customHeight="1" x14ac:dyDescent="0.25">
      <c r="A4041" t="s">
        <v>7200</v>
      </c>
      <c r="B4041" s="56" t="s">
        <v>7299</v>
      </c>
    </row>
    <row r="4042" spans="1:2" ht="112" hidden="1" customHeight="1" x14ac:dyDescent="0.25">
      <c r="A4042" t="s">
        <v>7201</v>
      </c>
      <c r="B4042" s="56" t="s">
        <v>7300</v>
      </c>
    </row>
    <row r="4043" spans="1:2" ht="112" hidden="1" customHeight="1" x14ac:dyDescent="0.25">
      <c r="A4043" t="s">
        <v>7202</v>
      </c>
      <c r="B4043" s="56" t="s">
        <v>7301</v>
      </c>
    </row>
    <row r="4044" spans="1:2" ht="112" hidden="1" customHeight="1" x14ac:dyDescent="0.25">
      <c r="A4044" t="s">
        <v>7203</v>
      </c>
      <c r="B4044" s="56" t="s">
        <v>7302</v>
      </c>
    </row>
    <row r="4045" spans="1:2" ht="112" hidden="1" customHeight="1" x14ac:dyDescent="0.25">
      <c r="A4045" t="s">
        <v>7204</v>
      </c>
      <c r="B4045" s="56" t="s">
        <v>7303</v>
      </c>
    </row>
    <row r="4046" spans="1:2" ht="112" hidden="1" customHeight="1" x14ac:dyDescent="0.25">
      <c r="A4046" t="s">
        <v>7205</v>
      </c>
      <c r="B4046" s="56" t="s">
        <v>7304</v>
      </c>
    </row>
    <row r="4047" spans="1:2" ht="112" hidden="1" customHeight="1" x14ac:dyDescent="0.25">
      <c r="A4047" t="s">
        <v>7206</v>
      </c>
      <c r="B4047" s="56" t="s">
        <v>7305</v>
      </c>
    </row>
    <row r="4048" spans="1:2" ht="112" hidden="1" customHeight="1" x14ac:dyDescent="0.25">
      <c r="A4048" t="s">
        <v>7207</v>
      </c>
      <c r="B4048" s="56" t="s">
        <v>7306</v>
      </c>
    </row>
    <row r="4049" spans="1:2" ht="112" hidden="1" customHeight="1" x14ac:dyDescent="0.25">
      <c r="A4049" t="s">
        <v>7208</v>
      </c>
      <c r="B4049" s="56" t="s">
        <v>7307</v>
      </c>
    </row>
    <row r="4050" spans="1:2" ht="112" hidden="1" customHeight="1" x14ac:dyDescent="0.25">
      <c r="A4050" t="s">
        <v>7209</v>
      </c>
      <c r="B4050" s="56" t="s">
        <v>7308</v>
      </c>
    </row>
    <row r="4051" spans="1:2" ht="112" hidden="1" customHeight="1" x14ac:dyDescent="0.25">
      <c r="A4051" t="s">
        <v>7210</v>
      </c>
      <c r="B4051" s="56" t="s">
        <v>7309</v>
      </c>
    </row>
    <row r="4052" spans="1:2" ht="112" hidden="1" customHeight="1" x14ac:dyDescent="0.25">
      <c r="A4052" t="s">
        <v>7211</v>
      </c>
      <c r="B4052" s="56" t="s">
        <v>7310</v>
      </c>
    </row>
    <row r="4053" spans="1:2" ht="112" hidden="1" customHeight="1" x14ac:dyDescent="0.25">
      <c r="A4053" t="s">
        <v>7212</v>
      </c>
      <c r="B4053" s="56" t="s">
        <v>7690</v>
      </c>
    </row>
    <row r="4054" spans="1:2" ht="112" hidden="1" customHeight="1" x14ac:dyDescent="0.25">
      <c r="A4054" t="s">
        <v>7213</v>
      </c>
      <c r="B4054" s="56" t="s">
        <v>7311</v>
      </c>
    </row>
    <row r="4055" spans="1:2" ht="112" hidden="1" customHeight="1" x14ac:dyDescent="0.25">
      <c r="A4055" t="s">
        <v>7214</v>
      </c>
      <c r="B4055" s="56" t="s">
        <v>7312</v>
      </c>
    </row>
    <row r="4056" spans="1:2" ht="112" hidden="1" customHeight="1" x14ac:dyDescent="0.25">
      <c r="A4056" t="s">
        <v>7215</v>
      </c>
      <c r="B4056" s="56" t="s">
        <v>7313</v>
      </c>
    </row>
    <row r="4057" spans="1:2" ht="112" hidden="1" customHeight="1" x14ac:dyDescent="0.25">
      <c r="A4057" t="s">
        <v>7216</v>
      </c>
      <c r="B4057" s="56" t="s">
        <v>7314</v>
      </c>
    </row>
    <row r="4058" spans="1:2" ht="112" hidden="1" customHeight="1" x14ac:dyDescent="0.25">
      <c r="A4058" t="s">
        <v>7217</v>
      </c>
      <c r="B4058" s="56" t="s">
        <v>7315</v>
      </c>
    </row>
    <row r="4059" spans="1:2" ht="112" hidden="1" customHeight="1" x14ac:dyDescent="0.25">
      <c r="A4059" t="s">
        <v>7218</v>
      </c>
      <c r="B4059" s="56" t="s">
        <v>12465</v>
      </c>
    </row>
    <row r="4060" spans="1:2" ht="112" hidden="1" customHeight="1" x14ac:dyDescent="0.25">
      <c r="A4060" t="s">
        <v>7219</v>
      </c>
      <c r="B4060" s="56" t="s">
        <v>7316</v>
      </c>
    </row>
    <row r="4061" spans="1:2" ht="112" hidden="1" customHeight="1" x14ac:dyDescent="0.25">
      <c r="A4061" t="s">
        <v>7220</v>
      </c>
      <c r="B4061" s="56" t="s">
        <v>7691</v>
      </c>
    </row>
    <row r="4062" spans="1:2" ht="112" hidden="1" customHeight="1" x14ac:dyDescent="0.25">
      <c r="A4062" t="s">
        <v>7221</v>
      </c>
      <c r="B4062" s="56" t="s">
        <v>7317</v>
      </c>
    </row>
    <row r="4063" spans="1:2" ht="112" hidden="1" customHeight="1" x14ac:dyDescent="0.25">
      <c r="A4063" t="s">
        <v>7222</v>
      </c>
      <c r="B4063" s="56" t="s">
        <v>7318</v>
      </c>
    </row>
    <row r="4064" spans="1:2" ht="112" hidden="1" customHeight="1" x14ac:dyDescent="0.25">
      <c r="A4064" t="s">
        <v>7223</v>
      </c>
      <c r="B4064" s="56" t="s">
        <v>7319</v>
      </c>
    </row>
    <row r="4065" spans="1:2" ht="112" hidden="1" customHeight="1" x14ac:dyDescent="0.25">
      <c r="A4065" t="s">
        <v>7224</v>
      </c>
      <c r="B4065" s="56" t="s">
        <v>7320</v>
      </c>
    </row>
    <row r="4066" spans="1:2" ht="112" hidden="1" customHeight="1" x14ac:dyDescent="0.25">
      <c r="A4066" t="s">
        <v>7225</v>
      </c>
      <c r="B4066" s="56" t="s">
        <v>7321</v>
      </c>
    </row>
    <row r="4067" spans="1:2" ht="112" hidden="1" customHeight="1" x14ac:dyDescent="0.25">
      <c r="A4067" t="s">
        <v>7226</v>
      </c>
      <c r="B4067" s="56" t="s">
        <v>7322</v>
      </c>
    </row>
    <row r="4068" spans="1:2" ht="112" hidden="1" customHeight="1" x14ac:dyDescent="0.25">
      <c r="A4068" t="s">
        <v>7227</v>
      </c>
      <c r="B4068" s="56" t="s">
        <v>7323</v>
      </c>
    </row>
    <row r="4069" spans="1:2" ht="112" hidden="1" customHeight="1" x14ac:dyDescent="0.25">
      <c r="A4069" t="s">
        <v>7228</v>
      </c>
      <c r="B4069" s="56" t="s">
        <v>13503</v>
      </c>
    </row>
    <row r="4070" spans="1:2" ht="112" hidden="1" customHeight="1" x14ac:dyDescent="0.25">
      <c r="A4070" t="s">
        <v>7229</v>
      </c>
      <c r="B4070" s="56" t="s">
        <v>7324</v>
      </c>
    </row>
    <row r="4071" spans="1:2" ht="112" hidden="1" customHeight="1" x14ac:dyDescent="0.25">
      <c r="A4071" t="s">
        <v>7230</v>
      </c>
      <c r="B4071" s="56" t="s">
        <v>7325</v>
      </c>
    </row>
    <row r="4072" spans="1:2" ht="112" hidden="1" customHeight="1" x14ac:dyDescent="0.25">
      <c r="A4072" t="s">
        <v>7231</v>
      </c>
      <c r="B4072" s="56" t="s">
        <v>7326</v>
      </c>
    </row>
    <row r="4073" spans="1:2" ht="112" hidden="1" customHeight="1" x14ac:dyDescent="0.25">
      <c r="A4073" t="s">
        <v>7232</v>
      </c>
      <c r="B4073" s="56" t="s">
        <v>7327</v>
      </c>
    </row>
    <row r="4074" spans="1:2" ht="112" hidden="1" customHeight="1" x14ac:dyDescent="0.25">
      <c r="A4074" t="s">
        <v>7233</v>
      </c>
      <c r="B4074" s="56" t="s">
        <v>7328</v>
      </c>
    </row>
    <row r="4075" spans="1:2" ht="112" hidden="1" customHeight="1" x14ac:dyDescent="0.25">
      <c r="A4075" t="s">
        <v>7234</v>
      </c>
      <c r="B4075" s="56" t="s">
        <v>7329</v>
      </c>
    </row>
    <row r="4076" spans="1:2" ht="112" hidden="1" customHeight="1" x14ac:dyDescent="0.25">
      <c r="A4076" t="s">
        <v>7235</v>
      </c>
      <c r="B4076" s="56" t="s">
        <v>7330</v>
      </c>
    </row>
    <row r="4077" spans="1:2" ht="112" hidden="1" customHeight="1" x14ac:dyDescent="0.25">
      <c r="A4077" t="s">
        <v>7236</v>
      </c>
      <c r="B4077" s="56" t="s">
        <v>7331</v>
      </c>
    </row>
    <row r="4078" spans="1:2" ht="112" hidden="1" customHeight="1" x14ac:dyDescent="0.25">
      <c r="A4078" t="s">
        <v>7237</v>
      </c>
      <c r="B4078" s="56" t="s">
        <v>7332</v>
      </c>
    </row>
    <row r="4079" spans="1:2" ht="112" hidden="1" customHeight="1" x14ac:dyDescent="0.25">
      <c r="A4079" t="s">
        <v>7238</v>
      </c>
      <c r="B4079" s="56" t="s">
        <v>7333</v>
      </c>
    </row>
    <row r="4080" spans="1:2" ht="112" hidden="1" customHeight="1" x14ac:dyDescent="0.25">
      <c r="A4080" t="s">
        <v>7239</v>
      </c>
      <c r="B4080" s="56" t="s">
        <v>7334</v>
      </c>
    </row>
    <row r="4081" spans="1:2" ht="112" hidden="1" customHeight="1" x14ac:dyDescent="0.25">
      <c r="A4081" t="s">
        <v>7240</v>
      </c>
      <c r="B4081" s="56" t="s">
        <v>7335</v>
      </c>
    </row>
    <row r="4082" spans="1:2" ht="112" hidden="1" customHeight="1" x14ac:dyDescent="0.25">
      <c r="A4082" t="s">
        <v>7241</v>
      </c>
      <c r="B4082" s="56" t="s">
        <v>7336</v>
      </c>
    </row>
    <row r="4083" spans="1:2" ht="112" hidden="1" customHeight="1" x14ac:dyDescent="0.25">
      <c r="A4083" t="s">
        <v>7242</v>
      </c>
      <c r="B4083" s="56" t="s">
        <v>7337</v>
      </c>
    </row>
    <row r="4084" spans="1:2" ht="112" hidden="1" customHeight="1" x14ac:dyDescent="0.25">
      <c r="A4084" t="s">
        <v>7243</v>
      </c>
      <c r="B4084" s="56" t="s">
        <v>7338</v>
      </c>
    </row>
    <row r="4085" spans="1:2" ht="112" hidden="1" customHeight="1" x14ac:dyDescent="0.25">
      <c r="A4085" t="s">
        <v>7244</v>
      </c>
      <c r="B4085" s="56" t="s">
        <v>7339</v>
      </c>
    </row>
    <row r="4086" spans="1:2" ht="112" hidden="1" customHeight="1" x14ac:dyDescent="0.25">
      <c r="A4086" t="s">
        <v>7245</v>
      </c>
      <c r="B4086" s="56" t="s">
        <v>7340</v>
      </c>
    </row>
    <row r="4087" spans="1:2" ht="112" hidden="1" customHeight="1" x14ac:dyDescent="0.25">
      <c r="A4087" t="s">
        <v>7246</v>
      </c>
      <c r="B4087" s="56" t="s">
        <v>7341</v>
      </c>
    </row>
    <row r="4088" spans="1:2" ht="112" hidden="1" customHeight="1" x14ac:dyDescent="0.25">
      <c r="A4088" t="s">
        <v>7247</v>
      </c>
      <c r="B4088" s="56" t="s">
        <v>7342</v>
      </c>
    </row>
    <row r="4089" spans="1:2" ht="112" hidden="1" customHeight="1" x14ac:dyDescent="0.25">
      <c r="A4089" t="s">
        <v>7248</v>
      </c>
      <c r="B4089" s="56" t="s">
        <v>7343</v>
      </c>
    </row>
    <row r="4090" spans="1:2" ht="112" hidden="1" customHeight="1" x14ac:dyDescent="0.25">
      <c r="A4090" t="s">
        <v>7249</v>
      </c>
      <c r="B4090" s="56" t="s">
        <v>7344</v>
      </c>
    </row>
    <row r="4091" spans="1:2" ht="112" hidden="1" customHeight="1" x14ac:dyDescent="0.25">
      <c r="A4091" t="s">
        <v>7250</v>
      </c>
      <c r="B4091" s="56" t="s">
        <v>7345</v>
      </c>
    </row>
    <row r="4092" spans="1:2" ht="112" hidden="1" customHeight="1" x14ac:dyDescent="0.25">
      <c r="A4092" t="s">
        <v>7251</v>
      </c>
      <c r="B4092" s="56" t="s">
        <v>7346</v>
      </c>
    </row>
    <row r="4093" spans="1:2" ht="112" hidden="1" customHeight="1" x14ac:dyDescent="0.25">
      <c r="A4093" t="s">
        <v>7252</v>
      </c>
      <c r="B4093" s="56" t="s">
        <v>7347</v>
      </c>
    </row>
    <row r="4094" spans="1:2" ht="112" hidden="1" customHeight="1" x14ac:dyDescent="0.25">
      <c r="A4094" t="s">
        <v>7253</v>
      </c>
      <c r="B4094" s="56" t="s">
        <v>7348</v>
      </c>
    </row>
    <row r="4095" spans="1:2" ht="112" hidden="1" customHeight="1" x14ac:dyDescent="0.25">
      <c r="A4095" t="s">
        <v>7254</v>
      </c>
      <c r="B4095" s="56" t="s">
        <v>7349</v>
      </c>
    </row>
    <row r="4096" spans="1:2" ht="112" hidden="1" customHeight="1" x14ac:dyDescent="0.25">
      <c r="A4096" t="s">
        <v>7255</v>
      </c>
      <c r="B4096" s="56" t="s">
        <v>7350</v>
      </c>
    </row>
    <row r="4097" spans="1:2" ht="112" hidden="1" customHeight="1" x14ac:dyDescent="0.25">
      <c r="A4097" t="s">
        <v>7256</v>
      </c>
      <c r="B4097" s="56" t="s">
        <v>7351</v>
      </c>
    </row>
    <row r="4098" spans="1:2" ht="112" hidden="1" customHeight="1" x14ac:dyDescent="0.25">
      <c r="A4098" t="s">
        <v>7257</v>
      </c>
      <c r="B4098" s="56" t="s">
        <v>7352</v>
      </c>
    </row>
    <row r="4099" spans="1:2" ht="112" hidden="1" customHeight="1" x14ac:dyDescent="0.25">
      <c r="A4099" t="s">
        <v>7258</v>
      </c>
      <c r="B4099" s="56" t="s">
        <v>7353</v>
      </c>
    </row>
    <row r="4100" spans="1:2" ht="112" hidden="1" customHeight="1" x14ac:dyDescent="0.25">
      <c r="A4100" t="s">
        <v>7259</v>
      </c>
      <c r="B4100" s="56" t="s">
        <v>7354</v>
      </c>
    </row>
    <row r="4101" spans="1:2" ht="112" hidden="1" customHeight="1" x14ac:dyDescent="0.25">
      <c r="A4101" t="s">
        <v>7260</v>
      </c>
      <c r="B4101" s="56" t="s">
        <v>7355</v>
      </c>
    </row>
    <row r="4102" spans="1:2" ht="112" hidden="1" customHeight="1" x14ac:dyDescent="0.25">
      <c r="A4102" t="s">
        <v>7261</v>
      </c>
      <c r="B4102" s="56" t="s">
        <v>7356</v>
      </c>
    </row>
    <row r="4103" spans="1:2" ht="112" hidden="1" customHeight="1" x14ac:dyDescent="0.25">
      <c r="A4103" t="s">
        <v>7262</v>
      </c>
      <c r="B4103" s="56" t="s">
        <v>7357</v>
      </c>
    </row>
    <row r="4104" spans="1:2" ht="112" hidden="1" customHeight="1" x14ac:dyDescent="0.25">
      <c r="A4104" t="s">
        <v>7263</v>
      </c>
      <c r="B4104" s="56" t="s">
        <v>7358</v>
      </c>
    </row>
    <row r="4105" spans="1:2" ht="112" hidden="1" customHeight="1" x14ac:dyDescent="0.25">
      <c r="A4105" t="s">
        <v>7264</v>
      </c>
      <c r="B4105" s="56" t="s">
        <v>7641</v>
      </c>
    </row>
    <row r="4106" spans="1:2" ht="112" hidden="1" customHeight="1" x14ac:dyDescent="0.25">
      <c r="A4106" t="s">
        <v>7264</v>
      </c>
      <c r="B4106" s="56" t="s">
        <v>7642</v>
      </c>
    </row>
    <row r="4107" spans="1:2" ht="112" hidden="1" customHeight="1" x14ac:dyDescent="0.25">
      <c r="A4107" t="s">
        <v>7359</v>
      </c>
      <c r="B4107" s="56" t="s">
        <v>7361</v>
      </c>
    </row>
    <row r="4108" spans="1:2" ht="112" hidden="1" customHeight="1" x14ac:dyDescent="0.25">
      <c r="A4108" t="s">
        <v>7360</v>
      </c>
      <c r="B4108" s="56" t="s">
        <v>7362</v>
      </c>
    </row>
    <row r="4109" spans="1:2" ht="112" hidden="1" customHeight="1" x14ac:dyDescent="0.25">
      <c r="A4109" t="s">
        <v>7161</v>
      </c>
      <c r="B4109" s="56" t="s">
        <v>7363</v>
      </c>
    </row>
    <row r="4110" spans="1:2" ht="112" hidden="1" customHeight="1" x14ac:dyDescent="0.25">
      <c r="A4110" t="s">
        <v>7162</v>
      </c>
      <c r="B4110" s="56" t="s">
        <v>7364</v>
      </c>
    </row>
    <row r="4111" spans="1:2" ht="112" hidden="1" customHeight="1" x14ac:dyDescent="0.25">
      <c r="A4111" t="s">
        <v>7365</v>
      </c>
      <c r="B4111" s="56" t="s">
        <v>7643</v>
      </c>
    </row>
    <row r="4112" spans="1:2" ht="112" hidden="1" customHeight="1" x14ac:dyDescent="0.25">
      <c r="A4112" t="s">
        <v>7163</v>
      </c>
      <c r="B4112" s="56" t="s">
        <v>7644</v>
      </c>
    </row>
    <row r="4113" spans="1:2" ht="112" hidden="1" customHeight="1" x14ac:dyDescent="0.25">
      <c r="A4113" t="s">
        <v>7366</v>
      </c>
      <c r="B4113" s="56" t="s">
        <v>7645</v>
      </c>
    </row>
    <row r="4114" spans="1:2" ht="112" hidden="1" customHeight="1" x14ac:dyDescent="0.25">
      <c r="A4114" t="s">
        <v>7367</v>
      </c>
      <c r="B4114" s="56" t="s">
        <v>13039</v>
      </c>
    </row>
    <row r="4115" spans="1:2" ht="112" hidden="1" customHeight="1" x14ac:dyDescent="0.25">
      <c r="A4115" t="s">
        <v>7368</v>
      </c>
      <c r="B4115" s="56" t="s">
        <v>7704</v>
      </c>
    </row>
    <row r="4116" spans="1:2" ht="112" hidden="1" customHeight="1" x14ac:dyDescent="0.25">
      <c r="A4116" t="s">
        <v>7369</v>
      </c>
      <c r="B4116" s="56" t="s">
        <v>8820</v>
      </c>
    </row>
    <row r="4117" spans="1:2" ht="112" hidden="1" customHeight="1" x14ac:dyDescent="0.25">
      <c r="A4117" t="s">
        <v>7370</v>
      </c>
      <c r="B4117" s="56" t="s">
        <v>8821</v>
      </c>
    </row>
    <row r="4118" spans="1:2" ht="112" hidden="1" customHeight="1" x14ac:dyDescent="0.25">
      <c r="A4118" t="s">
        <v>7372</v>
      </c>
      <c r="B4118" s="56" t="s">
        <v>7646</v>
      </c>
    </row>
    <row r="4119" spans="1:2" ht="112" hidden="1" customHeight="1" x14ac:dyDescent="0.25">
      <c r="A4119" t="s">
        <v>7373</v>
      </c>
      <c r="B4119" s="56" t="s">
        <v>7647</v>
      </c>
    </row>
    <row r="4120" spans="1:2" ht="112" hidden="1" customHeight="1" x14ac:dyDescent="0.25">
      <c r="A4120" t="s">
        <v>7374</v>
      </c>
      <c r="B4120" s="56" t="s">
        <v>7938</v>
      </c>
    </row>
    <row r="4121" spans="1:2" ht="112" hidden="1" customHeight="1" x14ac:dyDescent="0.25">
      <c r="A4121" t="s">
        <v>7375</v>
      </c>
      <c r="B4121" s="56" t="s">
        <v>7648</v>
      </c>
    </row>
    <row r="4122" spans="1:2" ht="112" hidden="1" customHeight="1" x14ac:dyDescent="0.25">
      <c r="A4122" t="s">
        <v>7376</v>
      </c>
      <c r="B4122" s="56" t="s">
        <v>7384</v>
      </c>
    </row>
    <row r="4123" spans="1:2" ht="112" hidden="1" customHeight="1" x14ac:dyDescent="0.25">
      <c r="A4123" t="s">
        <v>7377</v>
      </c>
      <c r="B4123" s="56" t="s">
        <v>7385</v>
      </c>
    </row>
    <row r="4124" spans="1:2" ht="112" hidden="1" customHeight="1" x14ac:dyDescent="0.25">
      <c r="A4124" t="s">
        <v>7378</v>
      </c>
      <c r="B4124" s="56" t="s">
        <v>7386</v>
      </c>
    </row>
    <row r="4125" spans="1:2" ht="112" hidden="1" customHeight="1" x14ac:dyDescent="0.25">
      <c r="A4125" t="s">
        <v>7379</v>
      </c>
      <c r="B4125" s="56" t="s">
        <v>7387</v>
      </c>
    </row>
    <row r="4126" spans="1:2" ht="112" hidden="1" customHeight="1" x14ac:dyDescent="0.25">
      <c r="A4126" t="s">
        <v>7380</v>
      </c>
      <c r="B4126" s="56" t="s">
        <v>7388</v>
      </c>
    </row>
    <row r="4127" spans="1:2" ht="112" hidden="1" customHeight="1" x14ac:dyDescent="0.25">
      <c r="A4127" t="s">
        <v>7381</v>
      </c>
      <c r="B4127" s="56" t="s">
        <v>7389</v>
      </c>
    </row>
    <row r="4128" spans="1:2" ht="112" hidden="1" customHeight="1" x14ac:dyDescent="0.25">
      <c r="A4128" t="s">
        <v>7382</v>
      </c>
      <c r="B4128" s="56" t="s">
        <v>7390</v>
      </c>
    </row>
    <row r="4129" spans="1:2" ht="112" hidden="1" customHeight="1" x14ac:dyDescent="0.25">
      <c r="A4129" t="s">
        <v>7383</v>
      </c>
      <c r="B4129" s="56" t="s">
        <v>7391</v>
      </c>
    </row>
    <row r="4130" spans="1:2" ht="112" hidden="1" customHeight="1" x14ac:dyDescent="0.25">
      <c r="A4130" t="s">
        <v>7392</v>
      </c>
      <c r="B4130" s="56" t="s">
        <v>7692</v>
      </c>
    </row>
    <row r="4131" spans="1:2" ht="112" hidden="1" customHeight="1" x14ac:dyDescent="0.25">
      <c r="A4131" t="s">
        <v>7393</v>
      </c>
      <c r="B4131" s="56" t="s">
        <v>7705</v>
      </c>
    </row>
    <row r="4132" spans="1:2" ht="112" hidden="1" customHeight="1" x14ac:dyDescent="0.25">
      <c r="A4132" t="s">
        <v>7394</v>
      </c>
      <c r="B4132" s="56" t="s">
        <v>7649</v>
      </c>
    </row>
    <row r="4133" spans="1:2" ht="112" hidden="1" customHeight="1" x14ac:dyDescent="0.25">
      <c r="A4133" t="s">
        <v>7395</v>
      </c>
      <c r="B4133" s="56" t="s">
        <v>7706</v>
      </c>
    </row>
    <row r="4134" spans="1:2" ht="112" hidden="1" customHeight="1" x14ac:dyDescent="0.25">
      <c r="A4134" t="s">
        <v>7396</v>
      </c>
      <c r="B4134" s="56" t="s">
        <v>7707</v>
      </c>
    </row>
    <row r="4135" spans="1:2" ht="112" hidden="1" customHeight="1" x14ac:dyDescent="0.25">
      <c r="A4135" t="s">
        <v>7397</v>
      </c>
      <c r="B4135" s="56" t="s">
        <v>7400</v>
      </c>
    </row>
    <row r="4136" spans="1:2" ht="112" hidden="1" customHeight="1" x14ac:dyDescent="0.25">
      <c r="A4136" t="s">
        <v>7398</v>
      </c>
      <c r="B4136" s="56" t="s">
        <v>7401</v>
      </c>
    </row>
    <row r="4137" spans="1:2" ht="112" hidden="1" customHeight="1" x14ac:dyDescent="0.25">
      <c r="A4137" t="s">
        <v>7399</v>
      </c>
      <c r="B4137" s="56" t="s">
        <v>7402</v>
      </c>
    </row>
    <row r="4138" spans="1:2" ht="112" hidden="1" customHeight="1" x14ac:dyDescent="0.25">
      <c r="A4138" t="s">
        <v>7403</v>
      </c>
      <c r="B4138" s="56" t="s">
        <v>7779</v>
      </c>
    </row>
    <row r="4139" spans="1:2" ht="112" hidden="1" customHeight="1" x14ac:dyDescent="0.25">
      <c r="A4139" t="s">
        <v>7404</v>
      </c>
      <c r="B4139" s="56" t="s">
        <v>7780</v>
      </c>
    </row>
    <row r="4140" spans="1:2" ht="112" hidden="1" customHeight="1" x14ac:dyDescent="0.25">
      <c r="A4140" t="s">
        <v>7405</v>
      </c>
      <c r="B4140" s="56" t="s">
        <v>7781</v>
      </c>
    </row>
    <row r="4141" spans="1:2" ht="112" hidden="1" customHeight="1" x14ac:dyDescent="0.25">
      <c r="A4141" t="s">
        <v>7406</v>
      </c>
      <c r="B4141" s="56" t="s">
        <v>7782</v>
      </c>
    </row>
    <row r="4142" spans="1:2" ht="112" hidden="1" customHeight="1" x14ac:dyDescent="0.25">
      <c r="A4142" t="s">
        <v>7407</v>
      </c>
      <c r="B4142" s="56" t="s">
        <v>9632</v>
      </c>
    </row>
    <row r="4143" spans="1:2" ht="112" hidden="1" customHeight="1" x14ac:dyDescent="0.25">
      <c r="A4143" t="s">
        <v>7408</v>
      </c>
      <c r="B4143" s="56" t="s">
        <v>7783</v>
      </c>
    </row>
    <row r="4144" spans="1:2" ht="112" hidden="1" customHeight="1" x14ac:dyDescent="0.25">
      <c r="A4144" t="s">
        <v>7409</v>
      </c>
      <c r="B4144" s="56" t="s">
        <v>7784</v>
      </c>
    </row>
    <row r="4145" spans="1:2" ht="112" hidden="1" customHeight="1" x14ac:dyDescent="0.25">
      <c r="A4145" t="s">
        <v>7410</v>
      </c>
      <c r="B4145" s="56" t="s">
        <v>7785</v>
      </c>
    </row>
    <row r="4146" spans="1:2" ht="112" hidden="1" customHeight="1" x14ac:dyDescent="0.25">
      <c r="A4146" t="s">
        <v>7411</v>
      </c>
      <c r="B4146" s="56" t="s">
        <v>7786</v>
      </c>
    </row>
    <row r="4147" spans="1:2" ht="112" hidden="1" customHeight="1" x14ac:dyDescent="0.25">
      <c r="A4147" t="s">
        <v>7412</v>
      </c>
      <c r="B4147" s="56" t="s">
        <v>7787</v>
      </c>
    </row>
    <row r="4148" spans="1:2" ht="112" hidden="1" customHeight="1" x14ac:dyDescent="0.25">
      <c r="A4148" t="s">
        <v>7413</v>
      </c>
      <c r="B4148" s="56" t="s">
        <v>7650</v>
      </c>
    </row>
    <row r="4149" spans="1:2" ht="112" hidden="1" customHeight="1" x14ac:dyDescent="0.25">
      <c r="A4149" t="s">
        <v>7392</v>
      </c>
      <c r="B4149" s="56" t="s">
        <v>7693</v>
      </c>
    </row>
    <row r="4150" spans="1:2" ht="112" hidden="1" customHeight="1" x14ac:dyDescent="0.25">
      <c r="A4150" t="s">
        <v>7414</v>
      </c>
      <c r="B4150" s="56" t="s">
        <v>7694</v>
      </c>
    </row>
    <row r="4151" spans="1:2" ht="112" hidden="1" customHeight="1" x14ac:dyDescent="0.25">
      <c r="A4151" t="s">
        <v>7415</v>
      </c>
      <c r="B4151" s="56" t="s">
        <v>7651</v>
      </c>
    </row>
    <row r="4152" spans="1:2" ht="112" hidden="1" customHeight="1" x14ac:dyDescent="0.25">
      <c r="A4152" t="s">
        <v>7416</v>
      </c>
      <c r="B4152" s="56" t="s">
        <v>7652</v>
      </c>
    </row>
    <row r="4153" spans="1:2" ht="112" hidden="1" customHeight="1" x14ac:dyDescent="0.25">
      <c r="A4153" t="s">
        <v>7417</v>
      </c>
      <c r="B4153" s="56" t="s">
        <v>7653</v>
      </c>
    </row>
    <row r="4154" spans="1:2" ht="112" hidden="1" customHeight="1" x14ac:dyDescent="0.25">
      <c r="A4154" t="s">
        <v>7418</v>
      </c>
      <c r="B4154" s="56" t="s">
        <v>7654</v>
      </c>
    </row>
    <row r="4155" spans="1:2" ht="112" hidden="1" customHeight="1" x14ac:dyDescent="0.25">
      <c r="A4155" t="s">
        <v>7419</v>
      </c>
      <c r="B4155" s="56" t="s">
        <v>7655</v>
      </c>
    </row>
    <row r="4156" spans="1:2" ht="112" hidden="1" customHeight="1" x14ac:dyDescent="0.25">
      <c r="A4156" t="s">
        <v>7420</v>
      </c>
      <c r="B4156" s="56" t="s">
        <v>7656</v>
      </c>
    </row>
    <row r="4157" spans="1:2" ht="112" hidden="1" customHeight="1" x14ac:dyDescent="0.25">
      <c r="A4157" t="s">
        <v>7422</v>
      </c>
      <c r="B4157" s="56" t="s">
        <v>7657</v>
      </c>
    </row>
    <row r="4158" spans="1:2" ht="112" hidden="1" customHeight="1" x14ac:dyDescent="0.25">
      <c r="A4158" t="s">
        <v>7423</v>
      </c>
      <c r="B4158" s="56" t="s">
        <v>7424</v>
      </c>
    </row>
    <row r="4159" spans="1:2" ht="112" hidden="1" customHeight="1" x14ac:dyDescent="0.25">
      <c r="A4159" t="s">
        <v>6913</v>
      </c>
      <c r="B4159" s="56" t="s">
        <v>7425</v>
      </c>
    </row>
    <row r="4160" spans="1:2" ht="112" hidden="1" customHeight="1" x14ac:dyDescent="0.25">
      <c r="A4160" t="s">
        <v>7426</v>
      </c>
      <c r="B4160" s="56" t="s">
        <v>7658</v>
      </c>
    </row>
    <row r="4161" spans="1:2" ht="112" hidden="1" customHeight="1" x14ac:dyDescent="0.25">
      <c r="A4161" t="s">
        <v>7427</v>
      </c>
      <c r="B4161" s="56" t="s">
        <v>7659</v>
      </c>
    </row>
    <row r="4162" spans="1:2" ht="112" hidden="1" customHeight="1" x14ac:dyDescent="0.25">
      <c r="A4162" t="s">
        <v>7428</v>
      </c>
      <c r="B4162" s="56" t="s">
        <v>7660</v>
      </c>
    </row>
    <row r="4163" spans="1:2" ht="112" hidden="1" customHeight="1" x14ac:dyDescent="0.25">
      <c r="A4163" t="s">
        <v>7429</v>
      </c>
      <c r="B4163" s="56" t="s">
        <v>7661</v>
      </c>
    </row>
    <row r="4164" spans="1:2" ht="112" hidden="1" customHeight="1" x14ac:dyDescent="0.25">
      <c r="A4164" t="s">
        <v>7430</v>
      </c>
      <c r="B4164" s="56" t="s">
        <v>7893</v>
      </c>
    </row>
    <row r="4165" spans="1:2" ht="112" hidden="1" customHeight="1" x14ac:dyDescent="0.25">
      <c r="A4165" t="s">
        <v>7431</v>
      </c>
      <c r="B4165" s="56" t="s">
        <v>7695</v>
      </c>
    </row>
    <row r="4166" spans="1:2" ht="112" hidden="1" customHeight="1" x14ac:dyDescent="0.25">
      <c r="A4166" t="s">
        <v>7432</v>
      </c>
      <c r="B4166" s="56" t="s">
        <v>7434</v>
      </c>
    </row>
    <row r="4167" spans="1:2" ht="112" hidden="1" customHeight="1" x14ac:dyDescent="0.25">
      <c r="A4167" t="s">
        <v>7433</v>
      </c>
      <c r="B4167" s="56" t="s">
        <v>7696</v>
      </c>
    </row>
    <row r="4168" spans="1:2" ht="112" hidden="1" customHeight="1" x14ac:dyDescent="0.25">
      <c r="A4168" t="s">
        <v>7436</v>
      </c>
      <c r="B4168" s="56" t="s">
        <v>7662</v>
      </c>
    </row>
    <row r="4169" spans="1:2" ht="112" hidden="1" customHeight="1" x14ac:dyDescent="0.25">
      <c r="A4169" t="s">
        <v>7435</v>
      </c>
      <c r="B4169" s="56" t="s">
        <v>7663</v>
      </c>
    </row>
    <row r="4170" spans="1:2" ht="112" hidden="1" customHeight="1" x14ac:dyDescent="0.25">
      <c r="A4170" t="s">
        <v>7437</v>
      </c>
      <c r="B4170" s="56" t="s">
        <v>8250</v>
      </c>
    </row>
    <row r="4171" spans="1:2" ht="112" hidden="1" customHeight="1" x14ac:dyDescent="0.25">
      <c r="A4171" t="s">
        <v>7438</v>
      </c>
      <c r="B4171" s="56" t="s">
        <v>7664</v>
      </c>
    </row>
    <row r="4172" spans="1:2" ht="112" hidden="1" customHeight="1" x14ac:dyDescent="0.25">
      <c r="A4172" t="s">
        <v>7439</v>
      </c>
      <c r="B4172" s="56" t="s">
        <v>7665</v>
      </c>
    </row>
    <row r="4173" spans="1:2" ht="112" hidden="1" customHeight="1" x14ac:dyDescent="0.25">
      <c r="A4173" t="s">
        <v>7440</v>
      </c>
      <c r="B4173" s="56" t="s">
        <v>7666</v>
      </c>
    </row>
    <row r="4174" spans="1:2" ht="112" hidden="1" customHeight="1" x14ac:dyDescent="0.25">
      <c r="A4174" t="s">
        <v>7441</v>
      </c>
      <c r="B4174" s="56" t="s">
        <v>7667</v>
      </c>
    </row>
    <row r="4175" spans="1:2" ht="112" hidden="1" customHeight="1" x14ac:dyDescent="0.25">
      <c r="A4175" t="s">
        <v>7442</v>
      </c>
      <c r="B4175" s="56" t="s">
        <v>7668</v>
      </c>
    </row>
    <row r="4176" spans="1:2" ht="112" hidden="1" customHeight="1" x14ac:dyDescent="0.25">
      <c r="A4176" t="s">
        <v>7443</v>
      </c>
      <c r="B4176" s="56" t="s">
        <v>7669</v>
      </c>
    </row>
    <row r="4177" spans="1:2" ht="112" hidden="1" customHeight="1" x14ac:dyDescent="0.25">
      <c r="A4177" t="s">
        <v>7444</v>
      </c>
      <c r="B4177" s="56" t="s">
        <v>7445</v>
      </c>
    </row>
    <row r="4178" spans="1:2" ht="112" hidden="1" customHeight="1" x14ac:dyDescent="0.25">
      <c r="A4178" t="s">
        <v>7446</v>
      </c>
      <c r="B4178" s="56" t="s">
        <v>7448</v>
      </c>
    </row>
    <row r="4179" spans="1:2" ht="112" hidden="1" customHeight="1" x14ac:dyDescent="0.25">
      <c r="A4179" t="s">
        <v>7447</v>
      </c>
      <c r="B4179" s="56" t="s">
        <v>7449</v>
      </c>
    </row>
    <row r="4180" spans="1:2" ht="112" hidden="1" customHeight="1" x14ac:dyDescent="0.25">
      <c r="A4180" t="s">
        <v>7450</v>
      </c>
      <c r="B4180" s="56" t="s">
        <v>7797</v>
      </c>
    </row>
    <row r="4181" spans="1:2" ht="112" hidden="1" customHeight="1" x14ac:dyDescent="0.25">
      <c r="A4181" t="s">
        <v>7451</v>
      </c>
      <c r="B4181" s="56" t="s">
        <v>7798</v>
      </c>
    </row>
    <row r="4182" spans="1:2" ht="112" hidden="1" customHeight="1" x14ac:dyDescent="0.25">
      <c r="A4182" t="s">
        <v>7452</v>
      </c>
      <c r="B4182" s="56" t="s">
        <v>7799</v>
      </c>
    </row>
    <row r="4183" spans="1:2" ht="112" hidden="1" customHeight="1" x14ac:dyDescent="0.25">
      <c r="A4183" t="s">
        <v>7709</v>
      </c>
      <c r="B4183" s="56" t="s">
        <v>7800</v>
      </c>
    </row>
    <row r="4184" spans="1:2" ht="112" hidden="1" customHeight="1" x14ac:dyDescent="0.25">
      <c r="A4184" t="s">
        <v>7710</v>
      </c>
      <c r="B4184" s="56" t="s">
        <v>7801</v>
      </c>
    </row>
    <row r="4185" spans="1:2" ht="112" hidden="1" customHeight="1" x14ac:dyDescent="0.25">
      <c r="A4185" t="s">
        <v>7711</v>
      </c>
      <c r="B4185" s="56" t="s">
        <v>7802</v>
      </c>
    </row>
    <row r="4186" spans="1:2" ht="112" hidden="1" customHeight="1" x14ac:dyDescent="0.25">
      <c r="A4186" t="s">
        <v>7712</v>
      </c>
      <c r="B4186" s="56" t="s">
        <v>7803</v>
      </c>
    </row>
    <row r="4187" spans="1:2" ht="112" hidden="1" customHeight="1" x14ac:dyDescent="0.25">
      <c r="A4187" t="s">
        <v>7715</v>
      </c>
      <c r="B4187" s="56" t="s">
        <v>7804</v>
      </c>
    </row>
    <row r="4188" spans="1:2" ht="112" hidden="1" customHeight="1" x14ac:dyDescent="0.25">
      <c r="A4188" t="s">
        <v>7716</v>
      </c>
      <c r="B4188" s="56" t="s">
        <v>7718</v>
      </c>
    </row>
    <row r="4189" spans="1:2" ht="112" hidden="1" customHeight="1" x14ac:dyDescent="0.25">
      <c r="A4189" t="s">
        <v>7717</v>
      </c>
      <c r="B4189" s="56" t="s">
        <v>7805</v>
      </c>
    </row>
    <row r="4190" spans="1:2" ht="112" hidden="1" customHeight="1" x14ac:dyDescent="0.25">
      <c r="A4190" t="s">
        <v>7713</v>
      </c>
      <c r="B4190" s="56" t="s">
        <v>7714</v>
      </c>
    </row>
    <row r="4191" spans="1:2" ht="112" hidden="1" customHeight="1" x14ac:dyDescent="0.25">
      <c r="A4191" t="s">
        <v>7720</v>
      </c>
      <c r="B4191" s="56" t="s">
        <v>9214</v>
      </c>
    </row>
    <row r="4192" spans="1:2" ht="112" hidden="1" customHeight="1" x14ac:dyDescent="0.25">
      <c r="A4192" t="s">
        <v>7721</v>
      </c>
      <c r="B4192" s="56" t="s">
        <v>7806</v>
      </c>
    </row>
    <row r="4193" spans="1:2" ht="112" hidden="1" customHeight="1" x14ac:dyDescent="0.25">
      <c r="A4193" t="s">
        <v>7722</v>
      </c>
      <c r="B4193" s="56" t="s">
        <v>7807</v>
      </c>
    </row>
    <row r="4194" spans="1:2" ht="112" hidden="1" customHeight="1" x14ac:dyDescent="0.25">
      <c r="A4194" t="s">
        <v>7713</v>
      </c>
      <c r="B4194" s="56" t="s">
        <v>7714</v>
      </c>
    </row>
    <row r="4195" spans="1:2" ht="112" hidden="1" customHeight="1" x14ac:dyDescent="0.25">
      <c r="A4195" t="s">
        <v>7715</v>
      </c>
      <c r="B4195" s="56" t="s">
        <v>7804</v>
      </c>
    </row>
    <row r="4196" spans="1:2" ht="112" hidden="1" customHeight="1" x14ac:dyDescent="0.25">
      <c r="A4196" t="s">
        <v>7716</v>
      </c>
      <c r="B4196" s="56" t="s">
        <v>7718</v>
      </c>
    </row>
    <row r="4197" spans="1:2" ht="112" hidden="1" customHeight="1" x14ac:dyDescent="0.25">
      <c r="A4197" t="s">
        <v>7717</v>
      </c>
      <c r="B4197" s="56" t="s">
        <v>7805</v>
      </c>
    </row>
    <row r="4198" spans="1:2" ht="112" hidden="1" customHeight="1" x14ac:dyDescent="0.25">
      <c r="A4198" t="s">
        <v>7719</v>
      </c>
      <c r="B4198" s="56" t="s">
        <v>7808</v>
      </c>
    </row>
    <row r="4199" spans="1:2" ht="112" hidden="1" customHeight="1" x14ac:dyDescent="0.25">
      <c r="A4199" t="s">
        <v>7723</v>
      </c>
      <c r="B4199" s="56" t="s">
        <v>7809</v>
      </c>
    </row>
    <row r="4200" spans="1:2" ht="112" hidden="1" customHeight="1" x14ac:dyDescent="0.25">
      <c r="A4200" t="s">
        <v>7723</v>
      </c>
      <c r="B4200" s="56" t="s">
        <v>7809</v>
      </c>
    </row>
    <row r="4201" spans="1:2" ht="112" hidden="1" customHeight="1" x14ac:dyDescent="0.25">
      <c r="A4201" t="s">
        <v>7724</v>
      </c>
      <c r="B4201" s="56" t="s">
        <v>7810</v>
      </c>
    </row>
    <row r="4202" spans="1:2" ht="112" hidden="1" customHeight="1" x14ac:dyDescent="0.25">
      <c r="A4202" t="s">
        <v>7725</v>
      </c>
      <c r="B4202" s="56" t="s">
        <v>7811</v>
      </c>
    </row>
    <row r="4203" spans="1:2" ht="112" hidden="1" customHeight="1" x14ac:dyDescent="0.25">
      <c r="A4203" t="s">
        <v>7726</v>
      </c>
      <c r="B4203" s="56" t="s">
        <v>7812</v>
      </c>
    </row>
    <row r="4204" spans="1:2" ht="112" hidden="1" customHeight="1" x14ac:dyDescent="0.25">
      <c r="A4204" t="s">
        <v>7727</v>
      </c>
      <c r="B4204" s="56" t="s">
        <v>7813</v>
      </c>
    </row>
    <row r="4205" spans="1:2" ht="112" hidden="1" customHeight="1" x14ac:dyDescent="0.25">
      <c r="A4205" t="s">
        <v>7728</v>
      </c>
      <c r="B4205" s="56" t="s">
        <v>7814</v>
      </c>
    </row>
    <row r="4206" spans="1:2" ht="112" hidden="1" customHeight="1" x14ac:dyDescent="0.25">
      <c r="A4206" t="s">
        <v>7729</v>
      </c>
      <c r="B4206" s="56" t="s">
        <v>7745</v>
      </c>
    </row>
    <row r="4207" spans="1:2" ht="112" hidden="1" customHeight="1" x14ac:dyDescent="0.25">
      <c r="A4207" t="s">
        <v>7730</v>
      </c>
      <c r="B4207" s="56" t="s">
        <v>7746</v>
      </c>
    </row>
    <row r="4208" spans="1:2" ht="112" hidden="1" customHeight="1" x14ac:dyDescent="0.25">
      <c r="A4208" t="s">
        <v>7731</v>
      </c>
      <c r="B4208" s="56" t="s">
        <v>7747</v>
      </c>
    </row>
    <row r="4209" spans="1:2" ht="112" hidden="1" customHeight="1" x14ac:dyDescent="0.25">
      <c r="A4209" t="s">
        <v>7732</v>
      </c>
      <c r="B4209" s="56" t="s">
        <v>7748</v>
      </c>
    </row>
    <row r="4210" spans="1:2" ht="112" hidden="1" customHeight="1" x14ac:dyDescent="0.25">
      <c r="A4210" t="s">
        <v>7733</v>
      </c>
      <c r="B4210" s="56" t="s">
        <v>7749</v>
      </c>
    </row>
    <row r="4211" spans="1:2" ht="112" hidden="1" customHeight="1" x14ac:dyDescent="0.25">
      <c r="A4211" t="s">
        <v>7734</v>
      </c>
      <c r="B4211" s="56" t="s">
        <v>7750</v>
      </c>
    </row>
    <row r="4212" spans="1:2" ht="112" hidden="1" customHeight="1" x14ac:dyDescent="0.25">
      <c r="A4212" t="s">
        <v>7735</v>
      </c>
      <c r="B4212" s="56" t="s">
        <v>7751</v>
      </c>
    </row>
    <row r="4213" spans="1:2" ht="112" hidden="1" customHeight="1" x14ac:dyDescent="0.25">
      <c r="A4213" t="s">
        <v>7736</v>
      </c>
      <c r="B4213" s="56" t="s">
        <v>7752</v>
      </c>
    </row>
    <row r="4214" spans="1:2" ht="112" hidden="1" customHeight="1" x14ac:dyDescent="0.25">
      <c r="A4214" t="s">
        <v>7737</v>
      </c>
      <c r="B4214" s="56" t="s">
        <v>7753</v>
      </c>
    </row>
    <row r="4215" spans="1:2" ht="112" hidden="1" customHeight="1" x14ac:dyDescent="0.25">
      <c r="A4215" t="s">
        <v>7738</v>
      </c>
      <c r="B4215" s="56" t="s">
        <v>7754</v>
      </c>
    </row>
    <row r="4216" spans="1:2" ht="112" hidden="1" customHeight="1" x14ac:dyDescent="0.25">
      <c r="A4216" t="s">
        <v>7739</v>
      </c>
      <c r="B4216" s="56" t="s">
        <v>7755</v>
      </c>
    </row>
    <row r="4217" spans="1:2" ht="112" hidden="1" customHeight="1" x14ac:dyDescent="0.25">
      <c r="A4217" t="s">
        <v>7740</v>
      </c>
      <c r="B4217" s="56" t="s">
        <v>7756</v>
      </c>
    </row>
    <row r="4218" spans="1:2" ht="112" hidden="1" customHeight="1" x14ac:dyDescent="0.25">
      <c r="A4218" t="s">
        <v>7741</v>
      </c>
      <c r="B4218" s="56" t="s">
        <v>7757</v>
      </c>
    </row>
    <row r="4219" spans="1:2" ht="112" hidden="1" customHeight="1" x14ac:dyDescent="0.25">
      <c r="A4219" t="s">
        <v>7742</v>
      </c>
      <c r="B4219" s="56" t="s">
        <v>7758</v>
      </c>
    </row>
    <row r="4220" spans="1:2" ht="112" hidden="1" customHeight="1" x14ac:dyDescent="0.25">
      <c r="A4220" t="s">
        <v>7743</v>
      </c>
      <c r="B4220" s="56" t="s">
        <v>7759</v>
      </c>
    </row>
    <row r="4221" spans="1:2" ht="112" hidden="1" customHeight="1" x14ac:dyDescent="0.25">
      <c r="A4221" t="s">
        <v>7744</v>
      </c>
      <c r="B4221" s="56" t="s">
        <v>7760</v>
      </c>
    </row>
    <row r="4222" spans="1:2" ht="112" hidden="1" customHeight="1" x14ac:dyDescent="0.25">
      <c r="A4222" t="s">
        <v>7761</v>
      </c>
      <c r="B4222" s="56" t="s">
        <v>7815</v>
      </c>
    </row>
    <row r="4223" spans="1:2" ht="112" hidden="1" customHeight="1" x14ac:dyDescent="0.25">
      <c r="A4223" t="s">
        <v>7762</v>
      </c>
      <c r="B4223" s="56" t="s">
        <v>7816</v>
      </c>
    </row>
    <row r="4224" spans="1:2" ht="112" hidden="1" customHeight="1" x14ac:dyDescent="0.25">
      <c r="A4224" t="s">
        <v>7763</v>
      </c>
      <c r="B4224" s="56" t="s">
        <v>7765</v>
      </c>
    </row>
    <row r="4225" spans="1:2" ht="112" hidden="1" customHeight="1" x14ac:dyDescent="0.25">
      <c r="A4225" t="s">
        <v>7764</v>
      </c>
      <c r="B4225" s="56" t="s">
        <v>7766</v>
      </c>
    </row>
    <row r="4226" spans="1:2" ht="112" hidden="1" customHeight="1" x14ac:dyDescent="0.25">
      <c r="A4226" t="s">
        <v>7767</v>
      </c>
      <c r="B4226" s="56" t="s">
        <v>7817</v>
      </c>
    </row>
    <row r="4227" spans="1:2" ht="112" hidden="1" customHeight="1" x14ac:dyDescent="0.25">
      <c r="A4227" t="s">
        <v>7768</v>
      </c>
      <c r="B4227" s="56" t="s">
        <v>7818</v>
      </c>
    </row>
    <row r="4228" spans="1:2" ht="112" hidden="1" customHeight="1" x14ac:dyDescent="0.25">
      <c r="A4228" t="s">
        <v>7769</v>
      </c>
      <c r="B4228" s="56" t="s">
        <v>7819</v>
      </c>
    </row>
    <row r="4229" spans="1:2" ht="112" hidden="1" customHeight="1" x14ac:dyDescent="0.25">
      <c r="A4229" t="s">
        <v>7770</v>
      </c>
      <c r="B4229" s="56" t="s">
        <v>7788</v>
      </c>
    </row>
    <row r="4230" spans="1:2" ht="112" hidden="1" customHeight="1" x14ac:dyDescent="0.25">
      <c r="A4230" t="s">
        <v>7771</v>
      </c>
      <c r="B4230" s="56" t="s">
        <v>7789</v>
      </c>
    </row>
    <row r="4231" spans="1:2" ht="112" hidden="1" customHeight="1" x14ac:dyDescent="0.25">
      <c r="A4231" t="s">
        <v>7419</v>
      </c>
      <c r="B4231" s="56" t="s">
        <v>7655</v>
      </c>
    </row>
    <row r="4232" spans="1:2" ht="112" hidden="1" customHeight="1" x14ac:dyDescent="0.25">
      <c r="A4232" t="s">
        <v>7790</v>
      </c>
      <c r="B4232" s="56" t="s">
        <v>7791</v>
      </c>
    </row>
    <row r="4233" spans="1:2" ht="112" hidden="1" customHeight="1" x14ac:dyDescent="0.25">
      <c r="A4233" t="s">
        <v>7858</v>
      </c>
      <c r="B4233" t="s">
        <v>7870</v>
      </c>
    </row>
    <row r="4234" spans="1:2" ht="112" hidden="1" customHeight="1" x14ac:dyDescent="0.25">
      <c r="A4234" t="s">
        <v>7859</v>
      </c>
      <c r="B4234" t="s">
        <v>7871</v>
      </c>
    </row>
    <row r="4235" spans="1:2" ht="112" hidden="1" customHeight="1" x14ac:dyDescent="0.25">
      <c r="A4235" t="s">
        <v>7860</v>
      </c>
      <c r="B4235" t="s">
        <v>7872</v>
      </c>
    </row>
    <row r="4236" spans="1:2" ht="112" hidden="1" customHeight="1" x14ac:dyDescent="0.25">
      <c r="A4236" t="s">
        <v>7861</v>
      </c>
      <c r="B4236" t="s">
        <v>7873</v>
      </c>
    </row>
    <row r="4237" spans="1:2" ht="112" hidden="1" customHeight="1" x14ac:dyDescent="0.25">
      <c r="A4237" t="s">
        <v>7862</v>
      </c>
      <c r="B4237" t="s">
        <v>7874</v>
      </c>
    </row>
    <row r="4238" spans="1:2" ht="112" hidden="1" customHeight="1" x14ac:dyDescent="0.25">
      <c r="A4238" t="s">
        <v>7863</v>
      </c>
      <c r="B4238" t="s">
        <v>7875</v>
      </c>
    </row>
    <row r="4239" spans="1:2" ht="112" hidden="1" customHeight="1" x14ac:dyDescent="0.25">
      <c r="A4239" t="s">
        <v>7864</v>
      </c>
      <c r="B4239" t="s">
        <v>7876</v>
      </c>
    </row>
    <row r="4240" spans="1:2" ht="112" hidden="1" customHeight="1" x14ac:dyDescent="0.25">
      <c r="A4240" t="s">
        <v>7865</v>
      </c>
      <c r="B4240" t="s">
        <v>7877</v>
      </c>
    </row>
    <row r="4241" spans="1:2" ht="112" hidden="1" customHeight="1" x14ac:dyDescent="0.25">
      <c r="A4241" t="s">
        <v>7866</v>
      </c>
      <c r="B4241" t="s">
        <v>7878</v>
      </c>
    </row>
    <row r="4242" spans="1:2" ht="112" hidden="1" customHeight="1" x14ac:dyDescent="0.25">
      <c r="A4242" t="s">
        <v>7867</v>
      </c>
      <c r="B4242" t="s">
        <v>7879</v>
      </c>
    </row>
    <row r="4243" spans="1:2" ht="112" hidden="1" customHeight="1" x14ac:dyDescent="0.25">
      <c r="A4243" t="s">
        <v>7868</v>
      </c>
      <c r="B4243" t="s">
        <v>7880</v>
      </c>
    </row>
    <row r="4244" spans="1:2" ht="112" hidden="1" customHeight="1" x14ac:dyDescent="0.25">
      <c r="A4244" t="s">
        <v>7869</v>
      </c>
      <c r="B4244" t="s">
        <v>7881</v>
      </c>
    </row>
    <row r="4245" spans="1:2" ht="112" hidden="1" customHeight="1" x14ac:dyDescent="0.25">
      <c r="A4245" t="s">
        <v>7884</v>
      </c>
      <c r="B4245" t="s">
        <v>7882</v>
      </c>
    </row>
    <row r="4246" spans="1:2" ht="112" hidden="1" customHeight="1" x14ac:dyDescent="0.25">
      <c r="A4246" t="s">
        <v>7883</v>
      </c>
      <c r="B4246" s="56" t="s">
        <v>13179</v>
      </c>
    </row>
    <row r="4247" spans="1:2" ht="112" hidden="1" customHeight="1" x14ac:dyDescent="0.25">
      <c r="A4247" t="s">
        <v>7892</v>
      </c>
      <c r="B4247" t="s">
        <v>7889</v>
      </c>
    </row>
    <row r="4248" spans="1:2" ht="112" hidden="1" customHeight="1" x14ac:dyDescent="0.25">
      <c r="A4248" t="s">
        <v>7886</v>
      </c>
      <c r="B4248" t="s">
        <v>7890</v>
      </c>
    </row>
    <row r="4249" spans="1:2" ht="112" hidden="1" customHeight="1" x14ac:dyDescent="0.25">
      <c r="A4249" t="s">
        <v>7887</v>
      </c>
      <c r="B4249" t="s">
        <v>7891</v>
      </c>
    </row>
    <row r="4250" spans="1:2" ht="112" hidden="1" customHeight="1" x14ac:dyDescent="0.25">
      <c r="A4250" t="s">
        <v>7888</v>
      </c>
      <c r="B4250" s="56" t="s">
        <v>7897</v>
      </c>
    </row>
    <row r="4251" spans="1:2" ht="112" hidden="1" customHeight="1" x14ac:dyDescent="0.25">
      <c r="A4251" t="s">
        <v>7895</v>
      </c>
      <c r="B4251" s="56" t="s">
        <v>7896</v>
      </c>
    </row>
    <row r="4252" spans="1:2" ht="112" hidden="1" customHeight="1" x14ac:dyDescent="0.25">
      <c r="A4252" t="s">
        <v>7898</v>
      </c>
      <c r="B4252" s="56" t="s">
        <v>12998</v>
      </c>
    </row>
    <row r="4253" spans="1:2" ht="112" hidden="1" customHeight="1" x14ac:dyDescent="0.25">
      <c r="A4253" t="s">
        <v>7899</v>
      </c>
      <c r="B4253" s="56" t="s">
        <v>7900</v>
      </c>
    </row>
    <row r="4254" spans="1:2" ht="112" hidden="1" customHeight="1" x14ac:dyDescent="0.25">
      <c r="A4254" t="s">
        <v>7901</v>
      </c>
      <c r="B4254" s="56" t="s">
        <v>7902</v>
      </c>
    </row>
    <row r="4255" spans="1:2" ht="112" hidden="1" customHeight="1" x14ac:dyDescent="0.25">
      <c r="A4255" t="s">
        <v>7903</v>
      </c>
      <c r="B4255" t="s">
        <v>7905</v>
      </c>
    </row>
    <row r="4256" spans="1:2" ht="112" hidden="1" customHeight="1" x14ac:dyDescent="0.25">
      <c r="A4256" t="s">
        <v>7904</v>
      </c>
      <c r="B4256" t="s">
        <v>7906</v>
      </c>
    </row>
    <row r="4257" spans="1:2" ht="112" hidden="1" customHeight="1" x14ac:dyDescent="0.25">
      <c r="A4257" t="s">
        <v>7907</v>
      </c>
      <c r="B4257" s="56" t="s">
        <v>7908</v>
      </c>
    </row>
    <row r="4258" spans="1:2" ht="112" hidden="1" customHeight="1" x14ac:dyDescent="0.25">
      <c r="A4258" t="s">
        <v>7916</v>
      </c>
      <c r="B4258" t="s">
        <v>7918</v>
      </c>
    </row>
    <row r="4259" spans="1:2" ht="112" hidden="1" customHeight="1" x14ac:dyDescent="0.25">
      <c r="A4259" t="s">
        <v>7917</v>
      </c>
      <c r="B4259" t="s">
        <v>7919</v>
      </c>
    </row>
    <row r="4260" spans="1:2" ht="112" hidden="1" customHeight="1" x14ac:dyDescent="0.25">
      <c r="A4260" t="s">
        <v>7920</v>
      </c>
      <c r="B4260" s="56" t="s">
        <v>7921</v>
      </c>
    </row>
    <row r="4261" spans="1:2" ht="112" hidden="1" customHeight="1" x14ac:dyDescent="0.25">
      <c r="A4261" t="s">
        <v>7922</v>
      </c>
      <c r="B4261" t="s">
        <v>7925</v>
      </c>
    </row>
    <row r="4262" spans="1:2" ht="112" hidden="1" customHeight="1" x14ac:dyDescent="0.25">
      <c r="A4262" t="s">
        <v>7923</v>
      </c>
      <c r="B4262" t="s">
        <v>7926</v>
      </c>
    </row>
    <row r="4263" spans="1:2" ht="112" hidden="1" customHeight="1" x14ac:dyDescent="0.25">
      <c r="A4263" t="s">
        <v>7924</v>
      </c>
      <c r="B4263" t="s">
        <v>7927</v>
      </c>
    </row>
    <row r="4264" spans="1:2" ht="112" hidden="1" customHeight="1" x14ac:dyDescent="0.25">
      <c r="A4264" t="s">
        <v>7928</v>
      </c>
      <c r="B4264" t="s">
        <v>7929</v>
      </c>
    </row>
    <row r="4265" spans="1:2" ht="112" hidden="1" customHeight="1" x14ac:dyDescent="0.25">
      <c r="A4265" t="s">
        <v>7930</v>
      </c>
      <c r="B4265" t="s">
        <v>7934</v>
      </c>
    </row>
    <row r="4266" spans="1:2" ht="112" hidden="1" customHeight="1" x14ac:dyDescent="0.25">
      <c r="A4266" t="s">
        <v>7931</v>
      </c>
      <c r="B4266" t="s">
        <v>7935</v>
      </c>
    </row>
    <row r="4267" spans="1:2" ht="112" hidden="1" customHeight="1" x14ac:dyDescent="0.25">
      <c r="A4267" t="s">
        <v>7932</v>
      </c>
      <c r="B4267" t="s">
        <v>7936</v>
      </c>
    </row>
    <row r="4268" spans="1:2" ht="112" hidden="1" customHeight="1" x14ac:dyDescent="0.25">
      <c r="A4268" t="s">
        <v>7933</v>
      </c>
      <c r="B4268" t="s">
        <v>7937</v>
      </c>
    </row>
    <row r="4269" spans="1:2" ht="112" hidden="1" customHeight="1" x14ac:dyDescent="0.25">
      <c r="A4269" t="s">
        <v>7939</v>
      </c>
      <c r="B4269" t="s">
        <v>7940</v>
      </c>
    </row>
    <row r="4270" spans="1:2" ht="112" hidden="1" customHeight="1" x14ac:dyDescent="0.25">
      <c r="A4270" t="s">
        <v>7941</v>
      </c>
      <c r="B4270" t="s">
        <v>7946</v>
      </c>
    </row>
    <row r="4271" spans="1:2" ht="112" hidden="1" customHeight="1" x14ac:dyDescent="0.25">
      <c r="A4271" t="s">
        <v>7942</v>
      </c>
      <c r="B4271" t="s">
        <v>7947</v>
      </c>
    </row>
    <row r="4272" spans="1:2" ht="112" hidden="1" customHeight="1" x14ac:dyDescent="0.25">
      <c r="A4272" t="s">
        <v>7943</v>
      </c>
      <c r="B4272" t="s">
        <v>7948</v>
      </c>
    </row>
    <row r="4273" spans="1:2" ht="112" hidden="1" customHeight="1" x14ac:dyDescent="0.25">
      <c r="A4273" t="s">
        <v>7944</v>
      </c>
      <c r="B4273" t="s">
        <v>7949</v>
      </c>
    </row>
    <row r="4274" spans="1:2" ht="112" hidden="1" customHeight="1" x14ac:dyDescent="0.25">
      <c r="A4274" t="s">
        <v>7945</v>
      </c>
      <c r="B4274" t="s">
        <v>7950</v>
      </c>
    </row>
    <row r="4275" spans="1:2" ht="112" hidden="1" customHeight="1" x14ac:dyDescent="0.25">
      <c r="A4275" t="s">
        <v>7951</v>
      </c>
      <c r="B4275" s="56" t="s">
        <v>9763</v>
      </c>
    </row>
    <row r="4276" spans="1:2" ht="112" hidden="1" customHeight="1" x14ac:dyDescent="0.25">
      <c r="A4276" t="s">
        <v>7952</v>
      </c>
      <c r="B4276" s="56" t="s">
        <v>7954</v>
      </c>
    </row>
    <row r="4277" spans="1:2" ht="112" hidden="1" customHeight="1" x14ac:dyDescent="0.25">
      <c r="A4277" t="s">
        <v>7953</v>
      </c>
      <c r="B4277" s="56" t="s">
        <v>7955</v>
      </c>
    </row>
    <row r="4278" spans="1:2" ht="112" hidden="1" customHeight="1" x14ac:dyDescent="0.25">
      <c r="A4278" t="s">
        <v>7956</v>
      </c>
      <c r="B4278" t="s">
        <v>7957</v>
      </c>
    </row>
    <row r="4279" spans="1:2" ht="112" hidden="1" customHeight="1" x14ac:dyDescent="0.25">
      <c r="A4279" t="s">
        <v>7958</v>
      </c>
      <c r="B4279" t="s">
        <v>7959</v>
      </c>
    </row>
    <row r="4280" spans="1:2" ht="112" hidden="1" customHeight="1" x14ac:dyDescent="0.25">
      <c r="A4280" t="s">
        <v>7960</v>
      </c>
      <c r="B4280" t="s">
        <v>7963</v>
      </c>
    </row>
    <row r="4281" spans="1:2" ht="112" hidden="1" customHeight="1" x14ac:dyDescent="0.25">
      <c r="A4281" t="s">
        <v>7961</v>
      </c>
      <c r="B4281" t="s">
        <v>7964</v>
      </c>
    </row>
    <row r="4282" spans="1:2" ht="112" hidden="1" customHeight="1" x14ac:dyDescent="0.25">
      <c r="A4282" t="s">
        <v>7962</v>
      </c>
      <c r="B4282" t="s">
        <v>7965</v>
      </c>
    </row>
    <row r="4283" spans="1:2" ht="112" hidden="1" customHeight="1" x14ac:dyDescent="0.25">
      <c r="A4283" t="s">
        <v>7967</v>
      </c>
      <c r="B4283" t="s">
        <v>7968</v>
      </c>
    </row>
    <row r="4284" spans="1:2" ht="112" hidden="1" customHeight="1" x14ac:dyDescent="0.25">
      <c r="A4284" t="s">
        <v>7966</v>
      </c>
      <c r="B4284" s="56" t="s">
        <v>7969</v>
      </c>
    </row>
    <row r="4285" spans="1:2" ht="112" hidden="1" customHeight="1" x14ac:dyDescent="0.25">
      <c r="A4285" t="s">
        <v>7970</v>
      </c>
      <c r="B4285" s="56" t="s">
        <v>7971</v>
      </c>
    </row>
    <row r="4286" spans="1:2" ht="112" hidden="1" customHeight="1" x14ac:dyDescent="0.25">
      <c r="A4286" t="s">
        <v>7976</v>
      </c>
      <c r="B4286" t="s">
        <v>7978</v>
      </c>
    </row>
    <row r="4287" spans="1:2" ht="112" hidden="1" customHeight="1" x14ac:dyDescent="0.25">
      <c r="A4287" t="s">
        <v>7977</v>
      </c>
      <c r="B4287" t="s">
        <v>7979</v>
      </c>
    </row>
    <row r="4288" spans="1:2" ht="112" hidden="1" customHeight="1" x14ac:dyDescent="0.25">
      <c r="A4288" t="s">
        <v>7983</v>
      </c>
      <c r="B4288" s="56" t="s">
        <v>8005</v>
      </c>
    </row>
    <row r="4289" spans="1:2" ht="112" hidden="1" customHeight="1" x14ac:dyDescent="0.25">
      <c r="A4289" t="s">
        <v>7984</v>
      </c>
      <c r="B4289" s="56" t="s">
        <v>8006</v>
      </c>
    </row>
    <row r="4290" spans="1:2" ht="112" hidden="1" customHeight="1" x14ac:dyDescent="0.25">
      <c r="A4290" t="s">
        <v>7985</v>
      </c>
      <c r="B4290" s="56" t="s">
        <v>8011</v>
      </c>
    </row>
    <row r="4291" spans="1:2" ht="112" hidden="1" customHeight="1" x14ac:dyDescent="0.25">
      <c r="A4291" t="s">
        <v>7986</v>
      </c>
      <c r="B4291" s="56" t="s">
        <v>8010</v>
      </c>
    </row>
    <row r="4292" spans="1:2" ht="112" hidden="1" customHeight="1" x14ac:dyDescent="0.25">
      <c r="A4292" t="s">
        <v>7987</v>
      </c>
      <c r="B4292" s="56" t="s">
        <v>8009</v>
      </c>
    </row>
    <row r="4293" spans="1:2" ht="112" hidden="1" customHeight="1" x14ac:dyDescent="0.25">
      <c r="A4293" t="s">
        <v>7988</v>
      </c>
      <c r="B4293" s="56" t="s">
        <v>8008</v>
      </c>
    </row>
    <row r="4294" spans="1:2" ht="112" hidden="1" customHeight="1" x14ac:dyDescent="0.25">
      <c r="A4294" t="s">
        <v>7989</v>
      </c>
      <c r="B4294" s="56" t="s">
        <v>8012</v>
      </c>
    </row>
    <row r="4295" spans="1:2" ht="112" hidden="1" customHeight="1" x14ac:dyDescent="0.25">
      <c r="A4295" t="s">
        <v>7990</v>
      </c>
      <c r="B4295" s="56" t="s">
        <v>8007</v>
      </c>
    </row>
    <row r="4296" spans="1:2" ht="112" hidden="1" customHeight="1" x14ac:dyDescent="0.25">
      <c r="A4296" t="s">
        <v>7991</v>
      </c>
      <c r="B4296" s="56" t="s">
        <v>8013</v>
      </c>
    </row>
    <row r="4297" spans="1:2" ht="112" hidden="1" customHeight="1" x14ac:dyDescent="0.25">
      <c r="A4297" t="s">
        <v>7992</v>
      </c>
      <c r="B4297" s="56" t="s">
        <v>8014</v>
      </c>
    </row>
    <row r="4298" spans="1:2" ht="112" hidden="1" customHeight="1" x14ac:dyDescent="0.25">
      <c r="A4298" t="s">
        <v>7993</v>
      </c>
      <c r="B4298" s="56" t="s">
        <v>9630</v>
      </c>
    </row>
    <row r="4299" spans="1:2" ht="112" hidden="1" customHeight="1" x14ac:dyDescent="0.25">
      <c r="A4299" t="s">
        <v>7994</v>
      </c>
      <c r="B4299" s="56" t="s">
        <v>8015</v>
      </c>
    </row>
    <row r="4300" spans="1:2" ht="112" hidden="1" customHeight="1" x14ac:dyDescent="0.25">
      <c r="A4300" t="s">
        <v>7995</v>
      </c>
      <c r="B4300" s="56" t="s">
        <v>8016</v>
      </c>
    </row>
    <row r="4301" spans="1:2" ht="112" hidden="1" customHeight="1" x14ac:dyDescent="0.25">
      <c r="A4301" t="s">
        <v>7996</v>
      </c>
      <c r="B4301" s="56" t="s">
        <v>8017</v>
      </c>
    </row>
    <row r="4302" spans="1:2" ht="112" hidden="1" customHeight="1" x14ac:dyDescent="0.25">
      <c r="A4302" t="s">
        <v>7997</v>
      </c>
      <c r="B4302" t="s">
        <v>7998</v>
      </c>
    </row>
    <row r="4303" spans="1:2" ht="112" hidden="1" customHeight="1" x14ac:dyDescent="0.25">
      <c r="A4303" t="s">
        <v>7976</v>
      </c>
      <c r="B4303" t="s">
        <v>7999</v>
      </c>
    </row>
    <row r="4304" spans="1:2" ht="112" hidden="1" customHeight="1" x14ac:dyDescent="0.25">
      <c r="A4304" t="s">
        <v>7976</v>
      </c>
      <c r="B4304" t="s">
        <v>7999</v>
      </c>
    </row>
    <row r="4305" spans="1:2" ht="112" hidden="1" customHeight="1" x14ac:dyDescent="0.25">
      <c r="A4305" t="s">
        <v>8001</v>
      </c>
      <c r="B4305" t="s">
        <v>8003</v>
      </c>
    </row>
    <row r="4306" spans="1:2" ht="112" hidden="1" customHeight="1" x14ac:dyDescent="0.25">
      <c r="A4306" t="s">
        <v>8002</v>
      </c>
      <c r="B4306" t="s">
        <v>8004</v>
      </c>
    </row>
    <row r="4307" spans="1:2" ht="112" hidden="1" customHeight="1" x14ac:dyDescent="0.25">
      <c r="A4307" t="s">
        <v>8018</v>
      </c>
      <c r="B4307" t="s">
        <v>8019</v>
      </c>
    </row>
    <row r="4308" spans="1:2" ht="112" hidden="1" customHeight="1" x14ac:dyDescent="0.25">
      <c r="A4308" t="s">
        <v>8020</v>
      </c>
      <c r="B4308" t="s">
        <v>8059</v>
      </c>
    </row>
    <row r="4309" spans="1:2" ht="112" hidden="1" customHeight="1" x14ac:dyDescent="0.25">
      <c r="A4309" t="s">
        <v>8021</v>
      </c>
      <c r="B4309" t="s">
        <v>8060</v>
      </c>
    </row>
    <row r="4310" spans="1:2" ht="112" hidden="1" customHeight="1" x14ac:dyDescent="0.25">
      <c r="A4310" t="s">
        <v>8022</v>
      </c>
      <c r="B4310" t="s">
        <v>8061</v>
      </c>
    </row>
    <row r="4311" spans="1:2" ht="112" hidden="1" customHeight="1" x14ac:dyDescent="0.25">
      <c r="A4311" t="s">
        <v>8023</v>
      </c>
      <c r="B4311" t="s">
        <v>8062</v>
      </c>
    </row>
    <row r="4312" spans="1:2" ht="112" hidden="1" customHeight="1" x14ac:dyDescent="0.25">
      <c r="A4312" t="s">
        <v>8024</v>
      </c>
      <c r="B4312" t="s">
        <v>8063</v>
      </c>
    </row>
    <row r="4313" spans="1:2" ht="112" hidden="1" customHeight="1" x14ac:dyDescent="0.25">
      <c r="A4313" t="s">
        <v>8025</v>
      </c>
      <c r="B4313" t="s">
        <v>8064</v>
      </c>
    </row>
    <row r="4314" spans="1:2" ht="112" hidden="1" customHeight="1" x14ac:dyDescent="0.25">
      <c r="A4314" t="s">
        <v>8026</v>
      </c>
      <c r="B4314" t="s">
        <v>8065</v>
      </c>
    </row>
    <row r="4315" spans="1:2" ht="112" hidden="1" customHeight="1" x14ac:dyDescent="0.25">
      <c r="A4315" t="s">
        <v>8027</v>
      </c>
      <c r="B4315" t="s">
        <v>8066</v>
      </c>
    </row>
    <row r="4316" spans="1:2" ht="112" hidden="1" customHeight="1" x14ac:dyDescent="0.25">
      <c r="A4316" t="s">
        <v>8028</v>
      </c>
      <c r="B4316" t="s">
        <v>8067</v>
      </c>
    </row>
    <row r="4317" spans="1:2" ht="112" hidden="1" customHeight="1" x14ac:dyDescent="0.25">
      <c r="A4317" t="s">
        <v>8029</v>
      </c>
      <c r="B4317" t="s">
        <v>8068</v>
      </c>
    </row>
    <row r="4318" spans="1:2" ht="112" hidden="1" customHeight="1" x14ac:dyDescent="0.25">
      <c r="A4318" t="s">
        <v>8030</v>
      </c>
      <c r="B4318" t="s">
        <v>8069</v>
      </c>
    </row>
    <row r="4319" spans="1:2" ht="112" hidden="1" customHeight="1" x14ac:dyDescent="0.25">
      <c r="A4319" t="s">
        <v>8031</v>
      </c>
      <c r="B4319" t="s">
        <v>8070</v>
      </c>
    </row>
    <row r="4320" spans="1:2" ht="112" hidden="1" customHeight="1" x14ac:dyDescent="0.25">
      <c r="A4320" t="s">
        <v>8032</v>
      </c>
      <c r="B4320" t="s">
        <v>8071</v>
      </c>
    </row>
    <row r="4321" spans="1:2" ht="112" hidden="1" customHeight="1" x14ac:dyDescent="0.25">
      <c r="A4321" t="s">
        <v>8033</v>
      </c>
      <c r="B4321" t="s">
        <v>8072</v>
      </c>
    </row>
    <row r="4322" spans="1:2" ht="112" hidden="1" customHeight="1" x14ac:dyDescent="0.25">
      <c r="A4322" t="s">
        <v>8034</v>
      </c>
      <c r="B4322" t="s">
        <v>8073</v>
      </c>
    </row>
    <row r="4323" spans="1:2" ht="112" hidden="1" customHeight="1" x14ac:dyDescent="0.25">
      <c r="A4323" t="s">
        <v>8035</v>
      </c>
      <c r="B4323" t="s">
        <v>8074</v>
      </c>
    </row>
    <row r="4324" spans="1:2" ht="112" hidden="1" customHeight="1" x14ac:dyDescent="0.25">
      <c r="A4324" t="s">
        <v>8036</v>
      </c>
      <c r="B4324" t="s">
        <v>8075</v>
      </c>
    </row>
    <row r="4325" spans="1:2" ht="112" hidden="1" customHeight="1" x14ac:dyDescent="0.25">
      <c r="A4325" t="s">
        <v>8037</v>
      </c>
      <c r="B4325" t="s">
        <v>8076</v>
      </c>
    </row>
    <row r="4326" spans="1:2" ht="112" hidden="1" customHeight="1" x14ac:dyDescent="0.25">
      <c r="A4326" t="s">
        <v>8038</v>
      </c>
      <c r="B4326" t="s">
        <v>8077</v>
      </c>
    </row>
    <row r="4327" spans="1:2" ht="112" hidden="1" customHeight="1" x14ac:dyDescent="0.25">
      <c r="A4327" t="s">
        <v>8039</v>
      </c>
      <c r="B4327" t="s">
        <v>8078</v>
      </c>
    </row>
    <row r="4328" spans="1:2" ht="112" hidden="1" customHeight="1" x14ac:dyDescent="0.25">
      <c r="A4328" t="s">
        <v>8040</v>
      </c>
      <c r="B4328" t="s">
        <v>8079</v>
      </c>
    </row>
    <row r="4329" spans="1:2" ht="112" hidden="1" customHeight="1" x14ac:dyDescent="0.25">
      <c r="A4329" t="s">
        <v>8041</v>
      </c>
      <c r="B4329" t="s">
        <v>8080</v>
      </c>
    </row>
    <row r="4330" spans="1:2" ht="112" hidden="1" customHeight="1" x14ac:dyDescent="0.25">
      <c r="A4330" t="s">
        <v>8042</v>
      </c>
      <c r="B4330" t="s">
        <v>8081</v>
      </c>
    </row>
    <row r="4331" spans="1:2" ht="112" hidden="1" customHeight="1" x14ac:dyDescent="0.25">
      <c r="A4331" t="s">
        <v>8043</v>
      </c>
      <c r="B4331" t="s">
        <v>8082</v>
      </c>
    </row>
    <row r="4332" spans="1:2" ht="112" hidden="1" customHeight="1" x14ac:dyDescent="0.25">
      <c r="A4332" t="s">
        <v>8044</v>
      </c>
      <c r="B4332" t="s">
        <v>8083</v>
      </c>
    </row>
    <row r="4333" spans="1:2" ht="112" hidden="1" customHeight="1" x14ac:dyDescent="0.25">
      <c r="A4333" t="s">
        <v>8045</v>
      </c>
      <c r="B4333" t="s">
        <v>8084</v>
      </c>
    </row>
    <row r="4334" spans="1:2" ht="112" hidden="1" customHeight="1" x14ac:dyDescent="0.25">
      <c r="A4334" t="s">
        <v>8046</v>
      </c>
      <c r="B4334" t="s">
        <v>8085</v>
      </c>
    </row>
    <row r="4335" spans="1:2" ht="112" hidden="1" customHeight="1" x14ac:dyDescent="0.25">
      <c r="A4335" t="s">
        <v>8047</v>
      </c>
      <c r="B4335" t="s">
        <v>8086</v>
      </c>
    </row>
    <row r="4336" spans="1:2" ht="112" hidden="1" customHeight="1" x14ac:dyDescent="0.25">
      <c r="A4336" t="s">
        <v>8048</v>
      </c>
      <c r="B4336" t="s">
        <v>8087</v>
      </c>
    </row>
    <row r="4337" spans="1:2" ht="112" hidden="1" customHeight="1" x14ac:dyDescent="0.25">
      <c r="A4337" t="s">
        <v>8049</v>
      </c>
      <c r="B4337" t="s">
        <v>8088</v>
      </c>
    </row>
    <row r="4338" spans="1:2" ht="112" hidden="1" customHeight="1" x14ac:dyDescent="0.25">
      <c r="A4338" t="s">
        <v>8050</v>
      </c>
      <c r="B4338" t="s">
        <v>8089</v>
      </c>
    </row>
    <row r="4339" spans="1:2" ht="112" hidden="1" customHeight="1" x14ac:dyDescent="0.25">
      <c r="A4339" t="s">
        <v>8051</v>
      </c>
      <c r="B4339" t="s">
        <v>8090</v>
      </c>
    </row>
    <row r="4340" spans="1:2" ht="112" hidden="1" customHeight="1" x14ac:dyDescent="0.25">
      <c r="A4340" t="s">
        <v>8052</v>
      </c>
      <c r="B4340" t="s">
        <v>8091</v>
      </c>
    </row>
    <row r="4341" spans="1:2" ht="112" hidden="1" customHeight="1" x14ac:dyDescent="0.25">
      <c r="A4341" t="s">
        <v>8053</v>
      </c>
      <c r="B4341" s="56" t="s">
        <v>9631</v>
      </c>
    </row>
    <row r="4342" spans="1:2" ht="112" hidden="1" customHeight="1" x14ac:dyDescent="0.25">
      <c r="A4342" t="s">
        <v>8054</v>
      </c>
      <c r="B4342" t="s">
        <v>8092</v>
      </c>
    </row>
    <row r="4343" spans="1:2" ht="112" hidden="1" customHeight="1" x14ac:dyDescent="0.25">
      <c r="A4343" t="s">
        <v>8055</v>
      </c>
      <c r="B4343" t="s">
        <v>8093</v>
      </c>
    </row>
    <row r="4344" spans="1:2" ht="112" hidden="1" customHeight="1" x14ac:dyDescent="0.25">
      <c r="A4344" t="s">
        <v>8056</v>
      </c>
      <c r="B4344" t="s">
        <v>8094</v>
      </c>
    </row>
    <row r="4345" spans="1:2" ht="112" hidden="1" customHeight="1" x14ac:dyDescent="0.25">
      <c r="A4345" t="s">
        <v>8057</v>
      </c>
      <c r="B4345" t="s">
        <v>8095</v>
      </c>
    </row>
    <row r="4346" spans="1:2" ht="112" hidden="1" customHeight="1" x14ac:dyDescent="0.25">
      <c r="A4346" t="s">
        <v>8058</v>
      </c>
      <c r="B4346" t="s">
        <v>8096</v>
      </c>
    </row>
    <row r="4347" spans="1:2" ht="112" hidden="1" customHeight="1" x14ac:dyDescent="0.25">
      <c r="A4347" t="s">
        <v>8020</v>
      </c>
      <c r="B4347" t="s">
        <v>8059</v>
      </c>
    </row>
    <row r="4348" spans="1:2" ht="112" hidden="1" customHeight="1" x14ac:dyDescent="0.25">
      <c r="A4348" t="s">
        <v>8021</v>
      </c>
      <c r="B4348" t="s">
        <v>8060</v>
      </c>
    </row>
    <row r="4349" spans="1:2" ht="112" hidden="1" customHeight="1" x14ac:dyDescent="0.25">
      <c r="A4349" t="s">
        <v>8022</v>
      </c>
      <c r="B4349" t="s">
        <v>8061</v>
      </c>
    </row>
    <row r="4350" spans="1:2" ht="112" hidden="1" customHeight="1" x14ac:dyDescent="0.25">
      <c r="A4350" t="s">
        <v>8023</v>
      </c>
      <c r="B4350" t="s">
        <v>8062</v>
      </c>
    </row>
    <row r="4351" spans="1:2" ht="112" hidden="1" customHeight="1" x14ac:dyDescent="0.25">
      <c r="A4351" t="s">
        <v>8024</v>
      </c>
      <c r="B4351" t="s">
        <v>8063</v>
      </c>
    </row>
    <row r="4352" spans="1:2" ht="112" hidden="1" customHeight="1" x14ac:dyDescent="0.25">
      <c r="A4352" t="s">
        <v>8025</v>
      </c>
      <c r="B4352" t="s">
        <v>8064</v>
      </c>
    </row>
    <row r="4353" spans="1:2" ht="112" hidden="1" customHeight="1" x14ac:dyDescent="0.25">
      <c r="A4353" t="s">
        <v>8097</v>
      </c>
      <c r="B4353" t="s">
        <v>8102</v>
      </c>
    </row>
    <row r="4354" spans="1:2" ht="112" hidden="1" customHeight="1" x14ac:dyDescent="0.25">
      <c r="A4354" t="s">
        <v>8098</v>
      </c>
      <c r="B4354" t="s">
        <v>8103</v>
      </c>
    </row>
    <row r="4355" spans="1:2" ht="112" hidden="1" customHeight="1" x14ac:dyDescent="0.25">
      <c r="A4355" t="s">
        <v>8099</v>
      </c>
      <c r="B4355" t="s">
        <v>8104</v>
      </c>
    </row>
    <row r="4356" spans="1:2" ht="112" hidden="1" customHeight="1" x14ac:dyDescent="0.25">
      <c r="A4356" t="s">
        <v>8100</v>
      </c>
      <c r="B4356" t="s">
        <v>8105</v>
      </c>
    </row>
    <row r="4357" spans="1:2" ht="112" hidden="1" customHeight="1" x14ac:dyDescent="0.25">
      <c r="A4357" t="s">
        <v>8101</v>
      </c>
      <c r="B4357" t="s">
        <v>8106</v>
      </c>
    </row>
    <row r="4358" spans="1:2" ht="112" hidden="1" customHeight="1" x14ac:dyDescent="0.25">
      <c r="A4358" t="s">
        <v>8107</v>
      </c>
      <c r="B4358" s="56" t="s">
        <v>8280</v>
      </c>
    </row>
    <row r="4359" spans="1:2" ht="112" hidden="1" customHeight="1" x14ac:dyDescent="0.25">
      <c r="A4359" t="s">
        <v>8108</v>
      </c>
      <c r="B4359" t="s">
        <v>8109</v>
      </c>
    </row>
    <row r="4360" spans="1:2" ht="112" hidden="1" customHeight="1" x14ac:dyDescent="0.25">
      <c r="A4360" t="s">
        <v>8110</v>
      </c>
      <c r="B4360" t="s">
        <v>8121</v>
      </c>
    </row>
    <row r="4361" spans="1:2" ht="112" hidden="1" customHeight="1" x14ac:dyDescent="0.25">
      <c r="A4361" t="s">
        <v>8111</v>
      </c>
      <c r="B4361" t="s">
        <v>8122</v>
      </c>
    </row>
    <row r="4362" spans="1:2" ht="112" hidden="1" customHeight="1" x14ac:dyDescent="0.25">
      <c r="A4362" t="s">
        <v>8112</v>
      </c>
      <c r="B4362" t="s">
        <v>8123</v>
      </c>
    </row>
    <row r="4363" spans="1:2" ht="112" hidden="1" customHeight="1" x14ac:dyDescent="0.25">
      <c r="A4363" t="s">
        <v>8113</v>
      </c>
      <c r="B4363" t="s">
        <v>8124</v>
      </c>
    </row>
    <row r="4364" spans="1:2" ht="112" hidden="1" customHeight="1" x14ac:dyDescent="0.25">
      <c r="A4364" t="s">
        <v>8114</v>
      </c>
      <c r="B4364" t="s">
        <v>8125</v>
      </c>
    </row>
    <row r="4365" spans="1:2" ht="112" hidden="1" customHeight="1" x14ac:dyDescent="0.25">
      <c r="A4365" t="s">
        <v>8115</v>
      </c>
      <c r="B4365" t="s">
        <v>8126</v>
      </c>
    </row>
    <row r="4366" spans="1:2" ht="112" hidden="1" customHeight="1" x14ac:dyDescent="0.25">
      <c r="A4366" t="s">
        <v>8116</v>
      </c>
      <c r="B4366" t="s">
        <v>8127</v>
      </c>
    </row>
    <row r="4367" spans="1:2" ht="112" hidden="1" customHeight="1" x14ac:dyDescent="0.25">
      <c r="A4367" t="s">
        <v>8117</v>
      </c>
      <c r="B4367" t="s">
        <v>8128</v>
      </c>
    </row>
    <row r="4368" spans="1:2" ht="112" hidden="1" customHeight="1" x14ac:dyDescent="0.25">
      <c r="A4368" t="s">
        <v>8118</v>
      </c>
      <c r="B4368" t="s">
        <v>8129</v>
      </c>
    </row>
    <row r="4369" spans="1:2" ht="112" hidden="1" customHeight="1" x14ac:dyDescent="0.25">
      <c r="A4369" t="s">
        <v>8119</v>
      </c>
      <c r="B4369" t="s">
        <v>8130</v>
      </c>
    </row>
    <row r="4370" spans="1:2" ht="112" hidden="1" customHeight="1" x14ac:dyDescent="0.25">
      <c r="A4370" t="s">
        <v>8120</v>
      </c>
      <c r="B4370" s="56" t="s">
        <v>8167</v>
      </c>
    </row>
    <row r="4371" spans="1:2" ht="112" hidden="1" customHeight="1" x14ac:dyDescent="0.25">
      <c r="A4371" t="s">
        <v>8131</v>
      </c>
      <c r="B4371" s="56" t="s">
        <v>8132</v>
      </c>
    </row>
    <row r="4372" spans="1:2" ht="112" hidden="1" customHeight="1" x14ac:dyDescent="0.25">
      <c r="A4372" t="s">
        <v>8133</v>
      </c>
      <c r="B4372" t="s">
        <v>8134</v>
      </c>
    </row>
    <row r="4373" spans="1:2" ht="112" hidden="1" customHeight="1" x14ac:dyDescent="0.25">
      <c r="A4373" t="s">
        <v>8135</v>
      </c>
      <c r="B4373" t="s">
        <v>8139</v>
      </c>
    </row>
    <row r="4374" spans="1:2" ht="112" hidden="1" customHeight="1" x14ac:dyDescent="0.25">
      <c r="A4374" t="s">
        <v>8136</v>
      </c>
      <c r="B4374" t="s">
        <v>8140</v>
      </c>
    </row>
    <row r="4375" spans="1:2" ht="112" hidden="1" customHeight="1" x14ac:dyDescent="0.25">
      <c r="A4375" t="s">
        <v>8137</v>
      </c>
      <c r="B4375" t="s">
        <v>8141</v>
      </c>
    </row>
    <row r="4376" spans="1:2" ht="112" hidden="1" customHeight="1" x14ac:dyDescent="0.25">
      <c r="A4376" t="s">
        <v>8138</v>
      </c>
      <c r="B4376" t="s">
        <v>8142</v>
      </c>
    </row>
    <row r="4377" spans="1:2" ht="112" hidden="1" customHeight="1" x14ac:dyDescent="0.25">
      <c r="A4377" t="s">
        <v>8143</v>
      </c>
      <c r="B4377" s="56" t="s">
        <v>8168</v>
      </c>
    </row>
    <row r="4378" spans="1:2" ht="112" hidden="1" customHeight="1" x14ac:dyDescent="0.25">
      <c r="A4378" t="s">
        <v>8144</v>
      </c>
      <c r="B4378" t="s">
        <v>8147</v>
      </c>
    </row>
    <row r="4379" spans="1:2" ht="112" hidden="1" customHeight="1" x14ac:dyDescent="0.25">
      <c r="A4379" t="s">
        <v>8145</v>
      </c>
      <c r="B4379" s="56" t="s">
        <v>8157</v>
      </c>
    </row>
    <row r="4380" spans="1:2" ht="112" hidden="1" customHeight="1" x14ac:dyDescent="0.25">
      <c r="A4380" t="s">
        <v>8146</v>
      </c>
      <c r="B4380" s="56" t="s">
        <v>8156</v>
      </c>
    </row>
    <row r="4381" spans="1:2" ht="112" hidden="1" customHeight="1" x14ac:dyDescent="0.25">
      <c r="A4381" t="s">
        <v>8149</v>
      </c>
      <c r="B4381" s="56" t="s">
        <v>8155</v>
      </c>
    </row>
    <row r="4382" spans="1:2" ht="112" hidden="1" customHeight="1" x14ac:dyDescent="0.25">
      <c r="A4382" t="s">
        <v>8150</v>
      </c>
      <c r="B4382" s="56" t="s">
        <v>11164</v>
      </c>
    </row>
    <row r="4383" spans="1:2" ht="112" hidden="1" customHeight="1" x14ac:dyDescent="0.25">
      <c r="A4383" t="s">
        <v>8151</v>
      </c>
      <c r="B4383" s="56" t="s">
        <v>10308</v>
      </c>
    </row>
    <row r="4384" spans="1:2" ht="112" hidden="1" customHeight="1" x14ac:dyDescent="0.25">
      <c r="A4384" t="s">
        <v>8152</v>
      </c>
      <c r="B4384" s="56" t="s">
        <v>8159</v>
      </c>
    </row>
    <row r="4385" spans="1:2" ht="112" hidden="1" customHeight="1" x14ac:dyDescent="0.25">
      <c r="A4385" t="s">
        <v>8153</v>
      </c>
      <c r="B4385" s="56" t="s">
        <v>8158</v>
      </c>
    </row>
    <row r="4386" spans="1:2" ht="112" hidden="1" customHeight="1" x14ac:dyDescent="0.25">
      <c r="A4386" t="s">
        <v>8154</v>
      </c>
      <c r="B4386" s="56" t="s">
        <v>10307</v>
      </c>
    </row>
    <row r="4387" spans="1:2" ht="112" hidden="1" customHeight="1" x14ac:dyDescent="0.25">
      <c r="A4387" t="s">
        <v>8160</v>
      </c>
      <c r="B4387" s="56" t="s">
        <v>8162</v>
      </c>
    </row>
    <row r="4388" spans="1:2" ht="112" hidden="1" customHeight="1" x14ac:dyDescent="0.25">
      <c r="A4388" t="s">
        <v>8163</v>
      </c>
      <c r="B4388" t="s">
        <v>8165</v>
      </c>
    </row>
    <row r="4389" spans="1:2" ht="112" hidden="1" customHeight="1" x14ac:dyDescent="0.25">
      <c r="A4389" t="s">
        <v>8164</v>
      </c>
      <c r="B4389" t="s">
        <v>8166</v>
      </c>
    </row>
    <row r="4390" spans="1:2" ht="112" hidden="1" customHeight="1" x14ac:dyDescent="0.25">
      <c r="A4390" t="s">
        <v>8170</v>
      </c>
      <c r="B4390" s="56" t="s">
        <v>8172</v>
      </c>
    </row>
    <row r="4391" spans="1:2" ht="112" hidden="1" customHeight="1" x14ac:dyDescent="0.25">
      <c r="A4391" t="s">
        <v>8171</v>
      </c>
      <c r="B4391" s="56" t="s">
        <v>8173</v>
      </c>
    </row>
    <row r="4392" spans="1:2" ht="112" hidden="1" customHeight="1" x14ac:dyDescent="0.25">
      <c r="A4392" t="s">
        <v>8174</v>
      </c>
      <c r="B4392" t="s">
        <v>8175</v>
      </c>
    </row>
    <row r="4393" spans="1:2" ht="112" hidden="1" customHeight="1" x14ac:dyDescent="0.25">
      <c r="A4393" t="s">
        <v>8176</v>
      </c>
      <c r="B4393" s="56" t="s">
        <v>8183</v>
      </c>
    </row>
    <row r="4394" spans="1:2" ht="112" hidden="1" customHeight="1" x14ac:dyDescent="0.25">
      <c r="A4394" t="s">
        <v>8177</v>
      </c>
      <c r="B4394" t="s">
        <v>8180</v>
      </c>
    </row>
    <row r="4395" spans="1:2" ht="112" hidden="1" customHeight="1" x14ac:dyDescent="0.25">
      <c r="A4395" t="s">
        <v>8178</v>
      </c>
      <c r="B4395" t="s">
        <v>8181</v>
      </c>
    </row>
    <row r="4396" spans="1:2" ht="112" hidden="1" customHeight="1" x14ac:dyDescent="0.25">
      <c r="A4396" t="s">
        <v>8179</v>
      </c>
      <c r="B4396" t="s">
        <v>8182</v>
      </c>
    </row>
    <row r="4397" spans="1:2" ht="112" hidden="1" customHeight="1" x14ac:dyDescent="0.25">
      <c r="A4397" t="s">
        <v>8184</v>
      </c>
      <c r="B4397" t="s">
        <v>8185</v>
      </c>
    </row>
    <row r="4398" spans="1:2" ht="112" hidden="1" customHeight="1" x14ac:dyDescent="0.25">
      <c r="A4398" t="s">
        <v>8186</v>
      </c>
      <c r="B4398" t="s">
        <v>8187</v>
      </c>
    </row>
    <row r="4399" spans="1:2" ht="112" hidden="1" customHeight="1" x14ac:dyDescent="0.25">
      <c r="A4399" t="s">
        <v>8188</v>
      </c>
      <c r="B4399" s="56" t="s">
        <v>8189</v>
      </c>
    </row>
    <row r="4400" spans="1:2" ht="112" hidden="1" customHeight="1" x14ac:dyDescent="0.25">
      <c r="A4400" t="s">
        <v>8190</v>
      </c>
      <c r="B4400" t="s">
        <v>8191</v>
      </c>
    </row>
    <row r="4401" spans="1:2" ht="112" hidden="1" customHeight="1" x14ac:dyDescent="0.25">
      <c r="A4401" t="s">
        <v>8192</v>
      </c>
      <c r="B4401" t="s">
        <v>8198</v>
      </c>
    </row>
    <row r="4402" spans="1:2" ht="112" hidden="1" customHeight="1" x14ac:dyDescent="0.25">
      <c r="A4402" t="s">
        <v>8193</v>
      </c>
      <c r="B4402" t="s">
        <v>8199</v>
      </c>
    </row>
    <row r="4403" spans="1:2" ht="112" hidden="1" customHeight="1" x14ac:dyDescent="0.25">
      <c r="A4403" t="s">
        <v>8194</v>
      </c>
      <c r="B4403" t="s">
        <v>8200</v>
      </c>
    </row>
    <row r="4404" spans="1:2" ht="112" hidden="1" customHeight="1" x14ac:dyDescent="0.25">
      <c r="A4404" t="s">
        <v>8195</v>
      </c>
      <c r="B4404" t="s">
        <v>8201</v>
      </c>
    </row>
    <row r="4405" spans="1:2" ht="112" hidden="1" customHeight="1" x14ac:dyDescent="0.25">
      <c r="A4405" t="s">
        <v>8196</v>
      </c>
      <c r="B4405" t="s">
        <v>8202</v>
      </c>
    </row>
    <row r="4406" spans="1:2" ht="112" hidden="1" customHeight="1" x14ac:dyDescent="0.25">
      <c r="A4406" t="s">
        <v>8197</v>
      </c>
      <c r="B4406" t="s">
        <v>8203</v>
      </c>
    </row>
    <row r="4407" spans="1:2" ht="112" hidden="1" customHeight="1" x14ac:dyDescent="0.25">
      <c r="A4407" t="s">
        <v>8204</v>
      </c>
      <c r="B4407" t="s">
        <v>8209</v>
      </c>
    </row>
    <row r="4408" spans="1:2" ht="112" hidden="1" customHeight="1" x14ac:dyDescent="0.25">
      <c r="A4408" t="s">
        <v>8205</v>
      </c>
      <c r="B4408" t="s">
        <v>8210</v>
      </c>
    </row>
    <row r="4409" spans="1:2" ht="112" hidden="1" customHeight="1" x14ac:dyDescent="0.25">
      <c r="A4409" t="s">
        <v>8206</v>
      </c>
      <c r="B4409" t="s">
        <v>8211</v>
      </c>
    </row>
    <row r="4410" spans="1:2" ht="112" hidden="1" customHeight="1" x14ac:dyDescent="0.25">
      <c r="A4410" t="s">
        <v>8207</v>
      </c>
      <c r="B4410" t="s">
        <v>8212</v>
      </c>
    </row>
    <row r="4411" spans="1:2" ht="112" hidden="1" customHeight="1" x14ac:dyDescent="0.25">
      <c r="A4411" t="s">
        <v>8208</v>
      </c>
      <c r="B4411" t="s">
        <v>8213</v>
      </c>
    </row>
    <row r="4412" spans="1:2" ht="112" hidden="1" customHeight="1" x14ac:dyDescent="0.25">
      <c r="A4412" t="s">
        <v>8214</v>
      </c>
      <c r="B4412" t="s">
        <v>8216</v>
      </c>
    </row>
    <row r="4413" spans="1:2" ht="112" hidden="1" customHeight="1" x14ac:dyDescent="0.25">
      <c r="A4413" t="s">
        <v>8215</v>
      </c>
      <c r="B4413" t="s">
        <v>8217</v>
      </c>
    </row>
    <row r="4414" spans="1:2" ht="112" hidden="1" customHeight="1" x14ac:dyDescent="0.25">
      <c r="A4414" t="s">
        <v>8218</v>
      </c>
      <c r="B4414" t="s">
        <v>8228</v>
      </c>
    </row>
    <row r="4415" spans="1:2" ht="112" hidden="1" customHeight="1" x14ac:dyDescent="0.25">
      <c r="A4415" t="s">
        <v>8219</v>
      </c>
      <c r="B4415" t="s">
        <v>8229</v>
      </c>
    </row>
    <row r="4416" spans="1:2" ht="112" hidden="1" customHeight="1" x14ac:dyDescent="0.25">
      <c r="A4416" t="s">
        <v>8220</v>
      </c>
      <c r="B4416" t="s">
        <v>8230</v>
      </c>
    </row>
    <row r="4417" spans="1:2" ht="112" hidden="1" customHeight="1" x14ac:dyDescent="0.25">
      <c r="A4417" t="s">
        <v>8221</v>
      </c>
      <c r="B4417" t="s">
        <v>8231</v>
      </c>
    </row>
    <row r="4418" spans="1:2" ht="112" hidden="1" customHeight="1" x14ac:dyDescent="0.25">
      <c r="A4418" t="s">
        <v>8222</v>
      </c>
      <c r="B4418" t="s">
        <v>8232</v>
      </c>
    </row>
    <row r="4419" spans="1:2" ht="112" hidden="1" customHeight="1" x14ac:dyDescent="0.25">
      <c r="A4419" t="s">
        <v>8223</v>
      </c>
      <c r="B4419" t="s">
        <v>8233</v>
      </c>
    </row>
    <row r="4420" spans="1:2" ht="112" hidden="1" customHeight="1" x14ac:dyDescent="0.25">
      <c r="A4420" t="s">
        <v>8224</v>
      </c>
      <c r="B4420" t="s">
        <v>8234</v>
      </c>
    </row>
    <row r="4421" spans="1:2" ht="112" hidden="1" customHeight="1" x14ac:dyDescent="0.25">
      <c r="A4421" t="s">
        <v>8225</v>
      </c>
      <c r="B4421" t="s">
        <v>8235</v>
      </c>
    </row>
    <row r="4422" spans="1:2" ht="112" hidden="1" customHeight="1" x14ac:dyDescent="0.25">
      <c r="A4422" t="s">
        <v>8226</v>
      </c>
      <c r="B4422" t="s">
        <v>8236</v>
      </c>
    </row>
    <row r="4423" spans="1:2" ht="112" hidden="1" customHeight="1" x14ac:dyDescent="0.25">
      <c r="A4423" t="s">
        <v>8227</v>
      </c>
      <c r="B4423" t="s">
        <v>8237</v>
      </c>
    </row>
    <row r="4424" spans="1:2" ht="112" hidden="1" customHeight="1" x14ac:dyDescent="0.25">
      <c r="A4424" t="s">
        <v>8238</v>
      </c>
      <c r="B4424" s="56" t="s">
        <v>8239</v>
      </c>
    </row>
    <row r="4425" spans="1:2" ht="112" hidden="1" customHeight="1" x14ac:dyDescent="0.25">
      <c r="A4425" t="s">
        <v>8240</v>
      </c>
      <c r="B4425" s="56" t="s">
        <v>8242</v>
      </c>
    </row>
    <row r="4426" spans="1:2" ht="112" hidden="1" customHeight="1" x14ac:dyDescent="0.25">
      <c r="A4426" t="s">
        <v>8241</v>
      </c>
      <c r="B4426" s="56" t="s">
        <v>8243</v>
      </c>
    </row>
    <row r="4427" spans="1:2" ht="112" hidden="1" customHeight="1" x14ac:dyDescent="0.25">
      <c r="A4427" t="s">
        <v>8244</v>
      </c>
      <c r="B4427" t="s">
        <v>8247</v>
      </c>
    </row>
    <row r="4428" spans="1:2" ht="112" hidden="1" customHeight="1" x14ac:dyDescent="0.25">
      <c r="A4428" t="s">
        <v>8245</v>
      </c>
      <c r="B4428" t="s">
        <v>8248</v>
      </c>
    </row>
    <row r="4429" spans="1:2" ht="112" hidden="1" customHeight="1" x14ac:dyDescent="0.25">
      <c r="A4429" t="s">
        <v>8246</v>
      </c>
      <c r="B4429" t="s">
        <v>8249</v>
      </c>
    </row>
    <row r="4430" spans="1:2" ht="112" hidden="1" customHeight="1" x14ac:dyDescent="0.25">
      <c r="A4430" t="s">
        <v>8251</v>
      </c>
      <c r="B4430" s="56" t="s">
        <v>8257</v>
      </c>
    </row>
    <row r="4431" spans="1:2" ht="112" hidden="1" customHeight="1" x14ac:dyDescent="0.25">
      <c r="A4431" t="s">
        <v>8252</v>
      </c>
      <c r="B4431" s="56" t="s">
        <v>8258</v>
      </c>
    </row>
    <row r="4432" spans="1:2" ht="112" hidden="1" customHeight="1" x14ac:dyDescent="0.25">
      <c r="A4432" t="s">
        <v>8253</v>
      </c>
      <c r="B4432" s="56" t="s">
        <v>8259</v>
      </c>
    </row>
    <row r="4433" spans="1:2" ht="112" hidden="1" customHeight="1" x14ac:dyDescent="0.25">
      <c r="A4433" t="s">
        <v>8260</v>
      </c>
      <c r="B4433" s="56" t="s">
        <v>8264</v>
      </c>
    </row>
    <row r="4434" spans="1:2" ht="112" hidden="1" customHeight="1" x14ac:dyDescent="0.25">
      <c r="A4434" t="s">
        <v>8261</v>
      </c>
      <c r="B4434" s="56" t="s">
        <v>8279</v>
      </c>
    </row>
    <row r="4435" spans="1:2" ht="112" hidden="1" customHeight="1" x14ac:dyDescent="0.25">
      <c r="A4435" t="s">
        <v>8262</v>
      </c>
      <c r="B4435" s="56" t="s">
        <v>8281</v>
      </c>
    </row>
    <row r="4436" spans="1:2" ht="112" hidden="1" customHeight="1" x14ac:dyDescent="0.25">
      <c r="A4436" t="s">
        <v>8263</v>
      </c>
      <c r="B4436" s="56" t="s">
        <v>8265</v>
      </c>
    </row>
    <row r="4437" spans="1:2" ht="112" hidden="1" customHeight="1" x14ac:dyDescent="0.25">
      <c r="A4437" t="s">
        <v>8266</v>
      </c>
      <c r="B4437" s="56" t="s">
        <v>8271</v>
      </c>
    </row>
    <row r="4438" spans="1:2" ht="112" hidden="1" customHeight="1" x14ac:dyDescent="0.25">
      <c r="A4438" t="s">
        <v>8267</v>
      </c>
      <c r="B4438" t="s">
        <v>8269</v>
      </c>
    </row>
    <row r="4439" spans="1:2" ht="112" hidden="1" customHeight="1" x14ac:dyDescent="0.25">
      <c r="A4439" t="s">
        <v>8268</v>
      </c>
      <c r="B4439" t="s">
        <v>8270</v>
      </c>
    </row>
    <row r="4440" spans="1:2" ht="112" hidden="1" customHeight="1" x14ac:dyDescent="0.25">
      <c r="A4440" t="s">
        <v>8251</v>
      </c>
      <c r="B4440" t="s">
        <v>8254</v>
      </c>
    </row>
    <row r="4441" spans="1:2" ht="112" hidden="1" customHeight="1" x14ac:dyDescent="0.25">
      <c r="A4441" t="s">
        <v>8252</v>
      </c>
      <c r="B4441" t="s">
        <v>8255</v>
      </c>
    </row>
    <row r="4442" spans="1:2" ht="112" hidden="1" customHeight="1" x14ac:dyDescent="0.25">
      <c r="A4442" t="s">
        <v>8253</v>
      </c>
      <c r="B4442" t="s">
        <v>8256</v>
      </c>
    </row>
    <row r="4443" spans="1:2" ht="112" hidden="1" customHeight="1" x14ac:dyDescent="0.25">
      <c r="A4443" t="s">
        <v>8272</v>
      </c>
      <c r="B4443" t="s">
        <v>8276</v>
      </c>
    </row>
    <row r="4444" spans="1:2" ht="112" hidden="1" customHeight="1" x14ac:dyDescent="0.25">
      <c r="A4444" t="s">
        <v>8273</v>
      </c>
      <c r="B4444" t="s">
        <v>8277</v>
      </c>
    </row>
    <row r="4445" spans="1:2" ht="112" hidden="1" customHeight="1" x14ac:dyDescent="0.25">
      <c r="A4445" t="s">
        <v>8282</v>
      </c>
      <c r="B4445" s="56" t="s">
        <v>8283</v>
      </c>
    </row>
    <row r="4446" spans="1:2" ht="112" hidden="1" customHeight="1" x14ac:dyDescent="0.25">
      <c r="A4446" t="s">
        <v>8275</v>
      </c>
      <c r="B4446" t="s">
        <v>8278</v>
      </c>
    </row>
    <row r="4447" spans="1:2" ht="112" hidden="1" customHeight="1" x14ac:dyDescent="0.25">
      <c r="A4447" t="s">
        <v>8274</v>
      </c>
      <c r="B4447" t="s">
        <v>8284</v>
      </c>
    </row>
    <row r="4448" spans="1:2" ht="112" hidden="1" customHeight="1" x14ac:dyDescent="0.25">
      <c r="A4448" t="s">
        <v>8285</v>
      </c>
      <c r="B4448" t="s">
        <v>8289</v>
      </c>
    </row>
    <row r="4449" spans="1:2" ht="112" hidden="1" customHeight="1" x14ac:dyDescent="0.25">
      <c r="A4449" t="s">
        <v>8286</v>
      </c>
      <c r="B4449" t="s">
        <v>8290</v>
      </c>
    </row>
    <row r="4450" spans="1:2" ht="112" hidden="1" customHeight="1" x14ac:dyDescent="0.25">
      <c r="A4450" t="s">
        <v>8287</v>
      </c>
      <c r="B4450" t="s">
        <v>8291</v>
      </c>
    </row>
    <row r="4451" spans="1:2" ht="112" hidden="1" customHeight="1" x14ac:dyDescent="0.25">
      <c r="A4451" t="s">
        <v>8288</v>
      </c>
      <c r="B4451" t="s">
        <v>8292</v>
      </c>
    </row>
    <row r="4452" spans="1:2" ht="112" hidden="1" customHeight="1" x14ac:dyDescent="0.25">
      <c r="A4452" t="s">
        <v>8293</v>
      </c>
      <c r="B4452" s="56" t="s">
        <v>8294</v>
      </c>
    </row>
    <row r="4453" spans="1:2" ht="112" hidden="1" customHeight="1" x14ac:dyDescent="0.25">
      <c r="A4453" t="s">
        <v>8295</v>
      </c>
      <c r="B4453" t="s">
        <v>8296</v>
      </c>
    </row>
    <row r="4454" spans="1:2" ht="112" hidden="1" customHeight="1" x14ac:dyDescent="0.25">
      <c r="A4454" t="s">
        <v>8297</v>
      </c>
      <c r="B4454" t="s">
        <v>8304</v>
      </c>
    </row>
    <row r="4455" spans="1:2" ht="112" hidden="1" customHeight="1" x14ac:dyDescent="0.25">
      <c r="A4455" t="s">
        <v>8298</v>
      </c>
      <c r="B4455" t="s">
        <v>8305</v>
      </c>
    </row>
    <row r="4456" spans="1:2" ht="112" hidden="1" customHeight="1" x14ac:dyDescent="0.25">
      <c r="A4456" t="s">
        <v>8299</v>
      </c>
      <c r="B4456" t="s">
        <v>8306</v>
      </c>
    </row>
    <row r="4457" spans="1:2" ht="112" hidden="1" customHeight="1" x14ac:dyDescent="0.25">
      <c r="A4457" t="s">
        <v>8300</v>
      </c>
      <c r="B4457" t="s">
        <v>8307</v>
      </c>
    </row>
    <row r="4458" spans="1:2" ht="112" hidden="1" customHeight="1" x14ac:dyDescent="0.25">
      <c r="A4458" t="s">
        <v>8301</v>
      </c>
      <c r="B4458" t="s">
        <v>8308</v>
      </c>
    </row>
    <row r="4459" spans="1:2" ht="112" hidden="1" customHeight="1" x14ac:dyDescent="0.25">
      <c r="A4459" t="s">
        <v>8302</v>
      </c>
      <c r="B4459" t="s">
        <v>8309</v>
      </c>
    </row>
    <row r="4460" spans="1:2" ht="112" hidden="1" customHeight="1" x14ac:dyDescent="0.25">
      <c r="A4460" t="s">
        <v>8303</v>
      </c>
      <c r="B4460" t="s">
        <v>8310</v>
      </c>
    </row>
    <row r="4461" spans="1:2" ht="112" hidden="1" customHeight="1" x14ac:dyDescent="0.25">
      <c r="A4461" t="s">
        <v>8311</v>
      </c>
      <c r="B4461" s="56" t="s">
        <v>8312</v>
      </c>
    </row>
    <row r="4462" spans="1:2" ht="112" hidden="1" customHeight="1" x14ac:dyDescent="0.25">
      <c r="A4462" t="s">
        <v>8313</v>
      </c>
      <c r="B4462" t="s">
        <v>8315</v>
      </c>
    </row>
    <row r="4463" spans="1:2" ht="112" hidden="1" customHeight="1" x14ac:dyDescent="0.25">
      <c r="A4463" t="s">
        <v>8314</v>
      </c>
      <c r="B4463" t="s">
        <v>8316</v>
      </c>
    </row>
    <row r="4464" spans="1:2" ht="112" hidden="1" customHeight="1" x14ac:dyDescent="0.25">
      <c r="A4464" t="s">
        <v>8317</v>
      </c>
      <c r="B4464" t="s">
        <v>8318</v>
      </c>
    </row>
    <row r="4465" spans="1:2" ht="112" hidden="1" customHeight="1" x14ac:dyDescent="0.25">
      <c r="A4465" t="s">
        <v>8319</v>
      </c>
      <c r="B4465" t="s">
        <v>8332</v>
      </c>
    </row>
    <row r="4466" spans="1:2" ht="112" hidden="1" customHeight="1" x14ac:dyDescent="0.25">
      <c r="A4466" t="s">
        <v>8320</v>
      </c>
      <c r="B4466" t="s">
        <v>8333</v>
      </c>
    </row>
    <row r="4467" spans="1:2" ht="112" hidden="1" customHeight="1" x14ac:dyDescent="0.25">
      <c r="A4467" t="s">
        <v>8321</v>
      </c>
      <c r="B4467" t="s">
        <v>8334</v>
      </c>
    </row>
    <row r="4468" spans="1:2" ht="112" hidden="1" customHeight="1" x14ac:dyDescent="0.25">
      <c r="A4468" t="s">
        <v>8322</v>
      </c>
      <c r="B4468" t="s">
        <v>8335</v>
      </c>
    </row>
    <row r="4469" spans="1:2" ht="112" hidden="1" customHeight="1" x14ac:dyDescent="0.25">
      <c r="A4469" t="s">
        <v>8323</v>
      </c>
      <c r="B4469" t="s">
        <v>8336</v>
      </c>
    </row>
    <row r="4470" spans="1:2" ht="112" hidden="1" customHeight="1" x14ac:dyDescent="0.25">
      <c r="A4470" t="s">
        <v>8324</v>
      </c>
      <c r="B4470" t="s">
        <v>8337</v>
      </c>
    </row>
    <row r="4471" spans="1:2" ht="112" hidden="1" customHeight="1" x14ac:dyDescent="0.25">
      <c r="A4471" t="s">
        <v>8325</v>
      </c>
      <c r="B4471" t="s">
        <v>8338</v>
      </c>
    </row>
    <row r="4472" spans="1:2" ht="112" hidden="1" customHeight="1" x14ac:dyDescent="0.25">
      <c r="A4472" t="s">
        <v>8326</v>
      </c>
      <c r="B4472" s="56" t="s">
        <v>8339</v>
      </c>
    </row>
    <row r="4473" spans="1:2" ht="112" hidden="1" customHeight="1" x14ac:dyDescent="0.25">
      <c r="A4473" t="s">
        <v>8327</v>
      </c>
      <c r="B4473" s="56" t="s">
        <v>8340</v>
      </c>
    </row>
    <row r="4474" spans="1:2" ht="112" hidden="1" customHeight="1" x14ac:dyDescent="0.25">
      <c r="A4474" t="s">
        <v>8328</v>
      </c>
      <c r="B4474" s="56" t="s">
        <v>8341</v>
      </c>
    </row>
    <row r="4475" spans="1:2" ht="112" hidden="1" customHeight="1" x14ac:dyDescent="0.25">
      <c r="A4475" t="s">
        <v>8329</v>
      </c>
      <c r="B4475" s="56" t="s">
        <v>8342</v>
      </c>
    </row>
    <row r="4476" spans="1:2" ht="112" hidden="1" customHeight="1" x14ac:dyDescent="0.25">
      <c r="A4476" t="s">
        <v>8330</v>
      </c>
      <c r="B4476" s="56" t="s">
        <v>8343</v>
      </c>
    </row>
    <row r="4477" spans="1:2" ht="112" hidden="1" customHeight="1" x14ac:dyDescent="0.25">
      <c r="A4477" t="s">
        <v>8331</v>
      </c>
      <c r="B4477" s="56" t="s">
        <v>8344</v>
      </c>
    </row>
    <row r="4478" spans="1:2" ht="112" hidden="1" customHeight="1" x14ac:dyDescent="0.25">
      <c r="A4478" t="s">
        <v>8345</v>
      </c>
      <c r="B4478" s="56" t="s">
        <v>8702</v>
      </c>
    </row>
    <row r="4479" spans="1:2" ht="112" hidden="1" customHeight="1" x14ac:dyDescent="0.25">
      <c r="A4479" t="s">
        <v>8346</v>
      </c>
      <c r="B4479" s="56" t="s">
        <v>8347</v>
      </c>
    </row>
    <row r="4480" spans="1:2" ht="112" hidden="1" customHeight="1" x14ac:dyDescent="0.25">
      <c r="A4480" t="s">
        <v>8348</v>
      </c>
      <c r="B4480" s="56" t="s">
        <v>8351</v>
      </c>
    </row>
    <row r="4481" spans="1:2" ht="112" hidden="1" customHeight="1" x14ac:dyDescent="0.25">
      <c r="A4481" t="s">
        <v>8349</v>
      </c>
      <c r="B4481" s="56" t="s">
        <v>8352</v>
      </c>
    </row>
    <row r="4482" spans="1:2" ht="112" hidden="1" customHeight="1" x14ac:dyDescent="0.25">
      <c r="A4482" t="s">
        <v>8350</v>
      </c>
      <c r="B4482" s="56" t="s">
        <v>8353</v>
      </c>
    </row>
    <row r="4483" spans="1:2" ht="112" hidden="1" customHeight="1" x14ac:dyDescent="0.25">
      <c r="A4483" t="s">
        <v>8354</v>
      </c>
      <c r="B4483" t="s">
        <v>8357</v>
      </c>
    </row>
    <row r="4484" spans="1:2" ht="112" hidden="1" customHeight="1" x14ac:dyDescent="0.25">
      <c r="A4484" t="s">
        <v>8355</v>
      </c>
      <c r="B4484" t="s">
        <v>8358</v>
      </c>
    </row>
    <row r="4485" spans="1:2" ht="112" hidden="1" customHeight="1" x14ac:dyDescent="0.25">
      <c r="A4485" t="s">
        <v>8356</v>
      </c>
      <c r="B4485" t="s">
        <v>8359</v>
      </c>
    </row>
    <row r="4486" spans="1:2" ht="112" hidden="1" customHeight="1" x14ac:dyDescent="0.25">
      <c r="A4486" t="s">
        <v>8360</v>
      </c>
      <c r="B4486" t="s">
        <v>8373</v>
      </c>
    </row>
    <row r="4487" spans="1:2" ht="112" hidden="1" customHeight="1" x14ac:dyDescent="0.25">
      <c r="A4487" t="s">
        <v>8361</v>
      </c>
      <c r="B4487" t="s">
        <v>8374</v>
      </c>
    </row>
    <row r="4488" spans="1:2" ht="112" hidden="1" customHeight="1" x14ac:dyDescent="0.25">
      <c r="A4488" t="s">
        <v>8362</v>
      </c>
      <c r="B4488" t="s">
        <v>8375</v>
      </c>
    </row>
    <row r="4489" spans="1:2" ht="112" hidden="1" customHeight="1" x14ac:dyDescent="0.25">
      <c r="A4489" t="s">
        <v>8363</v>
      </c>
      <c r="B4489" t="s">
        <v>8376</v>
      </c>
    </row>
    <row r="4490" spans="1:2" ht="112" hidden="1" customHeight="1" x14ac:dyDescent="0.25">
      <c r="A4490" t="s">
        <v>8364</v>
      </c>
      <c r="B4490" t="s">
        <v>8377</v>
      </c>
    </row>
    <row r="4491" spans="1:2" ht="112" hidden="1" customHeight="1" x14ac:dyDescent="0.25">
      <c r="A4491" t="s">
        <v>8365</v>
      </c>
      <c r="B4491" t="s">
        <v>8378</v>
      </c>
    </row>
    <row r="4492" spans="1:2" ht="112" hidden="1" customHeight="1" x14ac:dyDescent="0.25">
      <c r="A4492" t="s">
        <v>8366</v>
      </c>
      <c r="B4492" s="56" t="s">
        <v>9345</v>
      </c>
    </row>
    <row r="4493" spans="1:2" ht="112" hidden="1" customHeight="1" x14ac:dyDescent="0.25">
      <c r="A4493" t="s">
        <v>8367</v>
      </c>
      <c r="B4493" t="s">
        <v>8379</v>
      </c>
    </row>
    <row r="4494" spans="1:2" ht="112" hidden="1" customHeight="1" x14ac:dyDescent="0.25">
      <c r="A4494" t="s">
        <v>8368</v>
      </c>
      <c r="B4494" t="s">
        <v>8380</v>
      </c>
    </row>
    <row r="4495" spans="1:2" ht="112" hidden="1" customHeight="1" x14ac:dyDescent="0.25">
      <c r="A4495" t="s">
        <v>8369</v>
      </c>
      <c r="B4495" t="s">
        <v>8381</v>
      </c>
    </row>
    <row r="4496" spans="1:2" ht="112" hidden="1" customHeight="1" x14ac:dyDescent="0.25">
      <c r="A4496" t="s">
        <v>8370</v>
      </c>
      <c r="B4496" t="s">
        <v>8382</v>
      </c>
    </row>
    <row r="4497" spans="1:2" ht="112" hidden="1" customHeight="1" x14ac:dyDescent="0.25">
      <c r="A4497" t="s">
        <v>8371</v>
      </c>
      <c r="B4497" t="s">
        <v>8383</v>
      </c>
    </row>
    <row r="4498" spans="1:2" ht="112" hidden="1" customHeight="1" x14ac:dyDescent="0.25">
      <c r="A4498" t="s">
        <v>8372</v>
      </c>
      <c r="B4498" t="s">
        <v>8384</v>
      </c>
    </row>
    <row r="4499" spans="1:2" ht="112" hidden="1" customHeight="1" x14ac:dyDescent="0.25">
      <c r="A4499" t="s">
        <v>8385</v>
      </c>
      <c r="B4499" t="s">
        <v>8387</v>
      </c>
    </row>
    <row r="4500" spans="1:2" ht="112" hidden="1" customHeight="1" x14ac:dyDescent="0.25">
      <c r="A4500" t="s">
        <v>8386</v>
      </c>
      <c r="B4500" t="s">
        <v>8388</v>
      </c>
    </row>
    <row r="4501" spans="1:2" ht="112" hidden="1" customHeight="1" x14ac:dyDescent="0.25">
      <c r="A4501" t="s">
        <v>8389</v>
      </c>
      <c r="B4501" s="56" t="s">
        <v>8392</v>
      </c>
    </row>
    <row r="4502" spans="1:2" ht="112" hidden="1" customHeight="1" x14ac:dyDescent="0.25">
      <c r="A4502" t="s">
        <v>8390</v>
      </c>
      <c r="B4502" t="s">
        <v>8391</v>
      </c>
    </row>
    <row r="4503" spans="1:2" ht="112" hidden="1" customHeight="1" x14ac:dyDescent="0.25">
      <c r="A4503" t="s">
        <v>8393</v>
      </c>
      <c r="B4503" s="56" t="s">
        <v>8394</v>
      </c>
    </row>
    <row r="4504" spans="1:2" ht="112" hidden="1" customHeight="1" x14ac:dyDescent="0.25">
      <c r="A4504" t="s">
        <v>8395</v>
      </c>
      <c r="B4504" t="s">
        <v>8397</v>
      </c>
    </row>
    <row r="4505" spans="1:2" ht="112" hidden="1" customHeight="1" x14ac:dyDescent="0.25">
      <c r="A4505" t="s">
        <v>8396</v>
      </c>
      <c r="B4505" t="s">
        <v>8398</v>
      </c>
    </row>
    <row r="4506" spans="1:2" ht="112" hidden="1" customHeight="1" x14ac:dyDescent="0.25">
      <c r="A4506" t="s">
        <v>8399</v>
      </c>
      <c r="B4506" t="s">
        <v>8402</v>
      </c>
    </row>
    <row r="4507" spans="1:2" ht="112" hidden="1" customHeight="1" x14ac:dyDescent="0.25">
      <c r="A4507" t="s">
        <v>8400</v>
      </c>
      <c r="B4507" t="s">
        <v>8403</v>
      </c>
    </row>
    <row r="4508" spans="1:2" ht="112" hidden="1" customHeight="1" x14ac:dyDescent="0.25">
      <c r="A4508" t="s">
        <v>8401</v>
      </c>
      <c r="B4508" t="s">
        <v>8404</v>
      </c>
    </row>
    <row r="4509" spans="1:2" ht="112" hidden="1" customHeight="1" x14ac:dyDescent="0.25">
      <c r="A4509" t="s">
        <v>8405</v>
      </c>
      <c r="B4509" t="s">
        <v>8410</v>
      </c>
    </row>
    <row r="4510" spans="1:2" ht="112" hidden="1" customHeight="1" x14ac:dyDescent="0.25">
      <c r="A4510" t="s">
        <v>8406</v>
      </c>
      <c r="B4510" t="s">
        <v>8411</v>
      </c>
    </row>
    <row r="4511" spans="1:2" ht="112" hidden="1" customHeight="1" x14ac:dyDescent="0.25">
      <c r="A4511" t="s">
        <v>8407</v>
      </c>
      <c r="B4511" t="s">
        <v>8412</v>
      </c>
    </row>
    <row r="4512" spans="1:2" ht="112" hidden="1" customHeight="1" x14ac:dyDescent="0.25">
      <c r="A4512" t="s">
        <v>8408</v>
      </c>
      <c r="B4512" t="s">
        <v>8413</v>
      </c>
    </row>
    <row r="4513" spans="1:2" ht="112" hidden="1" customHeight="1" x14ac:dyDescent="0.25">
      <c r="A4513" t="s">
        <v>8409</v>
      </c>
      <c r="B4513" t="s">
        <v>8414</v>
      </c>
    </row>
    <row r="4514" spans="1:2" ht="112" hidden="1" customHeight="1" x14ac:dyDescent="0.25">
      <c r="A4514" t="s">
        <v>8415</v>
      </c>
      <c r="B4514" t="s">
        <v>8416</v>
      </c>
    </row>
    <row r="4515" spans="1:2" ht="112" hidden="1" customHeight="1" x14ac:dyDescent="0.25">
      <c r="A4515" t="s">
        <v>8417</v>
      </c>
      <c r="B4515" s="56" t="s">
        <v>8420</v>
      </c>
    </row>
    <row r="4516" spans="1:2" ht="112" hidden="1" customHeight="1" x14ac:dyDescent="0.25">
      <c r="A4516" t="s">
        <v>8418</v>
      </c>
      <c r="B4516" s="56" t="s">
        <v>8421</v>
      </c>
    </row>
    <row r="4517" spans="1:2" ht="112" hidden="1" customHeight="1" x14ac:dyDescent="0.25">
      <c r="A4517" t="s">
        <v>8419</v>
      </c>
      <c r="B4517" s="56" t="s">
        <v>8422</v>
      </c>
    </row>
    <row r="4518" spans="1:2" ht="112" hidden="1" customHeight="1" x14ac:dyDescent="0.25">
      <c r="A4518" t="s">
        <v>8423</v>
      </c>
      <c r="B4518" s="56" t="s">
        <v>8424</v>
      </c>
    </row>
    <row r="4519" spans="1:2" ht="112" hidden="1" customHeight="1" x14ac:dyDescent="0.25">
      <c r="A4519" t="s">
        <v>8425</v>
      </c>
      <c r="B4519" s="56" t="s">
        <v>8432</v>
      </c>
    </row>
    <row r="4520" spans="1:2" ht="112" hidden="1" customHeight="1" x14ac:dyDescent="0.25">
      <c r="A4520" t="s">
        <v>8426</v>
      </c>
      <c r="B4520" s="56" t="s">
        <v>8433</v>
      </c>
    </row>
    <row r="4521" spans="1:2" ht="112" hidden="1" customHeight="1" x14ac:dyDescent="0.25">
      <c r="A4521" t="s">
        <v>8427</v>
      </c>
      <c r="B4521" s="56" t="s">
        <v>8434</v>
      </c>
    </row>
    <row r="4522" spans="1:2" ht="112" hidden="1" customHeight="1" x14ac:dyDescent="0.25">
      <c r="A4522" t="s">
        <v>8428</v>
      </c>
      <c r="B4522" s="56" t="s">
        <v>8435</v>
      </c>
    </row>
    <row r="4523" spans="1:2" ht="112" hidden="1" customHeight="1" x14ac:dyDescent="0.25">
      <c r="A4523" t="s">
        <v>8429</v>
      </c>
      <c r="B4523" s="56" t="s">
        <v>8436</v>
      </c>
    </row>
    <row r="4524" spans="1:2" ht="112" hidden="1" customHeight="1" x14ac:dyDescent="0.25">
      <c r="A4524" t="s">
        <v>8430</v>
      </c>
      <c r="B4524" t="s">
        <v>8431</v>
      </c>
    </row>
    <row r="4525" spans="1:2" ht="112" hidden="1" customHeight="1" x14ac:dyDescent="0.25">
      <c r="A4525" t="s">
        <v>8437</v>
      </c>
      <c r="B4525" t="s">
        <v>8439</v>
      </c>
    </row>
    <row r="4526" spans="1:2" ht="112" hidden="1" customHeight="1" x14ac:dyDescent="0.25">
      <c r="A4526" t="s">
        <v>8438</v>
      </c>
      <c r="B4526" t="s">
        <v>8440</v>
      </c>
    </row>
    <row r="4527" spans="1:2" ht="112" hidden="1" customHeight="1" x14ac:dyDescent="0.25">
      <c r="A4527" t="s">
        <v>8441</v>
      </c>
      <c r="B4527" t="s">
        <v>8442</v>
      </c>
    </row>
    <row r="4528" spans="1:2" ht="112" hidden="1" customHeight="1" x14ac:dyDescent="0.25">
      <c r="A4528" t="s">
        <v>8443</v>
      </c>
      <c r="B4528" t="s">
        <v>8450</v>
      </c>
    </row>
    <row r="4529" spans="1:2" ht="112" hidden="1" customHeight="1" x14ac:dyDescent="0.25">
      <c r="A4529" t="s">
        <v>8444</v>
      </c>
      <c r="B4529" t="s">
        <v>8451</v>
      </c>
    </row>
    <row r="4530" spans="1:2" ht="112" hidden="1" customHeight="1" x14ac:dyDescent="0.25">
      <c r="A4530" t="s">
        <v>8445</v>
      </c>
      <c r="B4530" t="s">
        <v>8452</v>
      </c>
    </row>
    <row r="4531" spans="1:2" ht="112" hidden="1" customHeight="1" x14ac:dyDescent="0.25">
      <c r="A4531" t="s">
        <v>8446</v>
      </c>
      <c r="B4531" t="s">
        <v>8453</v>
      </c>
    </row>
    <row r="4532" spans="1:2" ht="112" hidden="1" customHeight="1" x14ac:dyDescent="0.25">
      <c r="A4532" t="s">
        <v>8447</v>
      </c>
      <c r="B4532" t="s">
        <v>8454</v>
      </c>
    </row>
    <row r="4533" spans="1:2" ht="112" hidden="1" customHeight="1" x14ac:dyDescent="0.25">
      <c r="A4533" t="s">
        <v>8448</v>
      </c>
      <c r="B4533" t="s">
        <v>8455</v>
      </c>
    </row>
    <row r="4534" spans="1:2" ht="112" hidden="1" customHeight="1" x14ac:dyDescent="0.25">
      <c r="A4534" t="s">
        <v>8449</v>
      </c>
      <c r="B4534" t="s">
        <v>8456</v>
      </c>
    </row>
    <row r="4535" spans="1:2" ht="112" hidden="1" customHeight="1" x14ac:dyDescent="0.25">
      <c r="A4535" t="s">
        <v>8457</v>
      </c>
      <c r="B4535" s="56" t="s">
        <v>8518</v>
      </c>
    </row>
    <row r="4536" spans="1:2" ht="112" hidden="1" customHeight="1" x14ac:dyDescent="0.25">
      <c r="A4536" t="s">
        <v>8458</v>
      </c>
      <c r="B4536" s="56" t="s">
        <v>8477</v>
      </c>
    </row>
    <row r="4537" spans="1:2" ht="112" hidden="1" customHeight="1" x14ac:dyDescent="0.25">
      <c r="A4537" t="s">
        <v>8459</v>
      </c>
      <c r="B4537" s="56" t="s">
        <v>8476</v>
      </c>
    </row>
    <row r="4538" spans="1:2" ht="112" hidden="1" customHeight="1" x14ac:dyDescent="0.25">
      <c r="A4538" t="s">
        <v>8460</v>
      </c>
      <c r="B4538" s="56" t="s">
        <v>8475</v>
      </c>
    </row>
    <row r="4539" spans="1:2" ht="112" hidden="1" customHeight="1" x14ac:dyDescent="0.25">
      <c r="A4539" t="s">
        <v>8461</v>
      </c>
      <c r="B4539" s="56" t="s">
        <v>8474</v>
      </c>
    </row>
    <row r="4540" spans="1:2" ht="112" hidden="1" customHeight="1" x14ac:dyDescent="0.25">
      <c r="A4540" t="s">
        <v>8462</v>
      </c>
      <c r="B4540" s="56" t="s">
        <v>8473</v>
      </c>
    </row>
    <row r="4541" spans="1:2" ht="112" hidden="1" customHeight="1" x14ac:dyDescent="0.25">
      <c r="A4541" t="s">
        <v>8463</v>
      </c>
      <c r="B4541" s="56" t="s">
        <v>8464</v>
      </c>
    </row>
    <row r="4542" spans="1:2" ht="112" hidden="1" customHeight="1" x14ac:dyDescent="0.25">
      <c r="A4542" t="s">
        <v>8465</v>
      </c>
      <c r="B4542" s="56" t="s">
        <v>8472</v>
      </c>
    </row>
    <row r="4543" spans="1:2" ht="112" hidden="1" customHeight="1" x14ac:dyDescent="0.25">
      <c r="A4543" t="s">
        <v>10797</v>
      </c>
      <c r="B4543" s="56" t="s">
        <v>10798</v>
      </c>
    </row>
    <row r="4544" spans="1:2" ht="112" hidden="1" customHeight="1" x14ac:dyDescent="0.25">
      <c r="A4544" t="s">
        <v>8466</v>
      </c>
      <c r="B4544" s="56" t="s">
        <v>8471</v>
      </c>
    </row>
    <row r="4545" spans="1:2" ht="112" hidden="1" customHeight="1" x14ac:dyDescent="0.25">
      <c r="A4545" t="s">
        <v>8467</v>
      </c>
      <c r="B4545" s="56" t="s">
        <v>8470</v>
      </c>
    </row>
    <row r="4546" spans="1:2" ht="112" hidden="1" customHeight="1" x14ac:dyDescent="0.25">
      <c r="A4546" t="s">
        <v>8468</v>
      </c>
      <c r="B4546" s="56" t="s">
        <v>8469</v>
      </c>
    </row>
    <row r="4547" spans="1:2" ht="112" hidden="1" customHeight="1" x14ac:dyDescent="0.25">
      <c r="A4547" t="s">
        <v>8479</v>
      </c>
      <c r="B4547" s="56" t="s">
        <v>8557</v>
      </c>
    </row>
    <row r="4548" spans="1:2" ht="112" hidden="1" customHeight="1" x14ac:dyDescent="0.25">
      <c r="A4548" t="s">
        <v>8480</v>
      </c>
      <c r="B4548" s="56" t="s">
        <v>8558</v>
      </c>
    </row>
    <row r="4549" spans="1:2" ht="112" hidden="1" customHeight="1" x14ac:dyDescent="0.25">
      <c r="A4549" t="s">
        <v>8481</v>
      </c>
      <c r="B4549" t="s">
        <v>8519</v>
      </c>
    </row>
    <row r="4550" spans="1:2" ht="112" hidden="1" customHeight="1" x14ac:dyDescent="0.25">
      <c r="A4550" t="s">
        <v>8482</v>
      </c>
      <c r="B4550" t="s">
        <v>8520</v>
      </c>
    </row>
    <row r="4551" spans="1:2" ht="112" hidden="1" customHeight="1" x14ac:dyDescent="0.25">
      <c r="A4551" t="s">
        <v>8483</v>
      </c>
      <c r="B4551" t="s">
        <v>8521</v>
      </c>
    </row>
    <row r="4552" spans="1:2" ht="112" hidden="1" customHeight="1" x14ac:dyDescent="0.25">
      <c r="A4552" t="s">
        <v>8484</v>
      </c>
      <c r="B4552" t="s">
        <v>8522</v>
      </c>
    </row>
    <row r="4553" spans="1:2" ht="112" hidden="1" customHeight="1" x14ac:dyDescent="0.25">
      <c r="A4553" t="s">
        <v>8485</v>
      </c>
      <c r="B4553" t="s">
        <v>8523</v>
      </c>
    </row>
    <row r="4554" spans="1:2" ht="112" hidden="1" customHeight="1" x14ac:dyDescent="0.25">
      <c r="A4554" t="s">
        <v>8486</v>
      </c>
      <c r="B4554" t="s">
        <v>8524</v>
      </c>
    </row>
    <row r="4555" spans="1:2" ht="112" hidden="1" customHeight="1" x14ac:dyDescent="0.25">
      <c r="A4555" t="s">
        <v>8487</v>
      </c>
      <c r="B4555" t="s">
        <v>8525</v>
      </c>
    </row>
    <row r="4556" spans="1:2" ht="112" hidden="1" customHeight="1" x14ac:dyDescent="0.25">
      <c r="A4556" t="s">
        <v>8488</v>
      </c>
      <c r="B4556" t="s">
        <v>8526</v>
      </c>
    </row>
    <row r="4557" spans="1:2" ht="112" hidden="1" customHeight="1" x14ac:dyDescent="0.25">
      <c r="A4557" t="s">
        <v>8489</v>
      </c>
      <c r="B4557" t="s">
        <v>8527</v>
      </c>
    </row>
    <row r="4558" spans="1:2" ht="112" hidden="1" customHeight="1" x14ac:dyDescent="0.25">
      <c r="A4558" t="s">
        <v>8490</v>
      </c>
      <c r="B4558" t="s">
        <v>8528</v>
      </c>
    </row>
    <row r="4559" spans="1:2" ht="112" hidden="1" customHeight="1" x14ac:dyDescent="0.25">
      <c r="A4559" t="s">
        <v>8491</v>
      </c>
      <c r="B4559" t="s">
        <v>8529</v>
      </c>
    </row>
    <row r="4560" spans="1:2" ht="112" hidden="1" customHeight="1" x14ac:dyDescent="0.25">
      <c r="A4560" t="s">
        <v>8491</v>
      </c>
      <c r="B4560" t="s">
        <v>8529</v>
      </c>
    </row>
    <row r="4561" spans="1:2" ht="112" hidden="1" customHeight="1" x14ac:dyDescent="0.25">
      <c r="A4561" t="s">
        <v>8492</v>
      </c>
      <c r="B4561" t="s">
        <v>8530</v>
      </c>
    </row>
    <row r="4562" spans="1:2" ht="112" hidden="1" customHeight="1" x14ac:dyDescent="0.25">
      <c r="A4562" t="s">
        <v>8493</v>
      </c>
      <c r="B4562" t="s">
        <v>8531</v>
      </c>
    </row>
    <row r="4563" spans="1:2" ht="112" hidden="1" customHeight="1" x14ac:dyDescent="0.25">
      <c r="A4563" t="s">
        <v>8493</v>
      </c>
      <c r="B4563" t="s">
        <v>8532</v>
      </c>
    </row>
    <row r="4564" spans="1:2" ht="112" hidden="1" customHeight="1" x14ac:dyDescent="0.25">
      <c r="A4564" t="s">
        <v>8494</v>
      </c>
      <c r="B4564" t="s">
        <v>8533</v>
      </c>
    </row>
    <row r="4565" spans="1:2" ht="112" hidden="1" customHeight="1" x14ac:dyDescent="0.25">
      <c r="A4565" t="s">
        <v>8495</v>
      </c>
      <c r="B4565" t="s">
        <v>8534</v>
      </c>
    </row>
    <row r="4566" spans="1:2" ht="112" hidden="1" customHeight="1" x14ac:dyDescent="0.25">
      <c r="A4566" t="s">
        <v>8496</v>
      </c>
      <c r="B4566" t="s">
        <v>8535</v>
      </c>
    </row>
    <row r="4567" spans="1:2" ht="112" hidden="1" customHeight="1" x14ac:dyDescent="0.25">
      <c r="A4567" t="s">
        <v>8497</v>
      </c>
      <c r="B4567" t="s">
        <v>8536</v>
      </c>
    </row>
    <row r="4568" spans="1:2" ht="112" hidden="1" customHeight="1" x14ac:dyDescent="0.25">
      <c r="A4568" t="s">
        <v>8498</v>
      </c>
      <c r="B4568" t="s">
        <v>8537</v>
      </c>
    </row>
    <row r="4569" spans="1:2" ht="112" hidden="1" customHeight="1" x14ac:dyDescent="0.25">
      <c r="A4569" t="s">
        <v>8499</v>
      </c>
      <c r="B4569" t="s">
        <v>8538</v>
      </c>
    </row>
    <row r="4570" spans="1:2" ht="112" hidden="1" customHeight="1" x14ac:dyDescent="0.25">
      <c r="A4570" t="s">
        <v>8500</v>
      </c>
      <c r="B4570" t="s">
        <v>8539</v>
      </c>
    </row>
    <row r="4571" spans="1:2" ht="112" hidden="1" customHeight="1" x14ac:dyDescent="0.25">
      <c r="A4571" t="s">
        <v>8501</v>
      </c>
      <c r="B4571" t="s">
        <v>8540</v>
      </c>
    </row>
    <row r="4572" spans="1:2" ht="112" hidden="1" customHeight="1" x14ac:dyDescent="0.25">
      <c r="A4572" t="s">
        <v>8502</v>
      </c>
      <c r="B4572" t="s">
        <v>8541</v>
      </c>
    </row>
    <row r="4573" spans="1:2" ht="112" hidden="1" customHeight="1" x14ac:dyDescent="0.25">
      <c r="A4573" t="s">
        <v>8503</v>
      </c>
      <c r="B4573" t="s">
        <v>8542</v>
      </c>
    </row>
    <row r="4574" spans="1:2" ht="112" hidden="1" customHeight="1" x14ac:dyDescent="0.25">
      <c r="A4574" t="s">
        <v>8504</v>
      </c>
      <c r="B4574" t="s">
        <v>8543</v>
      </c>
    </row>
    <row r="4575" spans="1:2" ht="112" hidden="1" customHeight="1" x14ac:dyDescent="0.25">
      <c r="A4575" t="s">
        <v>8505</v>
      </c>
      <c r="B4575" t="s">
        <v>8544</v>
      </c>
    </row>
    <row r="4576" spans="1:2" ht="112" hidden="1" customHeight="1" x14ac:dyDescent="0.25">
      <c r="A4576" t="s">
        <v>8506</v>
      </c>
      <c r="B4576" t="s">
        <v>8545</v>
      </c>
    </row>
    <row r="4577" spans="1:2" ht="112" hidden="1" customHeight="1" x14ac:dyDescent="0.25">
      <c r="A4577" t="s">
        <v>8507</v>
      </c>
      <c r="B4577" t="s">
        <v>8546</v>
      </c>
    </row>
    <row r="4578" spans="1:2" ht="112" hidden="1" customHeight="1" x14ac:dyDescent="0.25">
      <c r="A4578" t="s">
        <v>8508</v>
      </c>
      <c r="B4578" t="s">
        <v>8547</v>
      </c>
    </row>
    <row r="4579" spans="1:2" ht="112" hidden="1" customHeight="1" x14ac:dyDescent="0.25">
      <c r="A4579" t="s">
        <v>8509</v>
      </c>
      <c r="B4579" t="s">
        <v>8548</v>
      </c>
    </row>
    <row r="4580" spans="1:2" ht="112" hidden="1" customHeight="1" x14ac:dyDescent="0.25">
      <c r="A4580" t="s">
        <v>8510</v>
      </c>
      <c r="B4580" t="s">
        <v>8549</v>
      </c>
    </row>
    <row r="4581" spans="1:2" ht="112" hidden="1" customHeight="1" x14ac:dyDescent="0.25">
      <c r="A4581" t="s">
        <v>8511</v>
      </c>
      <c r="B4581" t="s">
        <v>8550</v>
      </c>
    </row>
    <row r="4582" spans="1:2" ht="112" hidden="1" customHeight="1" x14ac:dyDescent="0.25">
      <c r="A4582" t="s">
        <v>8512</v>
      </c>
      <c r="B4582" s="56" t="s">
        <v>9052</v>
      </c>
    </row>
    <row r="4583" spans="1:2" ht="112" hidden="1" customHeight="1" x14ac:dyDescent="0.25">
      <c r="A4583" t="s">
        <v>8513</v>
      </c>
      <c r="B4583" t="s">
        <v>8551</v>
      </c>
    </row>
    <row r="4584" spans="1:2" ht="112" hidden="1" customHeight="1" x14ac:dyDescent="0.25">
      <c r="A4584" t="s">
        <v>8514</v>
      </c>
      <c r="B4584" t="s">
        <v>8552</v>
      </c>
    </row>
    <row r="4585" spans="1:2" ht="112" hidden="1" customHeight="1" x14ac:dyDescent="0.25">
      <c r="A4585" t="s">
        <v>8515</v>
      </c>
      <c r="B4585" t="s">
        <v>8553</v>
      </c>
    </row>
    <row r="4586" spans="1:2" ht="112" hidden="1" customHeight="1" x14ac:dyDescent="0.25">
      <c r="A4586" t="s">
        <v>8516</v>
      </c>
      <c r="B4586" t="s">
        <v>8554</v>
      </c>
    </row>
    <row r="4587" spans="1:2" ht="112" hidden="1" customHeight="1" x14ac:dyDescent="0.25">
      <c r="A4587" t="s">
        <v>8478</v>
      </c>
      <c r="B4587" t="s">
        <v>8555</v>
      </c>
    </row>
    <row r="4588" spans="1:2" ht="112" hidden="1" customHeight="1" x14ac:dyDescent="0.25">
      <c r="A4588" t="s">
        <v>8517</v>
      </c>
      <c r="B4588" t="s">
        <v>8556</v>
      </c>
    </row>
    <row r="4589" spans="1:2" ht="112" hidden="1" customHeight="1" x14ac:dyDescent="0.25">
      <c r="A4589" t="s">
        <v>8559</v>
      </c>
      <c r="B4589" s="56" t="s">
        <v>8561</v>
      </c>
    </row>
    <row r="4590" spans="1:2" ht="112" hidden="1" customHeight="1" x14ac:dyDescent="0.25">
      <c r="A4590" t="s">
        <v>8560</v>
      </c>
      <c r="B4590" s="56" t="s">
        <v>8562</v>
      </c>
    </row>
    <row r="4591" spans="1:2" ht="112" hidden="1" customHeight="1" x14ac:dyDescent="0.25">
      <c r="A4591" t="s">
        <v>8563</v>
      </c>
      <c r="B4591" s="56" t="s">
        <v>8564</v>
      </c>
    </row>
    <row r="4592" spans="1:2" ht="112" hidden="1" customHeight="1" x14ac:dyDescent="0.25">
      <c r="A4592" t="s">
        <v>8565</v>
      </c>
      <c r="B4592" t="s">
        <v>8567</v>
      </c>
    </row>
    <row r="4593" spans="1:2" ht="112" hidden="1" customHeight="1" x14ac:dyDescent="0.25">
      <c r="A4593" t="s">
        <v>8566</v>
      </c>
      <c r="B4593" t="s">
        <v>8568</v>
      </c>
    </row>
    <row r="4594" spans="1:2" ht="112" hidden="1" customHeight="1" x14ac:dyDescent="0.25">
      <c r="A4594" t="s">
        <v>8569</v>
      </c>
      <c r="B4594" s="56" t="s">
        <v>8571</v>
      </c>
    </row>
    <row r="4595" spans="1:2" ht="112" hidden="1" customHeight="1" x14ac:dyDescent="0.25">
      <c r="A4595" t="s">
        <v>8570</v>
      </c>
      <c r="B4595" s="56" t="s">
        <v>8572</v>
      </c>
    </row>
    <row r="4596" spans="1:2" ht="112" hidden="1" customHeight="1" x14ac:dyDescent="0.25">
      <c r="A4596" t="s">
        <v>8574</v>
      </c>
      <c r="B4596" t="s">
        <v>8578</v>
      </c>
    </row>
    <row r="4597" spans="1:2" ht="112" hidden="1" customHeight="1" x14ac:dyDescent="0.25">
      <c r="A4597" t="s">
        <v>8575</v>
      </c>
      <c r="B4597" t="s">
        <v>8579</v>
      </c>
    </row>
    <row r="4598" spans="1:2" ht="112" hidden="1" customHeight="1" x14ac:dyDescent="0.25">
      <c r="A4598" t="s">
        <v>8576</v>
      </c>
      <c r="B4598" t="s">
        <v>8580</v>
      </c>
    </row>
    <row r="4599" spans="1:2" ht="112" hidden="1" customHeight="1" x14ac:dyDescent="0.25">
      <c r="A4599" t="s">
        <v>8577</v>
      </c>
      <c r="B4599" t="s">
        <v>8581</v>
      </c>
    </row>
    <row r="4600" spans="1:2" ht="112" hidden="1" customHeight="1" x14ac:dyDescent="0.25">
      <c r="A4600" t="s">
        <v>8582</v>
      </c>
      <c r="B4600" t="s">
        <v>8583</v>
      </c>
    </row>
    <row r="4601" spans="1:2" ht="112" hidden="1" customHeight="1" x14ac:dyDescent="0.25">
      <c r="A4601" t="s">
        <v>8584</v>
      </c>
      <c r="B4601" t="s">
        <v>8590</v>
      </c>
    </row>
    <row r="4602" spans="1:2" ht="112" hidden="1" customHeight="1" x14ac:dyDescent="0.25">
      <c r="A4602" t="s">
        <v>8585</v>
      </c>
      <c r="B4602" t="s">
        <v>8591</v>
      </c>
    </row>
    <row r="4603" spans="1:2" ht="112" hidden="1" customHeight="1" x14ac:dyDescent="0.25">
      <c r="A4603" t="s">
        <v>8586</v>
      </c>
      <c r="B4603" t="s">
        <v>8592</v>
      </c>
    </row>
    <row r="4604" spans="1:2" ht="112" hidden="1" customHeight="1" x14ac:dyDescent="0.25">
      <c r="A4604" t="s">
        <v>8587</v>
      </c>
      <c r="B4604" t="s">
        <v>8593</v>
      </c>
    </row>
    <row r="4605" spans="1:2" ht="112" hidden="1" customHeight="1" x14ac:dyDescent="0.25">
      <c r="A4605" t="s">
        <v>8588</v>
      </c>
      <c r="B4605" t="s">
        <v>8594</v>
      </c>
    </row>
    <row r="4606" spans="1:2" ht="112" hidden="1" customHeight="1" x14ac:dyDescent="0.25">
      <c r="A4606" t="s">
        <v>8589</v>
      </c>
      <c r="B4606" t="s">
        <v>8595</v>
      </c>
    </row>
    <row r="4607" spans="1:2" ht="112" hidden="1" customHeight="1" x14ac:dyDescent="0.25">
      <c r="A4607" t="s">
        <v>8596</v>
      </c>
      <c r="B4607" t="s">
        <v>8597</v>
      </c>
    </row>
    <row r="4608" spans="1:2" ht="112" hidden="1" customHeight="1" x14ac:dyDescent="0.25">
      <c r="A4608" t="s">
        <v>8598</v>
      </c>
      <c r="B4608" t="s">
        <v>8600</v>
      </c>
    </row>
    <row r="4609" spans="1:2" ht="112" hidden="1" customHeight="1" x14ac:dyDescent="0.25">
      <c r="A4609" t="s">
        <v>8599</v>
      </c>
      <c r="B4609" t="s">
        <v>8601</v>
      </c>
    </row>
    <row r="4610" spans="1:2" ht="112" hidden="1" customHeight="1" x14ac:dyDescent="0.25">
      <c r="A4610" t="s">
        <v>8602</v>
      </c>
      <c r="B4610" t="s">
        <v>8624</v>
      </c>
    </row>
    <row r="4611" spans="1:2" ht="112" hidden="1" customHeight="1" x14ac:dyDescent="0.25">
      <c r="A4611" t="s">
        <v>8603</v>
      </c>
      <c r="B4611" t="s">
        <v>8625</v>
      </c>
    </row>
    <row r="4612" spans="1:2" ht="112" hidden="1" customHeight="1" x14ac:dyDescent="0.25">
      <c r="A4612" t="s">
        <v>8604</v>
      </c>
      <c r="B4612" t="s">
        <v>8626</v>
      </c>
    </row>
    <row r="4613" spans="1:2" ht="112" hidden="1" customHeight="1" x14ac:dyDescent="0.25">
      <c r="A4613" t="s">
        <v>8605</v>
      </c>
      <c r="B4613" t="s">
        <v>8627</v>
      </c>
    </row>
    <row r="4614" spans="1:2" ht="112" hidden="1" customHeight="1" x14ac:dyDescent="0.25">
      <c r="A4614" t="s">
        <v>8606</v>
      </c>
      <c r="B4614" t="s">
        <v>8628</v>
      </c>
    </row>
    <row r="4615" spans="1:2" ht="112" hidden="1" customHeight="1" x14ac:dyDescent="0.25">
      <c r="A4615" t="s">
        <v>8607</v>
      </c>
      <c r="B4615" t="s">
        <v>8629</v>
      </c>
    </row>
    <row r="4616" spans="1:2" ht="112" hidden="1" customHeight="1" x14ac:dyDescent="0.25">
      <c r="A4616" t="s">
        <v>8608</v>
      </c>
      <c r="B4616" t="s">
        <v>8630</v>
      </c>
    </row>
    <row r="4617" spans="1:2" ht="112" hidden="1" customHeight="1" x14ac:dyDescent="0.25">
      <c r="A4617" t="s">
        <v>8609</v>
      </c>
      <c r="B4617" t="s">
        <v>8631</v>
      </c>
    </row>
    <row r="4618" spans="1:2" ht="112" hidden="1" customHeight="1" x14ac:dyDescent="0.25">
      <c r="A4618" t="s">
        <v>8610</v>
      </c>
      <c r="B4618" t="s">
        <v>8632</v>
      </c>
    </row>
    <row r="4619" spans="1:2" ht="112" hidden="1" customHeight="1" x14ac:dyDescent="0.25">
      <c r="A4619" t="s">
        <v>8611</v>
      </c>
      <c r="B4619" t="s">
        <v>8633</v>
      </c>
    </row>
    <row r="4620" spans="1:2" ht="112" hidden="1" customHeight="1" x14ac:dyDescent="0.25">
      <c r="A4620" t="s">
        <v>8612</v>
      </c>
      <c r="B4620" t="s">
        <v>8634</v>
      </c>
    </row>
    <row r="4621" spans="1:2" ht="112" hidden="1" customHeight="1" x14ac:dyDescent="0.25">
      <c r="A4621" t="s">
        <v>8613</v>
      </c>
      <c r="B4621" t="s">
        <v>8635</v>
      </c>
    </row>
    <row r="4622" spans="1:2" ht="112" hidden="1" customHeight="1" x14ac:dyDescent="0.25">
      <c r="A4622" t="s">
        <v>8614</v>
      </c>
      <c r="B4622" t="s">
        <v>8636</v>
      </c>
    </row>
    <row r="4623" spans="1:2" ht="112" hidden="1" customHeight="1" x14ac:dyDescent="0.25">
      <c r="A4623" t="s">
        <v>8615</v>
      </c>
      <c r="B4623" t="s">
        <v>8637</v>
      </c>
    </row>
    <row r="4624" spans="1:2" ht="112" hidden="1" customHeight="1" x14ac:dyDescent="0.25">
      <c r="A4624" t="s">
        <v>8616</v>
      </c>
      <c r="B4624" t="s">
        <v>8638</v>
      </c>
    </row>
    <row r="4625" spans="1:2" ht="112" hidden="1" customHeight="1" x14ac:dyDescent="0.25">
      <c r="A4625" t="s">
        <v>8617</v>
      </c>
      <c r="B4625" t="s">
        <v>8639</v>
      </c>
    </row>
    <row r="4626" spans="1:2" ht="112" hidden="1" customHeight="1" x14ac:dyDescent="0.25">
      <c r="A4626" t="s">
        <v>8618</v>
      </c>
      <c r="B4626" t="s">
        <v>8640</v>
      </c>
    </row>
    <row r="4627" spans="1:2" ht="112" hidden="1" customHeight="1" x14ac:dyDescent="0.25">
      <c r="A4627" t="s">
        <v>8619</v>
      </c>
      <c r="B4627" t="s">
        <v>8641</v>
      </c>
    </row>
    <row r="4628" spans="1:2" ht="112" hidden="1" customHeight="1" x14ac:dyDescent="0.25">
      <c r="A4628" t="s">
        <v>8620</v>
      </c>
      <c r="B4628" t="s">
        <v>8642</v>
      </c>
    </row>
    <row r="4629" spans="1:2" ht="112" hidden="1" customHeight="1" x14ac:dyDescent="0.25">
      <c r="A4629" t="s">
        <v>8621</v>
      </c>
      <c r="B4629" t="s">
        <v>8643</v>
      </c>
    </row>
    <row r="4630" spans="1:2" ht="112" hidden="1" customHeight="1" x14ac:dyDescent="0.25">
      <c r="A4630" t="s">
        <v>8622</v>
      </c>
      <c r="B4630" t="s">
        <v>8644</v>
      </c>
    </row>
    <row r="4631" spans="1:2" ht="112" hidden="1" customHeight="1" x14ac:dyDescent="0.25">
      <c r="A4631" t="s">
        <v>8623</v>
      </c>
      <c r="B4631" t="s">
        <v>8645</v>
      </c>
    </row>
    <row r="4632" spans="1:2" ht="112" hidden="1" customHeight="1" x14ac:dyDescent="0.25">
      <c r="A4632" t="s">
        <v>8646</v>
      </c>
      <c r="B4632" t="s">
        <v>8650</v>
      </c>
    </row>
    <row r="4633" spans="1:2" ht="112" hidden="1" customHeight="1" x14ac:dyDescent="0.25">
      <c r="A4633" t="s">
        <v>8647</v>
      </c>
      <c r="B4633" t="s">
        <v>8651</v>
      </c>
    </row>
    <row r="4634" spans="1:2" ht="112" hidden="1" customHeight="1" x14ac:dyDescent="0.25">
      <c r="A4634" t="s">
        <v>8648</v>
      </c>
      <c r="B4634" t="s">
        <v>8652</v>
      </c>
    </row>
    <row r="4635" spans="1:2" ht="112" hidden="1" customHeight="1" x14ac:dyDescent="0.25">
      <c r="A4635" t="s">
        <v>8649</v>
      </c>
      <c r="B4635" t="s">
        <v>8653</v>
      </c>
    </row>
    <row r="4636" spans="1:2" ht="112" hidden="1" customHeight="1" x14ac:dyDescent="0.25">
      <c r="A4636" t="s">
        <v>8654</v>
      </c>
      <c r="B4636" t="s">
        <v>8657</v>
      </c>
    </row>
    <row r="4637" spans="1:2" ht="112" hidden="1" customHeight="1" x14ac:dyDescent="0.25">
      <c r="A4637" t="s">
        <v>8655</v>
      </c>
      <c r="B4637" t="s">
        <v>8658</v>
      </c>
    </row>
    <row r="4638" spans="1:2" ht="112" hidden="1" customHeight="1" x14ac:dyDescent="0.25">
      <c r="A4638" t="s">
        <v>8656</v>
      </c>
      <c r="B4638" s="56" t="s">
        <v>8660</v>
      </c>
    </row>
    <row r="4639" spans="1:2" ht="112" hidden="1" customHeight="1" x14ac:dyDescent="0.25">
      <c r="A4639" t="s">
        <v>8659</v>
      </c>
      <c r="B4639" s="56" t="s">
        <v>8661</v>
      </c>
    </row>
    <row r="4640" spans="1:2" ht="112" hidden="1" customHeight="1" x14ac:dyDescent="0.25">
      <c r="A4640" t="s">
        <v>8662</v>
      </c>
      <c r="B4640" t="s">
        <v>8679</v>
      </c>
    </row>
    <row r="4641" spans="1:2" ht="112" hidden="1" customHeight="1" x14ac:dyDescent="0.25">
      <c r="A4641" t="s">
        <v>8663</v>
      </c>
      <c r="B4641" t="s">
        <v>8680</v>
      </c>
    </row>
    <row r="4642" spans="1:2" ht="112" hidden="1" customHeight="1" x14ac:dyDescent="0.25">
      <c r="A4642" t="s">
        <v>8664</v>
      </c>
      <c r="B4642" t="s">
        <v>8681</v>
      </c>
    </row>
    <row r="4643" spans="1:2" ht="112" hidden="1" customHeight="1" x14ac:dyDescent="0.25">
      <c r="A4643" t="s">
        <v>8665</v>
      </c>
      <c r="B4643" t="s">
        <v>8682</v>
      </c>
    </row>
    <row r="4644" spans="1:2" ht="112" hidden="1" customHeight="1" x14ac:dyDescent="0.25">
      <c r="A4644" t="s">
        <v>8666</v>
      </c>
      <c r="B4644" t="s">
        <v>8683</v>
      </c>
    </row>
    <row r="4645" spans="1:2" ht="112" hidden="1" customHeight="1" x14ac:dyDescent="0.25">
      <c r="A4645" t="s">
        <v>8667</v>
      </c>
      <c r="B4645" t="s">
        <v>8684</v>
      </c>
    </row>
    <row r="4646" spans="1:2" ht="112" hidden="1" customHeight="1" x14ac:dyDescent="0.25">
      <c r="A4646" t="s">
        <v>8668</v>
      </c>
      <c r="B4646" t="s">
        <v>8685</v>
      </c>
    </row>
    <row r="4647" spans="1:2" ht="112" hidden="1" customHeight="1" x14ac:dyDescent="0.25">
      <c r="A4647" t="s">
        <v>8669</v>
      </c>
      <c r="B4647" t="s">
        <v>8686</v>
      </c>
    </row>
    <row r="4648" spans="1:2" ht="112" hidden="1" customHeight="1" x14ac:dyDescent="0.25">
      <c r="A4648" t="s">
        <v>8670</v>
      </c>
      <c r="B4648" t="s">
        <v>8687</v>
      </c>
    </row>
    <row r="4649" spans="1:2" ht="112" hidden="1" customHeight="1" x14ac:dyDescent="0.25">
      <c r="A4649" t="s">
        <v>8671</v>
      </c>
      <c r="B4649" t="s">
        <v>8688</v>
      </c>
    </row>
    <row r="4650" spans="1:2" ht="112" hidden="1" customHeight="1" x14ac:dyDescent="0.25">
      <c r="A4650" t="s">
        <v>8672</v>
      </c>
      <c r="B4650" t="s">
        <v>8689</v>
      </c>
    </row>
    <row r="4651" spans="1:2" ht="112" hidden="1" customHeight="1" x14ac:dyDescent="0.25">
      <c r="A4651" t="s">
        <v>8673</v>
      </c>
      <c r="B4651" t="s">
        <v>8690</v>
      </c>
    </row>
    <row r="4652" spans="1:2" ht="112" hidden="1" customHeight="1" x14ac:dyDescent="0.25">
      <c r="A4652" t="s">
        <v>8674</v>
      </c>
      <c r="B4652" t="s">
        <v>8691</v>
      </c>
    </row>
    <row r="4653" spans="1:2" ht="112" hidden="1" customHeight="1" x14ac:dyDescent="0.25">
      <c r="A4653" t="s">
        <v>8675</v>
      </c>
      <c r="B4653" t="s">
        <v>8692</v>
      </c>
    </row>
    <row r="4654" spans="1:2" ht="112" hidden="1" customHeight="1" x14ac:dyDescent="0.25">
      <c r="A4654" t="s">
        <v>8676</v>
      </c>
      <c r="B4654" t="s">
        <v>8693</v>
      </c>
    </row>
    <row r="4655" spans="1:2" ht="112" hidden="1" customHeight="1" x14ac:dyDescent="0.25">
      <c r="A4655" t="s">
        <v>8677</v>
      </c>
      <c r="B4655" t="s">
        <v>8694</v>
      </c>
    </row>
    <row r="4656" spans="1:2" ht="112" hidden="1" customHeight="1" x14ac:dyDescent="0.25">
      <c r="A4656" t="s">
        <v>8678</v>
      </c>
      <c r="B4656" t="s">
        <v>8695</v>
      </c>
    </row>
    <row r="4657" spans="1:2" ht="112" hidden="1" customHeight="1" x14ac:dyDescent="0.25">
      <c r="A4657" t="s">
        <v>8697</v>
      </c>
      <c r="B4657" t="s">
        <v>8698</v>
      </c>
    </row>
    <row r="4658" spans="1:2" ht="112" hidden="1" customHeight="1" x14ac:dyDescent="0.25">
      <c r="A4658" t="s">
        <v>8696</v>
      </c>
      <c r="B4658" t="s">
        <v>8699</v>
      </c>
    </row>
    <row r="4659" spans="1:2" ht="112" hidden="1" customHeight="1" x14ac:dyDescent="0.25">
      <c r="A4659" t="s">
        <v>8700</v>
      </c>
      <c r="B4659" t="s">
        <v>8701</v>
      </c>
    </row>
    <row r="4660" spans="1:2" ht="112" hidden="1" customHeight="1" x14ac:dyDescent="0.25">
      <c r="A4660" t="s">
        <v>8703</v>
      </c>
      <c r="B4660" t="s">
        <v>8707</v>
      </c>
    </row>
    <row r="4661" spans="1:2" ht="112" hidden="1" customHeight="1" x14ac:dyDescent="0.25">
      <c r="A4661" t="s">
        <v>8704</v>
      </c>
      <c r="B4661" t="s">
        <v>8708</v>
      </c>
    </row>
    <row r="4662" spans="1:2" ht="112" hidden="1" customHeight="1" x14ac:dyDescent="0.25">
      <c r="A4662" t="s">
        <v>8705</v>
      </c>
      <c r="B4662" t="s">
        <v>8709</v>
      </c>
    </row>
    <row r="4663" spans="1:2" ht="112" hidden="1" customHeight="1" x14ac:dyDescent="0.25">
      <c r="A4663" t="s">
        <v>8706</v>
      </c>
      <c r="B4663" t="s">
        <v>8710</v>
      </c>
    </row>
    <row r="4664" spans="1:2" ht="112" hidden="1" customHeight="1" x14ac:dyDescent="0.25">
      <c r="A4664" t="s">
        <v>8711</v>
      </c>
      <c r="B4664" s="56" t="s">
        <v>8712</v>
      </c>
    </row>
    <row r="4665" spans="1:2" ht="112" hidden="1" customHeight="1" x14ac:dyDescent="0.25">
      <c r="A4665" t="s">
        <v>8713</v>
      </c>
      <c r="B4665" t="s">
        <v>8716</v>
      </c>
    </row>
    <row r="4666" spans="1:2" ht="112" hidden="1" customHeight="1" x14ac:dyDescent="0.25">
      <c r="A4666" t="s">
        <v>8714</v>
      </c>
      <c r="B4666" t="s">
        <v>8717</v>
      </c>
    </row>
    <row r="4667" spans="1:2" ht="112" hidden="1" customHeight="1" x14ac:dyDescent="0.25">
      <c r="A4667" t="s">
        <v>8715</v>
      </c>
      <c r="B4667" t="s">
        <v>8718</v>
      </c>
    </row>
    <row r="4668" spans="1:2" ht="112" hidden="1" customHeight="1" x14ac:dyDescent="0.25">
      <c r="A4668" t="s">
        <v>8719</v>
      </c>
      <c r="B4668" t="s">
        <v>8720</v>
      </c>
    </row>
    <row r="4669" spans="1:2" ht="112" hidden="1" customHeight="1" x14ac:dyDescent="0.25">
      <c r="A4669" t="s">
        <v>8721</v>
      </c>
      <c r="B4669" t="s">
        <v>8724</v>
      </c>
    </row>
    <row r="4670" spans="1:2" ht="112" hidden="1" customHeight="1" x14ac:dyDescent="0.25">
      <c r="A4670" t="s">
        <v>8722</v>
      </c>
      <c r="B4670" t="s">
        <v>8725</v>
      </c>
    </row>
    <row r="4671" spans="1:2" ht="112" hidden="1" customHeight="1" x14ac:dyDescent="0.25">
      <c r="A4671" t="s">
        <v>8723</v>
      </c>
      <c r="B4671" t="s">
        <v>8726</v>
      </c>
    </row>
    <row r="4672" spans="1:2" ht="112" hidden="1" customHeight="1" x14ac:dyDescent="0.25">
      <c r="A4672" t="s">
        <v>8727</v>
      </c>
      <c r="B4672" s="56" t="s">
        <v>8728</v>
      </c>
    </row>
    <row r="4673" spans="1:2" ht="112" hidden="1" customHeight="1" x14ac:dyDescent="0.25">
      <c r="A4673" t="s">
        <v>8729</v>
      </c>
      <c r="B4673" s="56" t="s">
        <v>8731</v>
      </c>
    </row>
    <row r="4674" spans="1:2" ht="112" hidden="1" customHeight="1" x14ac:dyDescent="0.25">
      <c r="A4674" t="s">
        <v>8730</v>
      </c>
      <c r="B4674" s="56" t="s">
        <v>8732</v>
      </c>
    </row>
    <row r="4675" spans="1:2" ht="112" hidden="1" customHeight="1" x14ac:dyDescent="0.25">
      <c r="A4675" t="s">
        <v>8733</v>
      </c>
      <c r="B4675" s="56" t="s">
        <v>8734</v>
      </c>
    </row>
    <row r="4676" spans="1:2" ht="112" hidden="1" customHeight="1" x14ac:dyDescent="0.25">
      <c r="A4676" t="s">
        <v>8735</v>
      </c>
      <c r="B4676" s="56" t="s">
        <v>8738</v>
      </c>
    </row>
    <row r="4677" spans="1:2" ht="112" hidden="1" customHeight="1" x14ac:dyDescent="0.25">
      <c r="A4677" t="s">
        <v>8736</v>
      </c>
      <c r="B4677" t="s">
        <v>8737</v>
      </c>
    </row>
    <row r="4678" spans="1:2" ht="112" hidden="1" customHeight="1" x14ac:dyDescent="0.25">
      <c r="A4678" t="s">
        <v>8739</v>
      </c>
      <c r="B4678" t="s">
        <v>8740</v>
      </c>
    </row>
    <row r="4679" spans="1:2" ht="112" hidden="1" customHeight="1" x14ac:dyDescent="0.25">
      <c r="A4679" t="s">
        <v>8741</v>
      </c>
      <c r="B4679" s="56" t="s">
        <v>8742</v>
      </c>
    </row>
    <row r="4680" spans="1:2" ht="112" hidden="1" customHeight="1" x14ac:dyDescent="0.25">
      <c r="A4680" t="s">
        <v>8743</v>
      </c>
      <c r="B4680" s="56" t="s">
        <v>8744</v>
      </c>
    </row>
    <row r="4681" spans="1:2" ht="112" hidden="1" customHeight="1" x14ac:dyDescent="0.25">
      <c r="A4681" t="s">
        <v>8745</v>
      </c>
      <c r="B4681" s="56" t="s">
        <v>8766</v>
      </c>
    </row>
    <row r="4682" spans="1:2" ht="112" hidden="1" customHeight="1" x14ac:dyDescent="0.25">
      <c r="A4682" t="s">
        <v>8746</v>
      </c>
      <c r="B4682" t="s">
        <v>8756</v>
      </c>
    </row>
    <row r="4683" spans="1:2" ht="112" hidden="1" customHeight="1" x14ac:dyDescent="0.25">
      <c r="A4683" t="s">
        <v>8747</v>
      </c>
      <c r="B4683" t="s">
        <v>8757</v>
      </c>
    </row>
    <row r="4684" spans="1:2" ht="112" hidden="1" customHeight="1" x14ac:dyDescent="0.25">
      <c r="A4684" t="s">
        <v>8748</v>
      </c>
      <c r="B4684" t="s">
        <v>8758</v>
      </c>
    </row>
    <row r="4685" spans="1:2" ht="112" hidden="1" customHeight="1" x14ac:dyDescent="0.25">
      <c r="A4685" t="s">
        <v>8749</v>
      </c>
      <c r="B4685" t="s">
        <v>8759</v>
      </c>
    </row>
    <row r="4686" spans="1:2" ht="112" hidden="1" customHeight="1" x14ac:dyDescent="0.25">
      <c r="A4686" t="s">
        <v>8750</v>
      </c>
      <c r="B4686" t="s">
        <v>8760</v>
      </c>
    </row>
    <row r="4687" spans="1:2" ht="112" hidden="1" customHeight="1" x14ac:dyDescent="0.25">
      <c r="A4687" t="s">
        <v>8751</v>
      </c>
      <c r="B4687" t="s">
        <v>8761</v>
      </c>
    </row>
    <row r="4688" spans="1:2" ht="112" hidden="1" customHeight="1" x14ac:dyDescent="0.25">
      <c r="A4688" t="s">
        <v>8752</v>
      </c>
      <c r="B4688" t="s">
        <v>8762</v>
      </c>
    </row>
    <row r="4689" spans="1:2" ht="112" hidden="1" customHeight="1" x14ac:dyDescent="0.25">
      <c r="A4689" t="s">
        <v>8753</v>
      </c>
      <c r="B4689" t="s">
        <v>8763</v>
      </c>
    </row>
    <row r="4690" spans="1:2" ht="112" hidden="1" customHeight="1" x14ac:dyDescent="0.25">
      <c r="A4690" t="s">
        <v>8754</v>
      </c>
      <c r="B4690" t="s">
        <v>8764</v>
      </c>
    </row>
    <row r="4691" spans="1:2" ht="112" hidden="1" customHeight="1" x14ac:dyDescent="0.25">
      <c r="A4691" t="s">
        <v>8755</v>
      </c>
      <c r="B4691" t="s">
        <v>8765</v>
      </c>
    </row>
    <row r="4692" spans="1:2" ht="112" hidden="1" customHeight="1" x14ac:dyDescent="0.25">
      <c r="A4692" t="s">
        <v>8767</v>
      </c>
      <c r="B4692" t="s">
        <v>8773</v>
      </c>
    </row>
    <row r="4693" spans="1:2" ht="112" hidden="1" customHeight="1" x14ac:dyDescent="0.25">
      <c r="A4693" t="s">
        <v>8768</v>
      </c>
      <c r="B4693" t="s">
        <v>8774</v>
      </c>
    </row>
    <row r="4694" spans="1:2" ht="112" hidden="1" customHeight="1" x14ac:dyDescent="0.25">
      <c r="A4694" t="s">
        <v>8769</v>
      </c>
      <c r="B4694" t="s">
        <v>8775</v>
      </c>
    </row>
    <row r="4695" spans="1:2" ht="112" hidden="1" customHeight="1" x14ac:dyDescent="0.25">
      <c r="A4695" t="s">
        <v>8770</v>
      </c>
      <c r="B4695" t="s">
        <v>8776</v>
      </c>
    </row>
    <row r="4696" spans="1:2" ht="112" hidden="1" customHeight="1" x14ac:dyDescent="0.25">
      <c r="A4696" t="s">
        <v>8771</v>
      </c>
      <c r="B4696" t="s">
        <v>8777</v>
      </c>
    </row>
    <row r="4697" spans="1:2" ht="112" hidden="1" customHeight="1" x14ac:dyDescent="0.25">
      <c r="A4697" t="s">
        <v>8772</v>
      </c>
      <c r="B4697" t="s">
        <v>8778</v>
      </c>
    </row>
    <row r="4698" spans="1:2" ht="112" hidden="1" customHeight="1" x14ac:dyDescent="0.25">
      <c r="A4698" t="s">
        <v>8788</v>
      </c>
      <c r="B4698" s="56" t="s">
        <v>8796</v>
      </c>
    </row>
    <row r="4699" spans="1:2" ht="112" hidden="1" customHeight="1" x14ac:dyDescent="0.25">
      <c r="A4699" t="s">
        <v>8789</v>
      </c>
      <c r="B4699" t="s">
        <v>8797</v>
      </c>
    </row>
    <row r="4700" spans="1:2" ht="112" hidden="1" customHeight="1" x14ac:dyDescent="0.25">
      <c r="A4700" t="s">
        <v>8790</v>
      </c>
      <c r="B4700" t="s">
        <v>8798</v>
      </c>
    </row>
    <row r="4701" spans="1:2" ht="112" hidden="1" customHeight="1" x14ac:dyDescent="0.25">
      <c r="A4701" t="s">
        <v>8791</v>
      </c>
      <c r="B4701" t="s">
        <v>8799</v>
      </c>
    </row>
    <row r="4702" spans="1:2" ht="112" hidden="1" customHeight="1" x14ac:dyDescent="0.25">
      <c r="A4702" t="s">
        <v>8792</v>
      </c>
      <c r="B4702" t="s">
        <v>8800</v>
      </c>
    </row>
    <row r="4703" spans="1:2" ht="112" hidden="1" customHeight="1" x14ac:dyDescent="0.25">
      <c r="A4703" t="s">
        <v>8793</v>
      </c>
      <c r="B4703" t="s">
        <v>8801</v>
      </c>
    </row>
    <row r="4704" spans="1:2" ht="112" hidden="1" customHeight="1" x14ac:dyDescent="0.25">
      <c r="A4704" t="s">
        <v>8794</v>
      </c>
      <c r="B4704" t="s">
        <v>8802</v>
      </c>
    </row>
    <row r="4705" spans="1:2" ht="112" hidden="1" customHeight="1" x14ac:dyDescent="0.25">
      <c r="A4705" t="s">
        <v>8772</v>
      </c>
      <c r="B4705" t="s">
        <v>8778</v>
      </c>
    </row>
    <row r="4706" spans="1:2" ht="112" hidden="1" customHeight="1" x14ac:dyDescent="0.25">
      <c r="A4706" t="s">
        <v>8795</v>
      </c>
      <c r="B4706" t="s">
        <v>8803</v>
      </c>
    </row>
    <row r="4707" spans="1:2" ht="112" hidden="1" customHeight="1" x14ac:dyDescent="0.25">
      <c r="A4707" t="s">
        <v>8804</v>
      </c>
      <c r="B4707" s="56" t="s">
        <v>8805</v>
      </c>
    </row>
    <row r="4708" spans="1:2" ht="112" hidden="1" customHeight="1" x14ac:dyDescent="0.25">
      <c r="A4708" t="s">
        <v>8806</v>
      </c>
      <c r="B4708" t="s">
        <v>8810</v>
      </c>
    </row>
    <row r="4709" spans="1:2" ht="112" hidden="1" customHeight="1" x14ac:dyDescent="0.25">
      <c r="A4709" t="s">
        <v>8807</v>
      </c>
      <c r="B4709" t="s">
        <v>8811</v>
      </c>
    </row>
    <row r="4710" spans="1:2" ht="112" hidden="1" customHeight="1" x14ac:dyDescent="0.25">
      <c r="A4710" t="s">
        <v>8808</v>
      </c>
      <c r="B4710" t="s">
        <v>8812</v>
      </c>
    </row>
    <row r="4711" spans="1:2" ht="112" hidden="1" customHeight="1" x14ac:dyDescent="0.25">
      <c r="A4711" t="s">
        <v>8809</v>
      </c>
      <c r="B4711" t="s">
        <v>8813</v>
      </c>
    </row>
    <row r="4712" spans="1:2" ht="112" hidden="1" customHeight="1" x14ac:dyDescent="0.25">
      <c r="A4712" t="s">
        <v>8814</v>
      </c>
      <c r="B4712" t="s">
        <v>8817</v>
      </c>
    </row>
    <row r="4713" spans="1:2" ht="112" hidden="1" customHeight="1" x14ac:dyDescent="0.25">
      <c r="A4713" t="s">
        <v>8815</v>
      </c>
      <c r="B4713" t="s">
        <v>8818</v>
      </c>
    </row>
    <row r="4714" spans="1:2" ht="112" hidden="1" customHeight="1" x14ac:dyDescent="0.25">
      <c r="A4714" t="s">
        <v>8816</v>
      </c>
      <c r="B4714" t="s">
        <v>8819</v>
      </c>
    </row>
    <row r="4715" spans="1:2" ht="112" hidden="1" customHeight="1" x14ac:dyDescent="0.25">
      <c r="A4715" t="s">
        <v>8823</v>
      </c>
      <c r="B4715" t="s">
        <v>8932</v>
      </c>
    </row>
    <row r="4716" spans="1:2" ht="112" hidden="1" customHeight="1" x14ac:dyDescent="0.25">
      <c r="A4716" t="s">
        <v>8824</v>
      </c>
      <c r="B4716" t="s">
        <v>8933</v>
      </c>
    </row>
    <row r="4717" spans="1:2" ht="112" hidden="1" customHeight="1" x14ac:dyDescent="0.25">
      <c r="A4717" t="s">
        <v>8825</v>
      </c>
      <c r="B4717" s="56" t="s">
        <v>12266</v>
      </c>
    </row>
    <row r="4718" spans="1:2" ht="112" hidden="1" customHeight="1" x14ac:dyDescent="0.25">
      <c r="A4718" t="s">
        <v>8826</v>
      </c>
      <c r="B4718" t="s">
        <v>8934</v>
      </c>
    </row>
    <row r="4719" spans="1:2" ht="112" hidden="1" customHeight="1" x14ac:dyDescent="0.25">
      <c r="A4719" t="s">
        <v>8827</v>
      </c>
      <c r="B4719" t="s">
        <v>8935</v>
      </c>
    </row>
    <row r="4720" spans="1:2" ht="112" hidden="1" customHeight="1" x14ac:dyDescent="0.25">
      <c r="A4720" t="s">
        <v>8828</v>
      </c>
      <c r="B4720" t="s">
        <v>8936</v>
      </c>
    </row>
    <row r="4721" spans="1:2" ht="112" hidden="1" customHeight="1" x14ac:dyDescent="0.25">
      <c r="A4721" t="s">
        <v>8829</v>
      </c>
      <c r="B4721" t="s">
        <v>8937</v>
      </c>
    </row>
    <row r="4722" spans="1:2" ht="112" hidden="1" customHeight="1" x14ac:dyDescent="0.25">
      <c r="A4722" t="s">
        <v>8830</v>
      </c>
      <c r="B4722" t="s">
        <v>8938</v>
      </c>
    </row>
    <row r="4723" spans="1:2" ht="112" hidden="1" customHeight="1" x14ac:dyDescent="0.25">
      <c r="A4723" t="s">
        <v>8831</v>
      </c>
      <c r="B4723" t="s">
        <v>8939</v>
      </c>
    </row>
    <row r="4724" spans="1:2" ht="112" hidden="1" customHeight="1" x14ac:dyDescent="0.25">
      <c r="A4724" t="s">
        <v>8832</v>
      </c>
      <c r="B4724" t="s">
        <v>8940</v>
      </c>
    </row>
    <row r="4725" spans="1:2" ht="112" hidden="1" customHeight="1" x14ac:dyDescent="0.25">
      <c r="A4725" t="s">
        <v>8833</v>
      </c>
      <c r="B4725" t="s">
        <v>8941</v>
      </c>
    </row>
    <row r="4726" spans="1:2" ht="112" hidden="1" customHeight="1" x14ac:dyDescent="0.25">
      <c r="A4726" t="s">
        <v>8834</v>
      </c>
      <c r="B4726" t="s">
        <v>8942</v>
      </c>
    </row>
    <row r="4727" spans="1:2" ht="112" hidden="1" customHeight="1" x14ac:dyDescent="0.25">
      <c r="A4727" t="s">
        <v>8835</v>
      </c>
      <c r="B4727" t="s">
        <v>8943</v>
      </c>
    </row>
    <row r="4728" spans="1:2" ht="112" hidden="1" customHeight="1" x14ac:dyDescent="0.25">
      <c r="A4728" t="s">
        <v>8836</v>
      </c>
      <c r="B4728" t="s">
        <v>8944</v>
      </c>
    </row>
    <row r="4729" spans="1:2" ht="112" hidden="1" customHeight="1" x14ac:dyDescent="0.25">
      <c r="A4729" t="s">
        <v>8837</v>
      </c>
      <c r="B4729" t="s">
        <v>8945</v>
      </c>
    </row>
    <row r="4730" spans="1:2" ht="112" hidden="1" customHeight="1" x14ac:dyDescent="0.25">
      <c r="A4730" t="s">
        <v>8838</v>
      </c>
      <c r="B4730" t="s">
        <v>8946</v>
      </c>
    </row>
    <row r="4731" spans="1:2" ht="112" hidden="1" customHeight="1" x14ac:dyDescent="0.25">
      <c r="A4731" t="s">
        <v>8839</v>
      </c>
      <c r="B4731" t="s">
        <v>8947</v>
      </c>
    </row>
    <row r="4732" spans="1:2" ht="112" hidden="1" customHeight="1" x14ac:dyDescent="0.25">
      <c r="A4732" t="s">
        <v>8840</v>
      </c>
      <c r="B4732" t="s">
        <v>8948</v>
      </c>
    </row>
    <row r="4733" spans="1:2" ht="112" hidden="1" customHeight="1" x14ac:dyDescent="0.25">
      <c r="A4733" t="s">
        <v>8841</v>
      </c>
      <c r="B4733" t="s">
        <v>8949</v>
      </c>
    </row>
    <row r="4734" spans="1:2" ht="112" hidden="1" customHeight="1" x14ac:dyDescent="0.25">
      <c r="A4734" t="s">
        <v>8842</v>
      </c>
      <c r="B4734" t="s">
        <v>8950</v>
      </c>
    </row>
    <row r="4735" spans="1:2" ht="112" hidden="1" customHeight="1" x14ac:dyDescent="0.25">
      <c r="A4735" t="s">
        <v>8843</v>
      </c>
      <c r="B4735" t="s">
        <v>8951</v>
      </c>
    </row>
    <row r="4736" spans="1:2" ht="112" hidden="1" customHeight="1" x14ac:dyDescent="0.25">
      <c r="A4736" t="s">
        <v>8844</v>
      </c>
      <c r="B4736" t="s">
        <v>8952</v>
      </c>
    </row>
    <row r="4737" spans="1:2" ht="112" hidden="1" customHeight="1" x14ac:dyDescent="0.25">
      <c r="A4737" t="s">
        <v>8845</v>
      </c>
      <c r="B4737" t="s">
        <v>8953</v>
      </c>
    </row>
    <row r="4738" spans="1:2" ht="112" hidden="1" customHeight="1" x14ac:dyDescent="0.25">
      <c r="A4738" t="s">
        <v>8846</v>
      </c>
      <c r="B4738" t="s">
        <v>8954</v>
      </c>
    </row>
    <row r="4739" spans="1:2" ht="112" hidden="1" customHeight="1" x14ac:dyDescent="0.25">
      <c r="A4739" t="s">
        <v>8847</v>
      </c>
      <c r="B4739" t="s">
        <v>8955</v>
      </c>
    </row>
    <row r="4740" spans="1:2" ht="112" hidden="1" customHeight="1" x14ac:dyDescent="0.25">
      <c r="A4740" t="s">
        <v>8848</v>
      </c>
      <c r="B4740" t="s">
        <v>8956</v>
      </c>
    </row>
    <row r="4741" spans="1:2" ht="112" hidden="1" customHeight="1" x14ac:dyDescent="0.25">
      <c r="A4741" t="s">
        <v>8849</v>
      </c>
      <c r="B4741" t="s">
        <v>8957</v>
      </c>
    </row>
    <row r="4742" spans="1:2" ht="112" hidden="1" customHeight="1" x14ac:dyDescent="0.25">
      <c r="A4742" t="s">
        <v>8850</v>
      </c>
      <c r="B4742" t="s">
        <v>8958</v>
      </c>
    </row>
    <row r="4743" spans="1:2" ht="112" hidden="1" customHeight="1" x14ac:dyDescent="0.25">
      <c r="A4743" t="s">
        <v>8851</v>
      </c>
      <c r="B4743" t="s">
        <v>8959</v>
      </c>
    </row>
    <row r="4744" spans="1:2" ht="112" hidden="1" customHeight="1" x14ac:dyDescent="0.25">
      <c r="A4744" t="s">
        <v>8852</v>
      </c>
      <c r="B4744" t="s">
        <v>8960</v>
      </c>
    </row>
    <row r="4745" spans="1:2" ht="112" hidden="1" customHeight="1" x14ac:dyDescent="0.25">
      <c r="A4745" t="s">
        <v>8853</v>
      </c>
      <c r="B4745" t="s">
        <v>8961</v>
      </c>
    </row>
    <row r="4746" spans="1:2" ht="112" hidden="1" customHeight="1" x14ac:dyDescent="0.25">
      <c r="A4746" t="s">
        <v>8854</v>
      </c>
      <c r="B4746" t="s">
        <v>8962</v>
      </c>
    </row>
    <row r="4747" spans="1:2" ht="112" hidden="1" customHeight="1" x14ac:dyDescent="0.25">
      <c r="A4747" t="s">
        <v>8855</v>
      </c>
      <c r="B4747" t="s">
        <v>8963</v>
      </c>
    </row>
    <row r="4748" spans="1:2" ht="112" hidden="1" customHeight="1" x14ac:dyDescent="0.25">
      <c r="A4748" t="s">
        <v>8856</v>
      </c>
      <c r="B4748" t="s">
        <v>8964</v>
      </c>
    </row>
    <row r="4749" spans="1:2" ht="112" hidden="1" customHeight="1" x14ac:dyDescent="0.25">
      <c r="A4749" t="s">
        <v>8857</v>
      </c>
      <c r="B4749" t="s">
        <v>8965</v>
      </c>
    </row>
    <row r="4750" spans="1:2" ht="112" hidden="1" customHeight="1" x14ac:dyDescent="0.25">
      <c r="A4750" t="s">
        <v>8858</v>
      </c>
      <c r="B4750" t="s">
        <v>8966</v>
      </c>
    </row>
    <row r="4751" spans="1:2" ht="112" hidden="1" customHeight="1" x14ac:dyDescent="0.25">
      <c r="A4751" t="s">
        <v>8859</v>
      </c>
      <c r="B4751" t="s">
        <v>8967</v>
      </c>
    </row>
    <row r="4752" spans="1:2" ht="112" hidden="1" customHeight="1" x14ac:dyDescent="0.25">
      <c r="A4752" t="s">
        <v>8860</v>
      </c>
      <c r="B4752" t="s">
        <v>8968</v>
      </c>
    </row>
    <row r="4753" spans="1:2" ht="112" hidden="1" customHeight="1" x14ac:dyDescent="0.25">
      <c r="A4753" t="s">
        <v>8861</v>
      </c>
      <c r="B4753" t="s">
        <v>8969</v>
      </c>
    </row>
    <row r="4754" spans="1:2" ht="112" hidden="1" customHeight="1" x14ac:dyDescent="0.25">
      <c r="A4754" t="s">
        <v>8862</v>
      </c>
      <c r="B4754" t="s">
        <v>8970</v>
      </c>
    </row>
    <row r="4755" spans="1:2" ht="112" hidden="1" customHeight="1" x14ac:dyDescent="0.25">
      <c r="A4755" t="s">
        <v>8863</v>
      </c>
      <c r="B4755" t="s">
        <v>8971</v>
      </c>
    </row>
    <row r="4756" spans="1:2" ht="112" hidden="1" customHeight="1" x14ac:dyDescent="0.25">
      <c r="A4756" t="s">
        <v>8864</v>
      </c>
      <c r="B4756" t="s">
        <v>8972</v>
      </c>
    </row>
    <row r="4757" spans="1:2" ht="112" hidden="1" customHeight="1" x14ac:dyDescent="0.25">
      <c r="A4757" t="s">
        <v>8865</v>
      </c>
      <c r="B4757" t="s">
        <v>8973</v>
      </c>
    </row>
    <row r="4758" spans="1:2" ht="112" hidden="1" customHeight="1" x14ac:dyDescent="0.25">
      <c r="A4758" t="s">
        <v>8866</v>
      </c>
      <c r="B4758" t="s">
        <v>8974</v>
      </c>
    </row>
    <row r="4759" spans="1:2" ht="112" hidden="1" customHeight="1" x14ac:dyDescent="0.25">
      <c r="A4759" t="s">
        <v>8867</v>
      </c>
      <c r="B4759" t="s">
        <v>8975</v>
      </c>
    </row>
    <row r="4760" spans="1:2" ht="112" hidden="1" customHeight="1" x14ac:dyDescent="0.25">
      <c r="A4760" t="s">
        <v>8868</v>
      </c>
      <c r="B4760" t="s">
        <v>8976</v>
      </c>
    </row>
    <row r="4761" spans="1:2" ht="112" hidden="1" customHeight="1" x14ac:dyDescent="0.25">
      <c r="A4761" t="s">
        <v>8869</v>
      </c>
      <c r="B4761" t="s">
        <v>8977</v>
      </c>
    </row>
    <row r="4762" spans="1:2" ht="112" hidden="1" customHeight="1" x14ac:dyDescent="0.25">
      <c r="A4762" t="s">
        <v>8870</v>
      </c>
      <c r="B4762" t="s">
        <v>8978</v>
      </c>
    </row>
    <row r="4763" spans="1:2" ht="112" hidden="1" customHeight="1" x14ac:dyDescent="0.25">
      <c r="A4763" t="s">
        <v>8871</v>
      </c>
      <c r="B4763" t="s">
        <v>8979</v>
      </c>
    </row>
    <row r="4764" spans="1:2" ht="112" hidden="1" customHeight="1" x14ac:dyDescent="0.25">
      <c r="A4764" t="s">
        <v>8872</v>
      </c>
      <c r="B4764" t="s">
        <v>8980</v>
      </c>
    </row>
    <row r="4765" spans="1:2" ht="112" hidden="1" customHeight="1" x14ac:dyDescent="0.25">
      <c r="A4765" t="s">
        <v>8873</v>
      </c>
      <c r="B4765" t="s">
        <v>8981</v>
      </c>
    </row>
    <row r="4766" spans="1:2" ht="112" hidden="1" customHeight="1" x14ac:dyDescent="0.25">
      <c r="A4766" t="s">
        <v>8874</v>
      </c>
      <c r="B4766" t="s">
        <v>8982</v>
      </c>
    </row>
    <row r="4767" spans="1:2" ht="112" hidden="1" customHeight="1" x14ac:dyDescent="0.25">
      <c r="A4767" t="s">
        <v>8875</v>
      </c>
      <c r="B4767" t="s">
        <v>8983</v>
      </c>
    </row>
    <row r="4768" spans="1:2" ht="112" hidden="1" customHeight="1" x14ac:dyDescent="0.25">
      <c r="A4768" t="s">
        <v>8876</v>
      </c>
      <c r="B4768" t="s">
        <v>8984</v>
      </c>
    </row>
    <row r="4769" spans="1:2" ht="112" hidden="1" customHeight="1" x14ac:dyDescent="0.25">
      <c r="A4769" t="s">
        <v>8877</v>
      </c>
      <c r="B4769" t="s">
        <v>8985</v>
      </c>
    </row>
    <row r="4770" spans="1:2" ht="112" hidden="1" customHeight="1" x14ac:dyDescent="0.25">
      <c r="A4770" t="s">
        <v>8878</v>
      </c>
      <c r="B4770" t="s">
        <v>8986</v>
      </c>
    </row>
    <row r="4771" spans="1:2" ht="112" hidden="1" customHeight="1" x14ac:dyDescent="0.25">
      <c r="A4771" t="s">
        <v>8879</v>
      </c>
      <c r="B4771" t="s">
        <v>8987</v>
      </c>
    </row>
    <row r="4772" spans="1:2" ht="112" hidden="1" customHeight="1" x14ac:dyDescent="0.25">
      <c r="A4772" t="s">
        <v>8880</v>
      </c>
      <c r="B4772" t="s">
        <v>8988</v>
      </c>
    </row>
    <row r="4773" spans="1:2" ht="112" hidden="1" customHeight="1" x14ac:dyDescent="0.25">
      <c r="A4773" t="s">
        <v>8881</v>
      </c>
      <c r="B4773" t="s">
        <v>8989</v>
      </c>
    </row>
    <row r="4774" spans="1:2" ht="112" hidden="1" customHeight="1" x14ac:dyDescent="0.25">
      <c r="A4774" t="s">
        <v>8882</v>
      </c>
      <c r="B4774" t="s">
        <v>8990</v>
      </c>
    </row>
    <row r="4775" spans="1:2" ht="112" hidden="1" customHeight="1" x14ac:dyDescent="0.25">
      <c r="A4775" t="s">
        <v>8883</v>
      </c>
      <c r="B4775" t="s">
        <v>8991</v>
      </c>
    </row>
    <row r="4776" spans="1:2" ht="112" hidden="1" customHeight="1" x14ac:dyDescent="0.25">
      <c r="A4776" t="s">
        <v>8884</v>
      </c>
      <c r="B4776" t="s">
        <v>8992</v>
      </c>
    </row>
    <row r="4777" spans="1:2" ht="112" hidden="1" customHeight="1" x14ac:dyDescent="0.25">
      <c r="A4777" t="s">
        <v>8885</v>
      </c>
      <c r="B4777" t="s">
        <v>8993</v>
      </c>
    </row>
    <row r="4778" spans="1:2" ht="112" hidden="1" customHeight="1" x14ac:dyDescent="0.25">
      <c r="A4778" t="s">
        <v>8886</v>
      </c>
      <c r="B4778" t="s">
        <v>8994</v>
      </c>
    </row>
    <row r="4779" spans="1:2" ht="112" hidden="1" customHeight="1" x14ac:dyDescent="0.25">
      <c r="A4779" t="s">
        <v>8887</v>
      </c>
      <c r="B4779" t="s">
        <v>8995</v>
      </c>
    </row>
    <row r="4780" spans="1:2" ht="112" hidden="1" customHeight="1" x14ac:dyDescent="0.25">
      <c r="A4780" t="s">
        <v>8888</v>
      </c>
      <c r="B4780" t="s">
        <v>8996</v>
      </c>
    </row>
    <row r="4781" spans="1:2" ht="112" hidden="1" customHeight="1" x14ac:dyDescent="0.25">
      <c r="A4781" t="s">
        <v>8889</v>
      </c>
      <c r="B4781" t="s">
        <v>8997</v>
      </c>
    </row>
    <row r="4782" spans="1:2" ht="112" hidden="1" customHeight="1" x14ac:dyDescent="0.25">
      <c r="A4782" t="s">
        <v>8890</v>
      </c>
      <c r="B4782" t="s">
        <v>8998</v>
      </c>
    </row>
    <row r="4783" spans="1:2" ht="112" hidden="1" customHeight="1" x14ac:dyDescent="0.25">
      <c r="A4783" t="s">
        <v>8891</v>
      </c>
      <c r="B4783" t="s">
        <v>8999</v>
      </c>
    </row>
    <row r="4784" spans="1:2" ht="112" hidden="1" customHeight="1" x14ac:dyDescent="0.25">
      <c r="A4784" t="s">
        <v>8892</v>
      </c>
      <c r="B4784" t="s">
        <v>9000</v>
      </c>
    </row>
    <row r="4785" spans="1:2" ht="112" hidden="1" customHeight="1" x14ac:dyDescent="0.25">
      <c r="A4785" t="s">
        <v>8893</v>
      </c>
      <c r="B4785" t="s">
        <v>9001</v>
      </c>
    </row>
    <row r="4786" spans="1:2" ht="112" hidden="1" customHeight="1" x14ac:dyDescent="0.25">
      <c r="A4786" t="s">
        <v>8894</v>
      </c>
      <c r="B4786" t="s">
        <v>9002</v>
      </c>
    </row>
    <row r="4787" spans="1:2" ht="112" hidden="1" customHeight="1" x14ac:dyDescent="0.25">
      <c r="A4787" t="s">
        <v>8895</v>
      </c>
      <c r="B4787" t="s">
        <v>9003</v>
      </c>
    </row>
    <row r="4788" spans="1:2" ht="112" hidden="1" customHeight="1" x14ac:dyDescent="0.25">
      <c r="A4788" t="s">
        <v>8896</v>
      </c>
      <c r="B4788" t="s">
        <v>9004</v>
      </c>
    </row>
    <row r="4789" spans="1:2" ht="112" hidden="1" customHeight="1" x14ac:dyDescent="0.25">
      <c r="A4789" t="s">
        <v>8897</v>
      </c>
      <c r="B4789" t="s">
        <v>9005</v>
      </c>
    </row>
    <row r="4790" spans="1:2" ht="112" hidden="1" customHeight="1" x14ac:dyDescent="0.25">
      <c r="A4790" t="s">
        <v>8898</v>
      </c>
      <c r="B4790" t="s">
        <v>9006</v>
      </c>
    </row>
    <row r="4791" spans="1:2" ht="112" hidden="1" customHeight="1" x14ac:dyDescent="0.25">
      <c r="A4791" t="s">
        <v>8899</v>
      </c>
      <c r="B4791" t="s">
        <v>9007</v>
      </c>
    </row>
    <row r="4792" spans="1:2" ht="112" hidden="1" customHeight="1" x14ac:dyDescent="0.25">
      <c r="A4792" t="s">
        <v>8900</v>
      </c>
      <c r="B4792" t="s">
        <v>9008</v>
      </c>
    </row>
    <row r="4793" spans="1:2" ht="112" hidden="1" customHeight="1" x14ac:dyDescent="0.25">
      <c r="A4793" t="s">
        <v>8901</v>
      </c>
      <c r="B4793" t="s">
        <v>9009</v>
      </c>
    </row>
    <row r="4794" spans="1:2" ht="112" hidden="1" customHeight="1" x14ac:dyDescent="0.25">
      <c r="A4794" t="s">
        <v>8902</v>
      </c>
      <c r="B4794" t="s">
        <v>9010</v>
      </c>
    </row>
    <row r="4795" spans="1:2" ht="112" hidden="1" customHeight="1" x14ac:dyDescent="0.25">
      <c r="A4795" t="s">
        <v>8903</v>
      </c>
      <c r="B4795" t="s">
        <v>9011</v>
      </c>
    </row>
    <row r="4796" spans="1:2" ht="112" hidden="1" customHeight="1" x14ac:dyDescent="0.25">
      <c r="A4796" t="s">
        <v>8904</v>
      </c>
      <c r="B4796" t="s">
        <v>9012</v>
      </c>
    </row>
    <row r="4797" spans="1:2" ht="112" hidden="1" customHeight="1" x14ac:dyDescent="0.25">
      <c r="A4797" t="s">
        <v>8905</v>
      </c>
      <c r="B4797" t="s">
        <v>9013</v>
      </c>
    </row>
    <row r="4798" spans="1:2" ht="112" hidden="1" customHeight="1" x14ac:dyDescent="0.25">
      <c r="A4798" t="s">
        <v>8906</v>
      </c>
      <c r="B4798" t="s">
        <v>9014</v>
      </c>
    </row>
    <row r="4799" spans="1:2" ht="112" hidden="1" customHeight="1" x14ac:dyDescent="0.25">
      <c r="A4799" t="s">
        <v>8907</v>
      </c>
      <c r="B4799" t="s">
        <v>9015</v>
      </c>
    </row>
    <row r="4800" spans="1:2" ht="112" hidden="1" customHeight="1" x14ac:dyDescent="0.25">
      <c r="A4800" t="s">
        <v>8908</v>
      </c>
      <c r="B4800" t="s">
        <v>9016</v>
      </c>
    </row>
    <row r="4801" spans="1:2" ht="112" hidden="1" customHeight="1" x14ac:dyDescent="0.25">
      <c r="A4801" t="s">
        <v>8909</v>
      </c>
      <c r="B4801" t="s">
        <v>9017</v>
      </c>
    </row>
    <row r="4802" spans="1:2" ht="112" hidden="1" customHeight="1" x14ac:dyDescent="0.25">
      <c r="A4802" t="s">
        <v>8910</v>
      </c>
      <c r="B4802" t="s">
        <v>9018</v>
      </c>
    </row>
    <row r="4803" spans="1:2" ht="112" hidden="1" customHeight="1" x14ac:dyDescent="0.25">
      <c r="A4803" t="s">
        <v>8911</v>
      </c>
      <c r="B4803" t="s">
        <v>9019</v>
      </c>
    </row>
    <row r="4804" spans="1:2" ht="112" hidden="1" customHeight="1" x14ac:dyDescent="0.25">
      <c r="A4804" t="s">
        <v>8912</v>
      </c>
      <c r="B4804" t="s">
        <v>9020</v>
      </c>
    </row>
    <row r="4805" spans="1:2" ht="112" hidden="1" customHeight="1" x14ac:dyDescent="0.25">
      <c r="A4805" t="s">
        <v>8913</v>
      </c>
      <c r="B4805" t="s">
        <v>9021</v>
      </c>
    </row>
    <row r="4806" spans="1:2" ht="112" hidden="1" customHeight="1" x14ac:dyDescent="0.25">
      <c r="A4806" t="s">
        <v>8914</v>
      </c>
      <c r="B4806" t="s">
        <v>9022</v>
      </c>
    </row>
    <row r="4807" spans="1:2" ht="112" hidden="1" customHeight="1" x14ac:dyDescent="0.25">
      <c r="A4807" t="s">
        <v>8915</v>
      </c>
      <c r="B4807" t="s">
        <v>9023</v>
      </c>
    </row>
    <row r="4808" spans="1:2" ht="112" hidden="1" customHeight="1" x14ac:dyDescent="0.25">
      <c r="A4808" t="s">
        <v>8916</v>
      </c>
      <c r="B4808" t="s">
        <v>9024</v>
      </c>
    </row>
    <row r="4809" spans="1:2" ht="112" hidden="1" customHeight="1" x14ac:dyDescent="0.25">
      <c r="A4809" t="s">
        <v>8917</v>
      </c>
      <c r="B4809" t="s">
        <v>9025</v>
      </c>
    </row>
    <row r="4810" spans="1:2" ht="112" hidden="1" customHeight="1" x14ac:dyDescent="0.25">
      <c r="A4810" t="s">
        <v>8918</v>
      </c>
      <c r="B4810" t="s">
        <v>9026</v>
      </c>
    </row>
    <row r="4811" spans="1:2" ht="112" hidden="1" customHeight="1" x14ac:dyDescent="0.25">
      <c r="A4811" t="s">
        <v>8919</v>
      </c>
      <c r="B4811" t="s">
        <v>9027</v>
      </c>
    </row>
    <row r="4812" spans="1:2" ht="112" hidden="1" customHeight="1" x14ac:dyDescent="0.25">
      <c r="A4812" t="s">
        <v>8920</v>
      </c>
      <c r="B4812" t="s">
        <v>9028</v>
      </c>
    </row>
    <row r="4813" spans="1:2" ht="112" hidden="1" customHeight="1" x14ac:dyDescent="0.25">
      <c r="A4813" t="s">
        <v>8921</v>
      </c>
      <c r="B4813" t="s">
        <v>9029</v>
      </c>
    </row>
    <row r="4814" spans="1:2" ht="112" hidden="1" customHeight="1" x14ac:dyDescent="0.25">
      <c r="A4814" t="s">
        <v>8922</v>
      </c>
      <c r="B4814" t="s">
        <v>9030</v>
      </c>
    </row>
    <row r="4815" spans="1:2" ht="112" hidden="1" customHeight="1" x14ac:dyDescent="0.25">
      <c r="A4815" t="s">
        <v>8923</v>
      </c>
      <c r="B4815" t="s">
        <v>9031</v>
      </c>
    </row>
    <row r="4816" spans="1:2" ht="112" hidden="1" customHeight="1" x14ac:dyDescent="0.25">
      <c r="A4816" t="s">
        <v>8924</v>
      </c>
      <c r="B4816" t="s">
        <v>9032</v>
      </c>
    </row>
    <row r="4817" spans="1:2" ht="112" hidden="1" customHeight="1" x14ac:dyDescent="0.25">
      <c r="A4817" t="s">
        <v>8925</v>
      </c>
      <c r="B4817" t="s">
        <v>9033</v>
      </c>
    </row>
    <row r="4818" spans="1:2" ht="112" hidden="1" customHeight="1" x14ac:dyDescent="0.25">
      <c r="A4818" t="s">
        <v>8926</v>
      </c>
      <c r="B4818" t="s">
        <v>9034</v>
      </c>
    </row>
    <row r="4819" spans="1:2" ht="112" hidden="1" customHeight="1" x14ac:dyDescent="0.25">
      <c r="A4819" t="s">
        <v>8927</v>
      </c>
      <c r="B4819" t="s">
        <v>9035</v>
      </c>
    </row>
    <row r="4820" spans="1:2" ht="112" hidden="1" customHeight="1" x14ac:dyDescent="0.25">
      <c r="A4820" t="s">
        <v>8928</v>
      </c>
      <c r="B4820" t="s">
        <v>9036</v>
      </c>
    </row>
    <row r="4821" spans="1:2" ht="112" hidden="1" customHeight="1" x14ac:dyDescent="0.25">
      <c r="A4821" t="s">
        <v>8929</v>
      </c>
      <c r="B4821" t="s">
        <v>9037</v>
      </c>
    </row>
    <row r="4822" spans="1:2" ht="112" hidden="1" customHeight="1" x14ac:dyDescent="0.25">
      <c r="A4822" t="s">
        <v>8930</v>
      </c>
      <c r="B4822" t="s">
        <v>9038</v>
      </c>
    </row>
    <row r="4823" spans="1:2" ht="112" hidden="1" customHeight="1" x14ac:dyDescent="0.25">
      <c r="A4823" t="s">
        <v>8931</v>
      </c>
      <c r="B4823" t="s">
        <v>9039</v>
      </c>
    </row>
    <row r="4824" spans="1:2" ht="112" hidden="1" customHeight="1" x14ac:dyDescent="0.25">
      <c r="A4824" t="s">
        <v>9040</v>
      </c>
      <c r="B4824" s="56" t="s">
        <v>9041</v>
      </c>
    </row>
    <row r="4825" spans="1:2" ht="112" hidden="1" customHeight="1" x14ac:dyDescent="0.25">
      <c r="A4825" t="s">
        <v>9042</v>
      </c>
      <c r="B4825" t="s">
        <v>9043</v>
      </c>
    </row>
    <row r="4826" spans="1:2" ht="112" hidden="1" customHeight="1" x14ac:dyDescent="0.25">
      <c r="A4826" t="s">
        <v>9044</v>
      </c>
      <c r="B4826" s="56" t="s">
        <v>9049</v>
      </c>
    </row>
    <row r="4827" spans="1:2" ht="112" hidden="1" customHeight="1" x14ac:dyDescent="0.25">
      <c r="A4827" t="s">
        <v>9045</v>
      </c>
      <c r="B4827" t="s">
        <v>9047</v>
      </c>
    </row>
    <row r="4828" spans="1:2" ht="112" hidden="1" customHeight="1" x14ac:dyDescent="0.25">
      <c r="A4828" t="s">
        <v>9046</v>
      </c>
      <c r="B4828" t="s">
        <v>9048</v>
      </c>
    </row>
    <row r="4829" spans="1:2" ht="112" hidden="1" customHeight="1" x14ac:dyDescent="0.25">
      <c r="A4829" t="s">
        <v>9050</v>
      </c>
      <c r="B4829" t="s">
        <v>9051</v>
      </c>
    </row>
    <row r="4830" spans="1:2" ht="112" hidden="1" customHeight="1" x14ac:dyDescent="0.25">
      <c r="A4830" t="s">
        <v>9053</v>
      </c>
      <c r="B4830" t="s">
        <v>9054</v>
      </c>
    </row>
    <row r="4831" spans="1:2" ht="112" hidden="1" customHeight="1" x14ac:dyDescent="0.25">
      <c r="A4831" t="s">
        <v>9055</v>
      </c>
      <c r="B4831" t="s">
        <v>9066</v>
      </c>
    </row>
    <row r="4832" spans="1:2" ht="112" hidden="1" customHeight="1" x14ac:dyDescent="0.25">
      <c r="A4832" t="s">
        <v>9056</v>
      </c>
      <c r="B4832" t="s">
        <v>9067</v>
      </c>
    </row>
    <row r="4833" spans="1:2" ht="112" hidden="1" customHeight="1" x14ac:dyDescent="0.25">
      <c r="A4833" t="s">
        <v>9057</v>
      </c>
      <c r="B4833" t="s">
        <v>9068</v>
      </c>
    </row>
    <row r="4834" spans="1:2" ht="112" hidden="1" customHeight="1" x14ac:dyDescent="0.25">
      <c r="A4834" t="s">
        <v>9058</v>
      </c>
      <c r="B4834" t="s">
        <v>9069</v>
      </c>
    </row>
    <row r="4835" spans="1:2" ht="112" hidden="1" customHeight="1" x14ac:dyDescent="0.25">
      <c r="A4835" t="s">
        <v>9059</v>
      </c>
      <c r="B4835" t="s">
        <v>9070</v>
      </c>
    </row>
    <row r="4836" spans="1:2" ht="112" hidden="1" customHeight="1" x14ac:dyDescent="0.25">
      <c r="A4836" t="s">
        <v>9060</v>
      </c>
      <c r="B4836" t="s">
        <v>9071</v>
      </c>
    </row>
    <row r="4837" spans="1:2" ht="112" hidden="1" customHeight="1" x14ac:dyDescent="0.25">
      <c r="A4837" t="s">
        <v>9061</v>
      </c>
      <c r="B4837" s="56" t="s">
        <v>12091</v>
      </c>
    </row>
    <row r="4838" spans="1:2" ht="112" hidden="1" customHeight="1" x14ac:dyDescent="0.25">
      <c r="A4838" t="s">
        <v>9062</v>
      </c>
      <c r="B4838" s="56" t="s">
        <v>9072</v>
      </c>
    </row>
    <row r="4839" spans="1:2" ht="112" hidden="1" customHeight="1" x14ac:dyDescent="0.25">
      <c r="A4839" t="s">
        <v>9073</v>
      </c>
      <c r="B4839" t="s">
        <v>9074</v>
      </c>
    </row>
    <row r="4840" spans="1:2" ht="112" hidden="1" customHeight="1" x14ac:dyDescent="0.25">
      <c r="A4840" t="s">
        <v>9075</v>
      </c>
      <c r="B4840" s="56" t="s">
        <v>9076</v>
      </c>
    </row>
    <row r="4841" spans="1:2" ht="112" hidden="1" customHeight="1" x14ac:dyDescent="0.25">
      <c r="A4841" t="s">
        <v>9077</v>
      </c>
      <c r="B4841" s="56" t="s">
        <v>9114</v>
      </c>
    </row>
    <row r="4842" spans="1:2" ht="112" hidden="1" customHeight="1" x14ac:dyDescent="0.25">
      <c r="A4842" t="s">
        <v>9078</v>
      </c>
      <c r="B4842" s="56" t="s">
        <v>9115</v>
      </c>
    </row>
    <row r="4843" spans="1:2" ht="112" hidden="1" customHeight="1" x14ac:dyDescent="0.25">
      <c r="A4843" t="s">
        <v>9079</v>
      </c>
      <c r="B4843" s="56" t="s">
        <v>9116</v>
      </c>
    </row>
    <row r="4844" spans="1:2" ht="112" hidden="1" customHeight="1" x14ac:dyDescent="0.25">
      <c r="A4844" t="s">
        <v>9080</v>
      </c>
      <c r="B4844" s="56" t="s">
        <v>9117</v>
      </c>
    </row>
    <row r="4845" spans="1:2" ht="112" hidden="1" customHeight="1" x14ac:dyDescent="0.25">
      <c r="A4845" t="s">
        <v>9081</v>
      </c>
      <c r="B4845" s="56" t="s">
        <v>11250</v>
      </c>
    </row>
    <row r="4846" spans="1:2" ht="112" hidden="1" customHeight="1" x14ac:dyDescent="0.25">
      <c r="A4846" t="s">
        <v>9082</v>
      </c>
      <c r="B4846" s="56" t="s">
        <v>11251</v>
      </c>
    </row>
    <row r="4847" spans="1:2" ht="112" hidden="1" customHeight="1" x14ac:dyDescent="0.25">
      <c r="A4847" t="s">
        <v>9083</v>
      </c>
      <c r="B4847" s="56" t="s">
        <v>11252</v>
      </c>
    </row>
    <row r="4848" spans="1:2" ht="112" hidden="1" customHeight="1" x14ac:dyDescent="0.25">
      <c r="A4848" t="s">
        <v>9084</v>
      </c>
      <c r="B4848" s="56" t="s">
        <v>11253</v>
      </c>
    </row>
    <row r="4849" spans="1:2" ht="112" hidden="1" customHeight="1" x14ac:dyDescent="0.25">
      <c r="A4849" t="s">
        <v>9085</v>
      </c>
      <c r="B4849" s="56" t="s">
        <v>11254</v>
      </c>
    </row>
    <row r="4850" spans="1:2" ht="112" hidden="1" customHeight="1" x14ac:dyDescent="0.25">
      <c r="A4850" t="s">
        <v>9086</v>
      </c>
      <c r="B4850" s="56" t="s">
        <v>11255</v>
      </c>
    </row>
    <row r="4851" spans="1:2" ht="112" hidden="1" customHeight="1" x14ac:dyDescent="0.25">
      <c r="A4851" t="s">
        <v>9087</v>
      </c>
      <c r="B4851" s="56" t="s">
        <v>11256</v>
      </c>
    </row>
    <row r="4852" spans="1:2" ht="112" hidden="1" customHeight="1" x14ac:dyDescent="0.25">
      <c r="A4852" t="s">
        <v>9088</v>
      </c>
      <c r="B4852" s="56" t="s">
        <v>9118</v>
      </c>
    </row>
    <row r="4853" spans="1:2" ht="112" hidden="1" customHeight="1" x14ac:dyDescent="0.25">
      <c r="A4853" t="s">
        <v>9089</v>
      </c>
      <c r="B4853" s="56" t="s">
        <v>9119</v>
      </c>
    </row>
    <row r="4854" spans="1:2" ht="112" hidden="1" customHeight="1" x14ac:dyDescent="0.25">
      <c r="A4854" t="s">
        <v>9090</v>
      </c>
      <c r="B4854" s="56" t="s">
        <v>9120</v>
      </c>
    </row>
    <row r="4855" spans="1:2" ht="112" hidden="1" customHeight="1" x14ac:dyDescent="0.25">
      <c r="A4855" t="s">
        <v>9091</v>
      </c>
      <c r="B4855" s="56" t="s">
        <v>11249</v>
      </c>
    </row>
    <row r="4856" spans="1:2" ht="112" hidden="1" customHeight="1" x14ac:dyDescent="0.25">
      <c r="A4856" t="s">
        <v>9092</v>
      </c>
      <c r="B4856" s="56" t="s">
        <v>9121</v>
      </c>
    </row>
    <row r="4857" spans="1:2" ht="112" hidden="1" customHeight="1" x14ac:dyDescent="0.25">
      <c r="A4857" t="s">
        <v>9093</v>
      </c>
      <c r="B4857" s="56" t="s">
        <v>9253</v>
      </c>
    </row>
    <row r="4858" spans="1:2" ht="112" hidden="1" customHeight="1" x14ac:dyDescent="0.25">
      <c r="A4858" t="s">
        <v>9094</v>
      </c>
      <c r="B4858" s="56" t="s">
        <v>9127</v>
      </c>
    </row>
    <row r="4859" spans="1:2" ht="112" hidden="1" customHeight="1" x14ac:dyDescent="0.25">
      <c r="A4859" t="s">
        <v>9095</v>
      </c>
      <c r="B4859" s="56" t="s">
        <v>9122</v>
      </c>
    </row>
    <row r="4860" spans="1:2" ht="112" hidden="1" customHeight="1" x14ac:dyDescent="0.25">
      <c r="A4860" t="s">
        <v>9096</v>
      </c>
      <c r="B4860" s="56" t="s">
        <v>9103</v>
      </c>
    </row>
    <row r="4861" spans="1:2" ht="112" hidden="1" customHeight="1" x14ac:dyDescent="0.25">
      <c r="A4861" t="s">
        <v>9097</v>
      </c>
      <c r="B4861" s="56" t="s">
        <v>9104</v>
      </c>
    </row>
    <row r="4862" spans="1:2" ht="112" hidden="1" customHeight="1" x14ac:dyDescent="0.25">
      <c r="A4862" t="s">
        <v>9098</v>
      </c>
      <c r="B4862" s="56" t="s">
        <v>9123</v>
      </c>
    </row>
    <row r="4863" spans="1:2" ht="112" hidden="1" customHeight="1" x14ac:dyDescent="0.25">
      <c r="A4863" t="s">
        <v>9099</v>
      </c>
      <c r="B4863" s="56" t="s">
        <v>9124</v>
      </c>
    </row>
    <row r="4864" spans="1:2" ht="112" hidden="1" customHeight="1" x14ac:dyDescent="0.25">
      <c r="A4864" t="s">
        <v>9100</v>
      </c>
      <c r="B4864" s="56" t="s">
        <v>9125</v>
      </c>
    </row>
    <row r="4865" spans="1:2" ht="112" hidden="1" customHeight="1" x14ac:dyDescent="0.25">
      <c r="A4865" t="s">
        <v>9101</v>
      </c>
      <c r="B4865" s="56" t="s">
        <v>10995</v>
      </c>
    </row>
    <row r="4866" spans="1:2" ht="112" hidden="1" customHeight="1" x14ac:dyDescent="0.25">
      <c r="A4866" t="s">
        <v>9102</v>
      </c>
      <c r="B4866" s="56" t="s">
        <v>9128</v>
      </c>
    </row>
    <row r="4867" spans="1:2" ht="112" hidden="1" customHeight="1" x14ac:dyDescent="0.25">
      <c r="A4867" t="s">
        <v>9105</v>
      </c>
      <c r="B4867" s="56" t="s">
        <v>9106</v>
      </c>
    </row>
    <row r="4868" spans="1:2" ht="112" hidden="1" customHeight="1" x14ac:dyDescent="0.25">
      <c r="A4868" t="s">
        <v>9107</v>
      </c>
      <c r="B4868" s="56" t="s">
        <v>9110</v>
      </c>
    </row>
    <row r="4869" spans="1:2" ht="112" hidden="1" customHeight="1" x14ac:dyDescent="0.25">
      <c r="A4869" t="s">
        <v>9108</v>
      </c>
      <c r="B4869" s="56" t="s">
        <v>9111</v>
      </c>
    </row>
    <row r="4870" spans="1:2" ht="112" hidden="1" customHeight="1" x14ac:dyDescent="0.25">
      <c r="A4870" t="s">
        <v>9109</v>
      </c>
      <c r="B4870" s="56" t="s">
        <v>9112</v>
      </c>
    </row>
    <row r="4871" spans="1:2" ht="112" hidden="1" customHeight="1" x14ac:dyDescent="0.25">
      <c r="A4871" t="s">
        <v>9113</v>
      </c>
      <c r="B4871" t="s">
        <v>9129</v>
      </c>
    </row>
    <row r="4872" spans="1:2" ht="112" hidden="1" customHeight="1" x14ac:dyDescent="0.25">
      <c r="A4872" t="s">
        <v>9409</v>
      </c>
      <c r="B4872" t="s">
        <v>9410</v>
      </c>
    </row>
    <row r="4873" spans="1:2" ht="112" hidden="1" customHeight="1" x14ac:dyDescent="0.25">
      <c r="A4873" t="s">
        <v>9130</v>
      </c>
      <c r="B4873" t="s">
        <v>9132</v>
      </c>
    </row>
    <row r="4874" spans="1:2" ht="112" hidden="1" customHeight="1" x14ac:dyDescent="0.25">
      <c r="A4874" t="s">
        <v>9131</v>
      </c>
      <c r="B4874" t="s">
        <v>9133</v>
      </c>
    </row>
    <row r="4875" spans="1:2" ht="112" hidden="1" customHeight="1" x14ac:dyDescent="0.25">
      <c r="A4875" t="s">
        <v>9134</v>
      </c>
      <c r="B4875" t="s">
        <v>9153</v>
      </c>
    </row>
    <row r="4876" spans="1:2" ht="112" hidden="1" customHeight="1" x14ac:dyDescent="0.25">
      <c r="A4876" t="s">
        <v>9135</v>
      </c>
      <c r="B4876" t="s">
        <v>9154</v>
      </c>
    </row>
    <row r="4877" spans="1:2" ht="112" hidden="1" customHeight="1" x14ac:dyDescent="0.25">
      <c r="A4877" t="s">
        <v>9136</v>
      </c>
      <c r="B4877" t="s">
        <v>9155</v>
      </c>
    </row>
    <row r="4878" spans="1:2" ht="112" hidden="1" customHeight="1" x14ac:dyDescent="0.25">
      <c r="A4878" t="s">
        <v>9137</v>
      </c>
      <c r="B4878" t="s">
        <v>9156</v>
      </c>
    </row>
    <row r="4879" spans="1:2" ht="112" hidden="1" customHeight="1" x14ac:dyDescent="0.25">
      <c r="A4879" t="s">
        <v>9138</v>
      </c>
      <c r="B4879" t="s">
        <v>9157</v>
      </c>
    </row>
    <row r="4880" spans="1:2" ht="112" hidden="1" customHeight="1" x14ac:dyDescent="0.25">
      <c r="A4880" t="s">
        <v>9139</v>
      </c>
      <c r="B4880" t="s">
        <v>9158</v>
      </c>
    </row>
    <row r="4881" spans="1:2" ht="112" hidden="1" customHeight="1" x14ac:dyDescent="0.25">
      <c r="A4881" t="s">
        <v>9140</v>
      </c>
      <c r="B4881" t="s">
        <v>9159</v>
      </c>
    </row>
    <row r="4882" spans="1:2" ht="112" hidden="1" customHeight="1" x14ac:dyDescent="0.25">
      <c r="A4882" t="s">
        <v>9141</v>
      </c>
      <c r="B4882" t="s">
        <v>9160</v>
      </c>
    </row>
    <row r="4883" spans="1:2" ht="112" hidden="1" customHeight="1" x14ac:dyDescent="0.25">
      <c r="A4883" t="s">
        <v>9142</v>
      </c>
      <c r="B4883" t="s">
        <v>9161</v>
      </c>
    </row>
    <row r="4884" spans="1:2" ht="112" hidden="1" customHeight="1" x14ac:dyDescent="0.25">
      <c r="A4884" t="s">
        <v>9143</v>
      </c>
      <c r="B4884" t="s">
        <v>9162</v>
      </c>
    </row>
    <row r="4885" spans="1:2" ht="112" hidden="1" customHeight="1" x14ac:dyDescent="0.25">
      <c r="A4885" t="s">
        <v>9144</v>
      </c>
      <c r="B4885" t="s">
        <v>9163</v>
      </c>
    </row>
    <row r="4886" spans="1:2" ht="112" hidden="1" customHeight="1" x14ac:dyDescent="0.25">
      <c r="A4886" t="s">
        <v>9145</v>
      </c>
      <c r="B4886" t="s">
        <v>9164</v>
      </c>
    </row>
    <row r="4887" spans="1:2" ht="112" hidden="1" customHeight="1" x14ac:dyDescent="0.25">
      <c r="A4887" t="s">
        <v>9146</v>
      </c>
      <c r="B4887" t="s">
        <v>9165</v>
      </c>
    </row>
    <row r="4888" spans="1:2" ht="112" hidden="1" customHeight="1" x14ac:dyDescent="0.25">
      <c r="A4888" t="s">
        <v>9147</v>
      </c>
      <c r="B4888" t="s">
        <v>9166</v>
      </c>
    </row>
    <row r="4889" spans="1:2" ht="112" hidden="1" customHeight="1" x14ac:dyDescent="0.25">
      <c r="A4889" t="s">
        <v>9148</v>
      </c>
      <c r="B4889" t="s">
        <v>9167</v>
      </c>
    </row>
    <row r="4890" spans="1:2" ht="112" hidden="1" customHeight="1" x14ac:dyDescent="0.25">
      <c r="A4890" t="s">
        <v>9149</v>
      </c>
      <c r="B4890" s="56" t="s">
        <v>10396</v>
      </c>
    </row>
    <row r="4891" spans="1:2" ht="112" hidden="1" customHeight="1" x14ac:dyDescent="0.25">
      <c r="A4891" t="s">
        <v>9150</v>
      </c>
      <c r="B4891" t="s">
        <v>9168</v>
      </c>
    </row>
    <row r="4892" spans="1:2" ht="112" hidden="1" customHeight="1" x14ac:dyDescent="0.25">
      <c r="A4892" t="s">
        <v>9151</v>
      </c>
      <c r="B4892" t="s">
        <v>9169</v>
      </c>
    </row>
    <row r="4893" spans="1:2" ht="112" hidden="1" customHeight="1" x14ac:dyDescent="0.25">
      <c r="A4893" t="s">
        <v>9152</v>
      </c>
      <c r="B4893" t="s">
        <v>9170</v>
      </c>
    </row>
    <row r="4894" spans="1:2" ht="112" hidden="1" customHeight="1" x14ac:dyDescent="0.25">
      <c r="A4894" t="s">
        <v>9171</v>
      </c>
      <c r="B4894" t="s">
        <v>9172</v>
      </c>
    </row>
    <row r="4895" spans="1:2" ht="112" hidden="1" customHeight="1" x14ac:dyDescent="0.25">
      <c r="A4895" t="s">
        <v>9174</v>
      </c>
      <c r="B4895" t="s">
        <v>9175</v>
      </c>
    </row>
    <row r="4896" spans="1:2" ht="112" hidden="1" customHeight="1" x14ac:dyDescent="0.25">
      <c r="A4896" t="s">
        <v>9176</v>
      </c>
      <c r="B4896" t="s">
        <v>9187</v>
      </c>
    </row>
    <row r="4897" spans="1:2" ht="112" hidden="1" customHeight="1" x14ac:dyDescent="0.25">
      <c r="A4897" t="s">
        <v>9177</v>
      </c>
      <c r="B4897" t="s">
        <v>9188</v>
      </c>
    </row>
    <row r="4898" spans="1:2" ht="112" hidden="1" customHeight="1" x14ac:dyDescent="0.25">
      <c r="A4898" t="s">
        <v>9178</v>
      </c>
      <c r="B4898" t="s">
        <v>9189</v>
      </c>
    </row>
    <row r="4899" spans="1:2" ht="112" hidden="1" customHeight="1" x14ac:dyDescent="0.25">
      <c r="A4899" t="s">
        <v>9179</v>
      </c>
      <c r="B4899" t="s">
        <v>9190</v>
      </c>
    </row>
    <row r="4900" spans="1:2" ht="112" hidden="1" customHeight="1" x14ac:dyDescent="0.25">
      <c r="A4900" t="s">
        <v>9180</v>
      </c>
      <c r="B4900" t="s">
        <v>9191</v>
      </c>
    </row>
    <row r="4901" spans="1:2" ht="112" hidden="1" customHeight="1" x14ac:dyDescent="0.25">
      <c r="A4901" t="s">
        <v>9181</v>
      </c>
      <c r="B4901" t="s">
        <v>9192</v>
      </c>
    </row>
    <row r="4902" spans="1:2" ht="112" hidden="1" customHeight="1" x14ac:dyDescent="0.25">
      <c r="A4902" t="s">
        <v>9182</v>
      </c>
      <c r="B4902" t="s">
        <v>9193</v>
      </c>
    </row>
    <row r="4903" spans="1:2" ht="112" hidden="1" customHeight="1" x14ac:dyDescent="0.25">
      <c r="A4903" t="s">
        <v>9183</v>
      </c>
      <c r="B4903" t="s">
        <v>9194</v>
      </c>
    </row>
    <row r="4904" spans="1:2" ht="112" hidden="1" customHeight="1" x14ac:dyDescent="0.25">
      <c r="A4904" t="s">
        <v>9184</v>
      </c>
      <c r="B4904" t="s">
        <v>9195</v>
      </c>
    </row>
    <row r="4905" spans="1:2" ht="112" hidden="1" customHeight="1" x14ac:dyDescent="0.25">
      <c r="A4905" t="s">
        <v>9185</v>
      </c>
      <c r="B4905" t="s">
        <v>9196</v>
      </c>
    </row>
    <row r="4906" spans="1:2" ht="112" hidden="1" customHeight="1" x14ac:dyDescent="0.25">
      <c r="A4906" t="s">
        <v>9186</v>
      </c>
      <c r="B4906" t="s">
        <v>9197</v>
      </c>
    </row>
    <row r="4907" spans="1:2" ht="112" hidden="1" customHeight="1" x14ac:dyDescent="0.25">
      <c r="A4907" t="s">
        <v>9198</v>
      </c>
      <c r="B4907" t="s">
        <v>9200</v>
      </c>
    </row>
    <row r="4908" spans="1:2" ht="112" hidden="1" customHeight="1" x14ac:dyDescent="0.25">
      <c r="A4908" t="s">
        <v>9199</v>
      </c>
      <c r="B4908" t="s">
        <v>9201</v>
      </c>
    </row>
    <row r="4909" spans="1:2" ht="112" hidden="1" customHeight="1" x14ac:dyDescent="0.25">
      <c r="A4909" t="s">
        <v>9202</v>
      </c>
      <c r="B4909" t="s">
        <v>9208</v>
      </c>
    </row>
    <row r="4910" spans="1:2" ht="112" hidden="1" customHeight="1" x14ac:dyDescent="0.25">
      <c r="A4910" t="s">
        <v>9203</v>
      </c>
      <c r="B4910" t="s">
        <v>9209</v>
      </c>
    </row>
    <row r="4911" spans="1:2" ht="112" hidden="1" customHeight="1" x14ac:dyDescent="0.25">
      <c r="A4911" t="s">
        <v>9204</v>
      </c>
      <c r="B4911" t="s">
        <v>9210</v>
      </c>
    </row>
    <row r="4912" spans="1:2" ht="112" hidden="1" customHeight="1" x14ac:dyDescent="0.25">
      <c r="A4912" t="s">
        <v>9205</v>
      </c>
      <c r="B4912" t="s">
        <v>9211</v>
      </c>
    </row>
    <row r="4913" spans="1:2" ht="112" hidden="1" customHeight="1" x14ac:dyDescent="0.25">
      <c r="A4913" t="s">
        <v>9206</v>
      </c>
      <c r="B4913" t="s">
        <v>9212</v>
      </c>
    </row>
    <row r="4914" spans="1:2" ht="112" hidden="1" customHeight="1" x14ac:dyDescent="0.25">
      <c r="A4914" t="s">
        <v>9207</v>
      </c>
      <c r="B4914" t="s">
        <v>9213</v>
      </c>
    </row>
    <row r="4915" spans="1:2" ht="112" hidden="1" customHeight="1" x14ac:dyDescent="0.25">
      <c r="A4915" t="s">
        <v>9217</v>
      </c>
      <c r="B4915" t="s">
        <v>9218</v>
      </c>
    </row>
    <row r="4916" spans="1:2" ht="112" hidden="1" customHeight="1" x14ac:dyDescent="0.25">
      <c r="A4916" t="s">
        <v>9219</v>
      </c>
      <c r="B4916" t="s">
        <v>9220</v>
      </c>
    </row>
    <row r="4917" spans="1:2" ht="112" hidden="1" customHeight="1" x14ac:dyDescent="0.25">
      <c r="A4917" t="s">
        <v>9221</v>
      </c>
      <c r="B4917" t="s">
        <v>9222</v>
      </c>
    </row>
    <row r="4918" spans="1:2" ht="112" hidden="1" customHeight="1" x14ac:dyDescent="0.25">
      <c r="A4918" t="s">
        <v>9223</v>
      </c>
      <c r="B4918" t="s">
        <v>9224</v>
      </c>
    </row>
    <row r="4919" spans="1:2" ht="112" hidden="1" customHeight="1" x14ac:dyDescent="0.25">
      <c r="A4919" t="s">
        <v>9225</v>
      </c>
      <c r="B4919" t="s">
        <v>9226</v>
      </c>
    </row>
    <row r="4920" spans="1:2" ht="112" hidden="1" customHeight="1" x14ac:dyDescent="0.25">
      <c r="A4920" t="s">
        <v>9227</v>
      </c>
      <c r="B4920" s="56" t="s">
        <v>9231</v>
      </c>
    </row>
    <row r="4921" spans="1:2" ht="112" hidden="1" customHeight="1" x14ac:dyDescent="0.25">
      <c r="A4921" t="s">
        <v>9228</v>
      </c>
      <c r="B4921" t="s">
        <v>9232</v>
      </c>
    </row>
    <row r="4922" spans="1:2" ht="112" hidden="1" customHeight="1" x14ac:dyDescent="0.25">
      <c r="A4922" t="s">
        <v>9229</v>
      </c>
      <c r="B4922" t="s">
        <v>9233</v>
      </c>
    </row>
    <row r="4923" spans="1:2" ht="112" hidden="1" customHeight="1" x14ac:dyDescent="0.25">
      <c r="A4923" t="s">
        <v>9230</v>
      </c>
      <c r="B4923" s="56" t="s">
        <v>9330</v>
      </c>
    </row>
    <row r="4924" spans="1:2" ht="112" hidden="1" customHeight="1" x14ac:dyDescent="0.25">
      <c r="A4924" t="s">
        <v>9234</v>
      </c>
      <c r="B4924" t="s">
        <v>9236</v>
      </c>
    </row>
    <row r="4925" spans="1:2" ht="112" hidden="1" customHeight="1" x14ac:dyDescent="0.25">
      <c r="A4925" t="s">
        <v>9235</v>
      </c>
      <c r="B4925" t="s">
        <v>9237</v>
      </c>
    </row>
    <row r="4926" spans="1:2" ht="112" hidden="1" customHeight="1" x14ac:dyDescent="0.25">
      <c r="A4926" t="s">
        <v>9238</v>
      </c>
      <c r="B4926" s="56" t="s">
        <v>13413</v>
      </c>
    </row>
    <row r="4927" spans="1:2" ht="112" hidden="1" customHeight="1" x14ac:dyDescent="0.25">
      <c r="A4927" t="s">
        <v>9239</v>
      </c>
      <c r="B4927" t="s">
        <v>9240</v>
      </c>
    </row>
    <row r="4928" spans="1:2" ht="112" hidden="1" customHeight="1" x14ac:dyDescent="0.25">
      <c r="A4928" t="s">
        <v>9241</v>
      </c>
      <c r="B4928" t="s">
        <v>9243</v>
      </c>
    </row>
    <row r="4929" spans="1:2" ht="112" hidden="1" customHeight="1" x14ac:dyDescent="0.25">
      <c r="A4929" t="s">
        <v>9242</v>
      </c>
      <c r="B4929" t="s">
        <v>9244</v>
      </c>
    </row>
    <row r="4930" spans="1:2" ht="112" hidden="1" customHeight="1" x14ac:dyDescent="0.25">
      <c r="A4930" t="s">
        <v>9245</v>
      </c>
      <c r="B4930" t="s">
        <v>9248</v>
      </c>
    </row>
    <row r="4931" spans="1:2" ht="112" hidden="1" customHeight="1" x14ac:dyDescent="0.25">
      <c r="A4931" t="s">
        <v>9246</v>
      </c>
      <c r="B4931" t="s">
        <v>9249</v>
      </c>
    </row>
    <row r="4932" spans="1:2" ht="112" hidden="1" customHeight="1" x14ac:dyDescent="0.25">
      <c r="A4932" t="s">
        <v>9247</v>
      </c>
      <c r="B4932" t="s">
        <v>9250</v>
      </c>
    </row>
    <row r="4933" spans="1:2" ht="112" hidden="1" customHeight="1" x14ac:dyDescent="0.25">
      <c r="A4933" t="s">
        <v>9251</v>
      </c>
      <c r="B4933" t="s">
        <v>9252</v>
      </c>
    </row>
    <row r="4934" spans="1:2" ht="112" hidden="1" customHeight="1" x14ac:dyDescent="0.25">
      <c r="A4934" t="s">
        <v>9254</v>
      </c>
      <c r="B4934" t="s">
        <v>9288</v>
      </c>
    </row>
    <row r="4935" spans="1:2" ht="112" hidden="1" customHeight="1" x14ac:dyDescent="0.25">
      <c r="A4935" t="s">
        <v>9255</v>
      </c>
      <c r="B4935" t="s">
        <v>9289</v>
      </c>
    </row>
    <row r="4936" spans="1:2" ht="112" hidden="1" customHeight="1" x14ac:dyDescent="0.25">
      <c r="A4936" t="s">
        <v>9256</v>
      </c>
      <c r="B4936" t="s">
        <v>9290</v>
      </c>
    </row>
    <row r="4937" spans="1:2" ht="112" hidden="1" customHeight="1" x14ac:dyDescent="0.25">
      <c r="A4937" t="s">
        <v>9257</v>
      </c>
      <c r="B4937" t="s">
        <v>9291</v>
      </c>
    </row>
    <row r="4938" spans="1:2" ht="112" hidden="1" customHeight="1" x14ac:dyDescent="0.25">
      <c r="A4938" t="s">
        <v>9258</v>
      </c>
      <c r="B4938" t="s">
        <v>9292</v>
      </c>
    </row>
    <row r="4939" spans="1:2" ht="112" hidden="1" customHeight="1" x14ac:dyDescent="0.25">
      <c r="A4939" t="s">
        <v>9259</v>
      </c>
      <c r="B4939" t="s">
        <v>9293</v>
      </c>
    </row>
    <row r="4940" spans="1:2" ht="112" hidden="1" customHeight="1" x14ac:dyDescent="0.25">
      <c r="A4940" t="s">
        <v>9260</v>
      </c>
      <c r="B4940" t="s">
        <v>9294</v>
      </c>
    </row>
    <row r="4941" spans="1:2" ht="112" hidden="1" customHeight="1" x14ac:dyDescent="0.25">
      <c r="A4941" t="s">
        <v>9261</v>
      </c>
      <c r="B4941" t="s">
        <v>9295</v>
      </c>
    </row>
    <row r="4942" spans="1:2" ht="112" hidden="1" customHeight="1" x14ac:dyDescent="0.25">
      <c r="A4942" t="s">
        <v>9262</v>
      </c>
      <c r="B4942" t="s">
        <v>9296</v>
      </c>
    </row>
    <row r="4943" spans="1:2" ht="112" hidden="1" customHeight="1" x14ac:dyDescent="0.25">
      <c r="A4943" t="s">
        <v>9263</v>
      </c>
      <c r="B4943" t="s">
        <v>9297</v>
      </c>
    </row>
    <row r="4944" spans="1:2" ht="112" hidden="1" customHeight="1" x14ac:dyDescent="0.25">
      <c r="A4944" t="s">
        <v>9264</v>
      </c>
      <c r="B4944" t="s">
        <v>9298</v>
      </c>
    </row>
    <row r="4945" spans="1:2" ht="112" hidden="1" customHeight="1" x14ac:dyDescent="0.25">
      <c r="A4945" t="s">
        <v>9265</v>
      </c>
      <c r="B4945" t="s">
        <v>9299</v>
      </c>
    </row>
    <row r="4946" spans="1:2" ht="112" hidden="1" customHeight="1" x14ac:dyDescent="0.25">
      <c r="A4946" t="s">
        <v>9266</v>
      </c>
      <c r="B4946" t="s">
        <v>9300</v>
      </c>
    </row>
    <row r="4947" spans="1:2" ht="112" hidden="1" customHeight="1" x14ac:dyDescent="0.25">
      <c r="A4947" t="s">
        <v>9267</v>
      </c>
      <c r="B4947" t="s">
        <v>9301</v>
      </c>
    </row>
    <row r="4948" spans="1:2" ht="112" hidden="1" customHeight="1" x14ac:dyDescent="0.25">
      <c r="A4948" t="s">
        <v>9268</v>
      </c>
      <c r="B4948" t="s">
        <v>9302</v>
      </c>
    </row>
    <row r="4949" spans="1:2" ht="112" hidden="1" customHeight="1" x14ac:dyDescent="0.25">
      <c r="A4949" t="s">
        <v>9269</v>
      </c>
      <c r="B4949" t="s">
        <v>9303</v>
      </c>
    </row>
    <row r="4950" spans="1:2" ht="112" hidden="1" customHeight="1" x14ac:dyDescent="0.25">
      <c r="A4950" t="s">
        <v>9270</v>
      </c>
      <c r="B4950" t="s">
        <v>9304</v>
      </c>
    </row>
    <row r="4951" spans="1:2" ht="112" hidden="1" customHeight="1" x14ac:dyDescent="0.25">
      <c r="A4951" t="s">
        <v>9271</v>
      </c>
      <c r="B4951" t="s">
        <v>9305</v>
      </c>
    </row>
    <row r="4952" spans="1:2" ht="112" hidden="1" customHeight="1" x14ac:dyDescent="0.25">
      <c r="A4952" t="s">
        <v>9272</v>
      </c>
      <c r="B4952" t="s">
        <v>9306</v>
      </c>
    </row>
    <row r="4953" spans="1:2" ht="112" hidden="1" customHeight="1" x14ac:dyDescent="0.25">
      <c r="A4953" t="s">
        <v>9273</v>
      </c>
      <c r="B4953" t="s">
        <v>9307</v>
      </c>
    </row>
    <row r="4954" spans="1:2" ht="112" hidden="1" customHeight="1" x14ac:dyDescent="0.25">
      <c r="A4954" t="s">
        <v>9274</v>
      </c>
      <c r="B4954" t="s">
        <v>9308</v>
      </c>
    </row>
    <row r="4955" spans="1:2" ht="112" hidden="1" customHeight="1" x14ac:dyDescent="0.25">
      <c r="A4955" t="s">
        <v>9275</v>
      </c>
      <c r="B4955" t="s">
        <v>9309</v>
      </c>
    </row>
    <row r="4956" spans="1:2" ht="112" hidden="1" customHeight="1" x14ac:dyDescent="0.25">
      <c r="A4956" t="s">
        <v>9276</v>
      </c>
      <c r="B4956" t="s">
        <v>9310</v>
      </c>
    </row>
    <row r="4957" spans="1:2" ht="112" hidden="1" customHeight="1" x14ac:dyDescent="0.25">
      <c r="A4957" t="s">
        <v>9277</v>
      </c>
      <c r="B4957" t="s">
        <v>9311</v>
      </c>
    </row>
    <row r="4958" spans="1:2" ht="112" hidden="1" customHeight="1" x14ac:dyDescent="0.25">
      <c r="A4958" t="s">
        <v>9278</v>
      </c>
      <c r="B4958" t="s">
        <v>9312</v>
      </c>
    </row>
    <row r="4959" spans="1:2" ht="112" hidden="1" customHeight="1" x14ac:dyDescent="0.25">
      <c r="A4959" t="s">
        <v>9279</v>
      </c>
      <c r="B4959" t="s">
        <v>9313</v>
      </c>
    </row>
    <row r="4960" spans="1:2" ht="112" hidden="1" customHeight="1" x14ac:dyDescent="0.25">
      <c r="A4960" t="s">
        <v>9280</v>
      </c>
      <c r="B4960" t="s">
        <v>9314</v>
      </c>
    </row>
    <row r="4961" spans="1:2" ht="112" hidden="1" customHeight="1" x14ac:dyDescent="0.25">
      <c r="A4961" t="s">
        <v>9281</v>
      </c>
      <c r="B4961" t="s">
        <v>9315</v>
      </c>
    </row>
    <row r="4962" spans="1:2" ht="112" hidden="1" customHeight="1" x14ac:dyDescent="0.25">
      <c r="A4962" t="s">
        <v>9282</v>
      </c>
      <c r="B4962" t="s">
        <v>9316</v>
      </c>
    </row>
    <row r="4963" spans="1:2" ht="112" hidden="1" customHeight="1" x14ac:dyDescent="0.25">
      <c r="A4963" t="s">
        <v>9283</v>
      </c>
      <c r="B4963" t="s">
        <v>9317</v>
      </c>
    </row>
    <row r="4964" spans="1:2" ht="112" hidden="1" customHeight="1" x14ac:dyDescent="0.25">
      <c r="A4964" t="s">
        <v>9284</v>
      </c>
      <c r="B4964" t="s">
        <v>9318</v>
      </c>
    </row>
    <row r="4965" spans="1:2" ht="112" hidden="1" customHeight="1" x14ac:dyDescent="0.25">
      <c r="A4965" t="s">
        <v>9285</v>
      </c>
      <c r="B4965" t="s">
        <v>9319</v>
      </c>
    </row>
    <row r="4966" spans="1:2" ht="112" hidden="1" customHeight="1" x14ac:dyDescent="0.25">
      <c r="A4966" t="s">
        <v>9286</v>
      </c>
      <c r="B4966" t="s">
        <v>9320</v>
      </c>
    </row>
    <row r="4967" spans="1:2" ht="112" hidden="1" customHeight="1" x14ac:dyDescent="0.25">
      <c r="A4967" t="s">
        <v>9287</v>
      </c>
      <c r="B4967" t="s">
        <v>9321</v>
      </c>
    </row>
    <row r="4968" spans="1:2" ht="112" hidden="1" customHeight="1" x14ac:dyDescent="0.25">
      <c r="A4968" t="s">
        <v>9322</v>
      </c>
      <c r="B4968" t="s">
        <v>9323</v>
      </c>
    </row>
    <row r="4969" spans="1:2" ht="112" hidden="1" customHeight="1" x14ac:dyDescent="0.25">
      <c r="A4969" t="s">
        <v>9324</v>
      </c>
      <c r="B4969" t="s">
        <v>9325</v>
      </c>
    </row>
    <row r="4970" spans="1:2" ht="112" hidden="1" customHeight="1" x14ac:dyDescent="0.25">
      <c r="A4970" t="s">
        <v>9326</v>
      </c>
      <c r="B4970" t="s">
        <v>9328</v>
      </c>
    </row>
    <row r="4971" spans="1:2" ht="112" hidden="1" customHeight="1" x14ac:dyDescent="0.25">
      <c r="A4971" t="s">
        <v>9327</v>
      </c>
      <c r="B4971" t="s">
        <v>9329</v>
      </c>
    </row>
    <row r="4972" spans="1:2" ht="112" hidden="1" customHeight="1" x14ac:dyDescent="0.25">
      <c r="A4972" t="s">
        <v>9331</v>
      </c>
      <c r="B4972" t="s">
        <v>9337</v>
      </c>
    </row>
    <row r="4973" spans="1:2" ht="112" hidden="1" customHeight="1" x14ac:dyDescent="0.25">
      <c r="A4973" t="s">
        <v>9332</v>
      </c>
      <c r="B4973" t="s">
        <v>9338</v>
      </c>
    </row>
    <row r="4974" spans="1:2" ht="112" hidden="1" customHeight="1" x14ac:dyDescent="0.25">
      <c r="A4974" t="s">
        <v>9333</v>
      </c>
      <c r="B4974" t="s">
        <v>9339</v>
      </c>
    </row>
    <row r="4975" spans="1:2" ht="112" hidden="1" customHeight="1" x14ac:dyDescent="0.25">
      <c r="A4975" t="s">
        <v>9334</v>
      </c>
      <c r="B4975" t="s">
        <v>9340</v>
      </c>
    </row>
    <row r="4976" spans="1:2" ht="112" hidden="1" customHeight="1" x14ac:dyDescent="0.25">
      <c r="A4976" t="s">
        <v>9335</v>
      </c>
      <c r="B4976" t="s">
        <v>9341</v>
      </c>
    </row>
    <row r="4977" spans="1:2" ht="112" hidden="1" customHeight="1" x14ac:dyDescent="0.25">
      <c r="A4977" t="s">
        <v>9336</v>
      </c>
      <c r="B4977" t="s">
        <v>9342</v>
      </c>
    </row>
    <row r="4978" spans="1:2" ht="112" hidden="1" customHeight="1" x14ac:dyDescent="0.25">
      <c r="A4978" t="s">
        <v>9245</v>
      </c>
      <c r="B4978" t="s">
        <v>9248</v>
      </c>
    </row>
    <row r="4979" spans="1:2" ht="112" hidden="1" customHeight="1" x14ac:dyDescent="0.25">
      <c r="A4979" t="s">
        <v>9246</v>
      </c>
      <c r="B4979" t="s">
        <v>9249</v>
      </c>
    </row>
    <row r="4980" spans="1:2" ht="112" hidden="1" customHeight="1" x14ac:dyDescent="0.25">
      <c r="A4980" t="s">
        <v>9247</v>
      </c>
      <c r="B4980" t="s">
        <v>9343</v>
      </c>
    </row>
    <row r="4981" spans="1:2" ht="112" hidden="1" customHeight="1" x14ac:dyDescent="0.25">
      <c r="A4981" t="s">
        <v>9346</v>
      </c>
      <c r="B4981" t="s">
        <v>9347</v>
      </c>
    </row>
    <row r="4982" spans="1:2" ht="112" hidden="1" customHeight="1" x14ac:dyDescent="0.25">
      <c r="A4982" t="s">
        <v>9348</v>
      </c>
      <c r="B4982" t="s">
        <v>9349</v>
      </c>
    </row>
    <row r="4983" spans="1:2" ht="112" hidden="1" customHeight="1" x14ac:dyDescent="0.25">
      <c r="A4983" t="s">
        <v>9350</v>
      </c>
      <c r="B4983" t="s">
        <v>9351</v>
      </c>
    </row>
    <row r="4984" spans="1:2" ht="112" hidden="1" customHeight="1" x14ac:dyDescent="0.25">
      <c r="A4984" t="s">
        <v>9352</v>
      </c>
      <c r="B4984" t="s">
        <v>9358</v>
      </c>
    </row>
    <row r="4985" spans="1:2" ht="112" hidden="1" customHeight="1" x14ac:dyDescent="0.25">
      <c r="A4985" t="s">
        <v>9353</v>
      </c>
      <c r="B4985" t="s">
        <v>9359</v>
      </c>
    </row>
    <row r="4986" spans="1:2" ht="112" hidden="1" customHeight="1" x14ac:dyDescent="0.25">
      <c r="A4986" t="s">
        <v>9354</v>
      </c>
      <c r="B4986" t="s">
        <v>9360</v>
      </c>
    </row>
    <row r="4987" spans="1:2" ht="112" hidden="1" customHeight="1" x14ac:dyDescent="0.25">
      <c r="A4987" t="s">
        <v>9355</v>
      </c>
      <c r="B4987" t="s">
        <v>9361</v>
      </c>
    </row>
    <row r="4988" spans="1:2" ht="112" hidden="1" customHeight="1" x14ac:dyDescent="0.25">
      <c r="A4988" t="s">
        <v>9356</v>
      </c>
      <c r="B4988" t="s">
        <v>9362</v>
      </c>
    </row>
    <row r="4989" spans="1:2" ht="112" hidden="1" customHeight="1" x14ac:dyDescent="0.25">
      <c r="A4989" t="s">
        <v>9357</v>
      </c>
      <c r="B4989" t="s">
        <v>9363</v>
      </c>
    </row>
    <row r="4990" spans="1:2" ht="112" hidden="1" customHeight="1" x14ac:dyDescent="0.25">
      <c r="A4990" t="s">
        <v>9364</v>
      </c>
      <c r="B4990" s="56" t="s">
        <v>9778</v>
      </c>
    </row>
    <row r="4991" spans="1:2" ht="112" hidden="1" customHeight="1" x14ac:dyDescent="0.25">
      <c r="A4991" t="s">
        <v>9365</v>
      </c>
      <c r="B4991" s="56" t="s">
        <v>9779</v>
      </c>
    </row>
    <row r="4992" spans="1:2" ht="112" hidden="1" customHeight="1" x14ac:dyDescent="0.25">
      <c r="A4992" t="s">
        <v>9366</v>
      </c>
      <c r="B4992" s="56" t="s">
        <v>9780</v>
      </c>
    </row>
    <row r="4993" spans="1:2" ht="112" hidden="1" customHeight="1" x14ac:dyDescent="0.25">
      <c r="A4993" t="s">
        <v>9367</v>
      </c>
      <c r="B4993" s="56" t="s">
        <v>9781</v>
      </c>
    </row>
    <row r="4994" spans="1:2" ht="112" hidden="1" customHeight="1" x14ac:dyDescent="0.25">
      <c r="A4994" t="s">
        <v>9368</v>
      </c>
      <c r="B4994" s="56" t="s">
        <v>9782</v>
      </c>
    </row>
    <row r="4995" spans="1:2" ht="112" hidden="1" customHeight="1" x14ac:dyDescent="0.25">
      <c r="A4995" t="s">
        <v>9369</v>
      </c>
      <c r="B4995" t="s">
        <v>9389</v>
      </c>
    </row>
    <row r="4996" spans="1:2" ht="112" hidden="1" customHeight="1" x14ac:dyDescent="0.25">
      <c r="A4996" t="s">
        <v>9370</v>
      </c>
      <c r="B4996" t="s">
        <v>9390</v>
      </c>
    </row>
    <row r="4997" spans="1:2" ht="112" hidden="1" customHeight="1" x14ac:dyDescent="0.25">
      <c r="A4997" t="s">
        <v>9371</v>
      </c>
      <c r="B4997" t="s">
        <v>9391</v>
      </c>
    </row>
    <row r="4998" spans="1:2" ht="112" hidden="1" customHeight="1" x14ac:dyDescent="0.25">
      <c r="A4998" t="s">
        <v>9372</v>
      </c>
      <c r="B4998" t="s">
        <v>9392</v>
      </c>
    </row>
    <row r="4999" spans="1:2" ht="112" hidden="1" customHeight="1" x14ac:dyDescent="0.25">
      <c r="A4999" t="s">
        <v>9373</v>
      </c>
      <c r="B4999" t="s">
        <v>9393</v>
      </c>
    </row>
    <row r="5000" spans="1:2" ht="112" hidden="1" customHeight="1" x14ac:dyDescent="0.25">
      <c r="A5000" t="s">
        <v>9374</v>
      </c>
      <c r="B5000" t="s">
        <v>9394</v>
      </c>
    </row>
    <row r="5001" spans="1:2" ht="112" hidden="1" customHeight="1" x14ac:dyDescent="0.25">
      <c r="A5001" t="s">
        <v>9375</v>
      </c>
      <c r="B5001" t="s">
        <v>9395</v>
      </c>
    </row>
    <row r="5002" spans="1:2" ht="112" hidden="1" customHeight="1" x14ac:dyDescent="0.25">
      <c r="A5002" t="s">
        <v>9376</v>
      </c>
      <c r="B5002" t="s">
        <v>9396</v>
      </c>
    </row>
    <row r="5003" spans="1:2" ht="112" hidden="1" customHeight="1" x14ac:dyDescent="0.25">
      <c r="A5003" t="s">
        <v>9377</v>
      </c>
      <c r="B5003" t="s">
        <v>9397</v>
      </c>
    </row>
    <row r="5004" spans="1:2" ht="112" hidden="1" customHeight="1" x14ac:dyDescent="0.25">
      <c r="A5004" t="s">
        <v>9378</v>
      </c>
      <c r="B5004" t="s">
        <v>9398</v>
      </c>
    </row>
    <row r="5005" spans="1:2" ht="112" hidden="1" customHeight="1" x14ac:dyDescent="0.25">
      <c r="A5005" t="s">
        <v>9379</v>
      </c>
      <c r="B5005" t="s">
        <v>9399</v>
      </c>
    </row>
    <row r="5006" spans="1:2" ht="112" hidden="1" customHeight="1" x14ac:dyDescent="0.25">
      <c r="A5006" t="s">
        <v>9380</v>
      </c>
      <c r="B5006" t="s">
        <v>9400</v>
      </c>
    </row>
    <row r="5007" spans="1:2" ht="112" hidden="1" customHeight="1" x14ac:dyDescent="0.25">
      <c r="A5007" t="s">
        <v>9381</v>
      </c>
      <c r="B5007" t="s">
        <v>9401</v>
      </c>
    </row>
    <row r="5008" spans="1:2" ht="112" hidden="1" customHeight="1" x14ac:dyDescent="0.25">
      <c r="A5008" t="s">
        <v>9382</v>
      </c>
      <c r="B5008" t="s">
        <v>9402</v>
      </c>
    </row>
    <row r="5009" spans="1:2" ht="112" hidden="1" customHeight="1" x14ac:dyDescent="0.25">
      <c r="A5009" t="s">
        <v>9383</v>
      </c>
      <c r="B5009" t="s">
        <v>9403</v>
      </c>
    </row>
    <row r="5010" spans="1:2" ht="112" hidden="1" customHeight="1" x14ac:dyDescent="0.25">
      <c r="A5010" t="s">
        <v>9384</v>
      </c>
      <c r="B5010" t="s">
        <v>9404</v>
      </c>
    </row>
    <row r="5011" spans="1:2" ht="112" hidden="1" customHeight="1" x14ac:dyDescent="0.25">
      <c r="A5011" t="s">
        <v>9385</v>
      </c>
      <c r="B5011" t="s">
        <v>9405</v>
      </c>
    </row>
    <row r="5012" spans="1:2" ht="112" hidden="1" customHeight="1" x14ac:dyDescent="0.25">
      <c r="A5012" t="s">
        <v>9386</v>
      </c>
      <c r="B5012" t="s">
        <v>9406</v>
      </c>
    </row>
    <row r="5013" spans="1:2" ht="112" hidden="1" customHeight="1" x14ac:dyDescent="0.25">
      <c r="A5013" t="s">
        <v>9387</v>
      </c>
      <c r="B5013" t="s">
        <v>9407</v>
      </c>
    </row>
    <row r="5014" spans="1:2" ht="112" hidden="1" customHeight="1" x14ac:dyDescent="0.25">
      <c r="A5014" t="s">
        <v>9388</v>
      </c>
      <c r="B5014" t="s">
        <v>9408</v>
      </c>
    </row>
    <row r="5015" spans="1:2" ht="112" hidden="1" customHeight="1" x14ac:dyDescent="0.25">
      <c r="A5015" t="s">
        <v>9411</v>
      </c>
      <c r="B5015" t="s">
        <v>9412</v>
      </c>
    </row>
    <row r="5016" spans="1:2" ht="112" hidden="1" customHeight="1" x14ac:dyDescent="0.25">
      <c r="A5016" t="s">
        <v>9413</v>
      </c>
      <c r="B5016" t="s">
        <v>9415</v>
      </c>
    </row>
    <row r="5017" spans="1:2" ht="112" hidden="1" customHeight="1" x14ac:dyDescent="0.25">
      <c r="A5017" t="s">
        <v>9414</v>
      </c>
      <c r="B5017" t="s">
        <v>9416</v>
      </c>
    </row>
    <row r="5018" spans="1:2" ht="112" hidden="1" customHeight="1" x14ac:dyDescent="0.25">
      <c r="A5018" t="s">
        <v>9417</v>
      </c>
      <c r="B5018" t="s">
        <v>9435</v>
      </c>
    </row>
    <row r="5019" spans="1:2" ht="112" hidden="1" customHeight="1" x14ac:dyDescent="0.25">
      <c r="A5019" t="s">
        <v>9418</v>
      </c>
      <c r="B5019" t="s">
        <v>9436</v>
      </c>
    </row>
    <row r="5020" spans="1:2" ht="112" hidden="1" customHeight="1" x14ac:dyDescent="0.25">
      <c r="A5020" t="s">
        <v>9419</v>
      </c>
      <c r="B5020" s="56" t="s">
        <v>9508</v>
      </c>
    </row>
    <row r="5021" spans="1:2" ht="112" hidden="1" customHeight="1" x14ac:dyDescent="0.25">
      <c r="A5021" t="s">
        <v>9420</v>
      </c>
      <c r="B5021" s="56" t="s">
        <v>10600</v>
      </c>
    </row>
    <row r="5022" spans="1:2" ht="112" hidden="1" customHeight="1" x14ac:dyDescent="0.25">
      <c r="A5022" t="s">
        <v>9421</v>
      </c>
      <c r="B5022" t="s">
        <v>9437</v>
      </c>
    </row>
    <row r="5023" spans="1:2" ht="112" hidden="1" customHeight="1" x14ac:dyDescent="0.25">
      <c r="A5023" t="s">
        <v>9422</v>
      </c>
      <c r="B5023" t="s">
        <v>9438</v>
      </c>
    </row>
    <row r="5024" spans="1:2" ht="112" hidden="1" customHeight="1" x14ac:dyDescent="0.25">
      <c r="A5024" t="s">
        <v>9423</v>
      </c>
      <c r="B5024" t="s">
        <v>9439</v>
      </c>
    </row>
    <row r="5025" spans="1:2" ht="112" hidden="1" customHeight="1" x14ac:dyDescent="0.25">
      <c r="A5025" t="s">
        <v>9424</v>
      </c>
      <c r="B5025" t="s">
        <v>9440</v>
      </c>
    </row>
    <row r="5026" spans="1:2" ht="112" hidden="1" customHeight="1" x14ac:dyDescent="0.25">
      <c r="A5026" t="s">
        <v>9425</v>
      </c>
      <c r="B5026" t="s">
        <v>9441</v>
      </c>
    </row>
    <row r="5027" spans="1:2" ht="112" hidden="1" customHeight="1" x14ac:dyDescent="0.25">
      <c r="A5027" t="s">
        <v>9426</v>
      </c>
      <c r="B5027" t="s">
        <v>9442</v>
      </c>
    </row>
    <row r="5028" spans="1:2" ht="112" hidden="1" customHeight="1" x14ac:dyDescent="0.25">
      <c r="A5028" t="s">
        <v>9427</v>
      </c>
      <c r="B5028" t="s">
        <v>9443</v>
      </c>
    </row>
    <row r="5029" spans="1:2" ht="112" hidden="1" customHeight="1" x14ac:dyDescent="0.25">
      <c r="A5029" t="s">
        <v>9428</v>
      </c>
      <c r="B5029" t="s">
        <v>9444</v>
      </c>
    </row>
    <row r="5030" spans="1:2" ht="112" hidden="1" customHeight="1" x14ac:dyDescent="0.25">
      <c r="A5030" t="s">
        <v>9429</v>
      </c>
      <c r="B5030" t="s">
        <v>9445</v>
      </c>
    </row>
    <row r="5031" spans="1:2" ht="112" hidden="1" customHeight="1" x14ac:dyDescent="0.25">
      <c r="A5031" t="s">
        <v>9430</v>
      </c>
      <c r="B5031" t="s">
        <v>9446</v>
      </c>
    </row>
    <row r="5032" spans="1:2" ht="112" hidden="1" customHeight="1" x14ac:dyDescent="0.25">
      <c r="A5032" t="s">
        <v>9431</v>
      </c>
      <c r="B5032" t="s">
        <v>9447</v>
      </c>
    </row>
    <row r="5033" spans="1:2" ht="112" hidden="1" customHeight="1" x14ac:dyDescent="0.25">
      <c r="A5033" t="s">
        <v>9432</v>
      </c>
      <c r="B5033" t="s">
        <v>9448</v>
      </c>
    </row>
    <row r="5034" spans="1:2" ht="112" hidden="1" customHeight="1" x14ac:dyDescent="0.25">
      <c r="A5034" t="s">
        <v>9433</v>
      </c>
      <c r="B5034" t="s">
        <v>9449</v>
      </c>
    </row>
    <row r="5035" spans="1:2" ht="112" hidden="1" customHeight="1" x14ac:dyDescent="0.25">
      <c r="A5035" t="s">
        <v>9434</v>
      </c>
      <c r="B5035" t="s">
        <v>9450</v>
      </c>
    </row>
    <row r="5036" spans="1:2" ht="112" hidden="1" customHeight="1" x14ac:dyDescent="0.25">
      <c r="A5036" t="s">
        <v>9451</v>
      </c>
      <c r="B5036" t="s">
        <v>9477</v>
      </c>
    </row>
    <row r="5037" spans="1:2" ht="112" hidden="1" customHeight="1" x14ac:dyDescent="0.25">
      <c r="A5037" t="s">
        <v>9452</v>
      </c>
      <c r="B5037" t="s">
        <v>9478</v>
      </c>
    </row>
    <row r="5038" spans="1:2" ht="112" hidden="1" customHeight="1" x14ac:dyDescent="0.25">
      <c r="A5038" t="s">
        <v>9453</v>
      </c>
      <c r="B5038" t="s">
        <v>9479</v>
      </c>
    </row>
    <row r="5039" spans="1:2" ht="112" hidden="1" customHeight="1" x14ac:dyDescent="0.25">
      <c r="A5039" t="s">
        <v>9454</v>
      </c>
      <c r="B5039" t="s">
        <v>9480</v>
      </c>
    </row>
    <row r="5040" spans="1:2" ht="112" hidden="1" customHeight="1" x14ac:dyDescent="0.25">
      <c r="A5040" t="s">
        <v>9455</v>
      </c>
      <c r="B5040" t="s">
        <v>9481</v>
      </c>
    </row>
    <row r="5041" spans="1:2" ht="112" hidden="1" customHeight="1" x14ac:dyDescent="0.25">
      <c r="A5041" t="s">
        <v>9456</v>
      </c>
      <c r="B5041" t="s">
        <v>9482</v>
      </c>
    </row>
    <row r="5042" spans="1:2" ht="112" hidden="1" customHeight="1" x14ac:dyDescent="0.25">
      <c r="A5042" t="s">
        <v>9457</v>
      </c>
      <c r="B5042" t="s">
        <v>9483</v>
      </c>
    </row>
    <row r="5043" spans="1:2" ht="112" hidden="1" customHeight="1" x14ac:dyDescent="0.25">
      <c r="A5043" t="s">
        <v>9458</v>
      </c>
      <c r="B5043" t="s">
        <v>9484</v>
      </c>
    </row>
    <row r="5044" spans="1:2" ht="112" hidden="1" customHeight="1" x14ac:dyDescent="0.25">
      <c r="A5044" t="s">
        <v>9459</v>
      </c>
      <c r="B5044" t="s">
        <v>9485</v>
      </c>
    </row>
    <row r="5045" spans="1:2" ht="112" hidden="1" customHeight="1" x14ac:dyDescent="0.25">
      <c r="A5045" t="s">
        <v>9460</v>
      </c>
      <c r="B5045" t="s">
        <v>9486</v>
      </c>
    </row>
    <row r="5046" spans="1:2" ht="112" hidden="1" customHeight="1" x14ac:dyDescent="0.25">
      <c r="A5046" t="s">
        <v>9461</v>
      </c>
      <c r="B5046" t="s">
        <v>9487</v>
      </c>
    </row>
    <row r="5047" spans="1:2" ht="112" hidden="1" customHeight="1" x14ac:dyDescent="0.25">
      <c r="A5047" t="s">
        <v>9462</v>
      </c>
      <c r="B5047" t="s">
        <v>9488</v>
      </c>
    </row>
    <row r="5048" spans="1:2" ht="112" hidden="1" customHeight="1" x14ac:dyDescent="0.25">
      <c r="A5048" t="s">
        <v>9463</v>
      </c>
      <c r="B5048" t="s">
        <v>9489</v>
      </c>
    </row>
    <row r="5049" spans="1:2" ht="112" hidden="1" customHeight="1" x14ac:dyDescent="0.25">
      <c r="A5049" t="s">
        <v>9464</v>
      </c>
      <c r="B5049" t="s">
        <v>9490</v>
      </c>
    </row>
    <row r="5050" spans="1:2" ht="112" hidden="1" customHeight="1" x14ac:dyDescent="0.25">
      <c r="A5050" t="s">
        <v>9465</v>
      </c>
      <c r="B5050" t="s">
        <v>9491</v>
      </c>
    </row>
    <row r="5051" spans="1:2" ht="112" hidden="1" customHeight="1" x14ac:dyDescent="0.25">
      <c r="A5051" t="s">
        <v>9466</v>
      </c>
      <c r="B5051" t="s">
        <v>9492</v>
      </c>
    </row>
    <row r="5052" spans="1:2" ht="112" hidden="1" customHeight="1" x14ac:dyDescent="0.25">
      <c r="A5052" t="s">
        <v>9467</v>
      </c>
      <c r="B5052" t="s">
        <v>9493</v>
      </c>
    </row>
    <row r="5053" spans="1:2" ht="112" hidden="1" customHeight="1" x14ac:dyDescent="0.25">
      <c r="A5053" t="s">
        <v>9468</v>
      </c>
      <c r="B5053" t="s">
        <v>9494</v>
      </c>
    </row>
    <row r="5054" spans="1:2" ht="112" hidden="1" customHeight="1" x14ac:dyDescent="0.25">
      <c r="A5054" t="s">
        <v>9469</v>
      </c>
      <c r="B5054" t="s">
        <v>9495</v>
      </c>
    </row>
    <row r="5055" spans="1:2" ht="112" hidden="1" customHeight="1" x14ac:dyDescent="0.25">
      <c r="A5055" t="s">
        <v>9470</v>
      </c>
      <c r="B5055" t="s">
        <v>9496</v>
      </c>
    </row>
    <row r="5056" spans="1:2" ht="112" hidden="1" customHeight="1" x14ac:dyDescent="0.25">
      <c r="A5056" t="s">
        <v>9471</v>
      </c>
      <c r="B5056" s="56" t="s">
        <v>11292</v>
      </c>
    </row>
    <row r="5057" spans="1:2" ht="112" hidden="1" customHeight="1" x14ac:dyDescent="0.25">
      <c r="A5057" t="s">
        <v>9472</v>
      </c>
      <c r="B5057" t="s">
        <v>9497</v>
      </c>
    </row>
    <row r="5058" spans="1:2" ht="112" hidden="1" customHeight="1" x14ac:dyDescent="0.25">
      <c r="A5058" t="s">
        <v>9473</v>
      </c>
      <c r="B5058" t="s">
        <v>9498</v>
      </c>
    </row>
    <row r="5059" spans="1:2" ht="112" hidden="1" customHeight="1" x14ac:dyDescent="0.25">
      <c r="A5059" t="s">
        <v>9474</v>
      </c>
      <c r="B5059" t="s">
        <v>9499</v>
      </c>
    </row>
    <row r="5060" spans="1:2" ht="112" hidden="1" customHeight="1" x14ac:dyDescent="0.25">
      <c r="A5060" t="s">
        <v>9475</v>
      </c>
      <c r="B5060" t="s">
        <v>9500</v>
      </c>
    </row>
    <row r="5061" spans="1:2" ht="112" hidden="1" customHeight="1" x14ac:dyDescent="0.25">
      <c r="A5061" t="s">
        <v>9476</v>
      </c>
      <c r="B5061" t="s">
        <v>9501</v>
      </c>
    </row>
    <row r="5062" spans="1:2" ht="112" hidden="1" customHeight="1" x14ac:dyDescent="0.25">
      <c r="A5062" t="s">
        <v>9502</v>
      </c>
      <c r="B5062" t="s">
        <v>9503</v>
      </c>
    </row>
    <row r="5063" spans="1:2" ht="112" hidden="1" customHeight="1" x14ac:dyDescent="0.25">
      <c r="A5063" t="s">
        <v>9504</v>
      </c>
      <c r="B5063" t="s">
        <v>9506</v>
      </c>
    </row>
    <row r="5064" spans="1:2" ht="112" hidden="1" customHeight="1" x14ac:dyDescent="0.25">
      <c r="A5064" t="s">
        <v>9505</v>
      </c>
      <c r="B5064" t="s">
        <v>9507</v>
      </c>
    </row>
    <row r="5065" spans="1:2" ht="112" hidden="1" customHeight="1" x14ac:dyDescent="0.25">
      <c r="A5065" t="s">
        <v>9509</v>
      </c>
      <c r="B5065" t="s">
        <v>9510</v>
      </c>
    </row>
    <row r="5066" spans="1:2" ht="112" hidden="1" customHeight="1" x14ac:dyDescent="0.25">
      <c r="A5066" t="s">
        <v>9511</v>
      </c>
      <c r="B5066" t="s">
        <v>9524</v>
      </c>
    </row>
    <row r="5067" spans="1:2" ht="112" hidden="1" customHeight="1" x14ac:dyDescent="0.25">
      <c r="A5067" t="s">
        <v>9512</v>
      </c>
      <c r="B5067" t="s">
        <v>9525</v>
      </c>
    </row>
    <row r="5068" spans="1:2" ht="112" hidden="1" customHeight="1" x14ac:dyDescent="0.25">
      <c r="A5068" t="s">
        <v>9513</v>
      </c>
      <c r="B5068" t="s">
        <v>9526</v>
      </c>
    </row>
    <row r="5069" spans="1:2" ht="112" hidden="1" customHeight="1" x14ac:dyDescent="0.25">
      <c r="A5069" t="s">
        <v>9514</v>
      </c>
      <c r="B5069" t="s">
        <v>9527</v>
      </c>
    </row>
    <row r="5070" spans="1:2" ht="112" hidden="1" customHeight="1" x14ac:dyDescent="0.25">
      <c r="A5070" t="s">
        <v>9515</v>
      </c>
      <c r="B5070" t="s">
        <v>9528</v>
      </c>
    </row>
    <row r="5071" spans="1:2" ht="112" hidden="1" customHeight="1" x14ac:dyDescent="0.25">
      <c r="A5071" t="s">
        <v>9516</v>
      </c>
      <c r="B5071" t="s">
        <v>9529</v>
      </c>
    </row>
    <row r="5072" spans="1:2" ht="112" hidden="1" customHeight="1" x14ac:dyDescent="0.25">
      <c r="A5072" t="s">
        <v>9517</v>
      </c>
      <c r="B5072" t="s">
        <v>9530</v>
      </c>
    </row>
    <row r="5073" spans="1:2" ht="112" hidden="1" customHeight="1" x14ac:dyDescent="0.25">
      <c r="A5073" t="s">
        <v>9518</v>
      </c>
      <c r="B5073" t="s">
        <v>9531</v>
      </c>
    </row>
    <row r="5074" spans="1:2" ht="112" hidden="1" customHeight="1" x14ac:dyDescent="0.25">
      <c r="A5074" t="s">
        <v>9519</v>
      </c>
      <c r="B5074" t="s">
        <v>9532</v>
      </c>
    </row>
    <row r="5075" spans="1:2" ht="112" hidden="1" customHeight="1" x14ac:dyDescent="0.25">
      <c r="A5075" t="s">
        <v>9520</v>
      </c>
      <c r="B5075" t="s">
        <v>9533</v>
      </c>
    </row>
    <row r="5076" spans="1:2" ht="112" hidden="1" customHeight="1" x14ac:dyDescent="0.25">
      <c r="A5076" t="s">
        <v>9521</v>
      </c>
      <c r="B5076" t="s">
        <v>9534</v>
      </c>
    </row>
    <row r="5077" spans="1:2" ht="112" hidden="1" customHeight="1" x14ac:dyDescent="0.25">
      <c r="A5077" t="s">
        <v>9522</v>
      </c>
      <c r="B5077" t="s">
        <v>9535</v>
      </c>
    </row>
    <row r="5078" spans="1:2" ht="112" hidden="1" customHeight="1" x14ac:dyDescent="0.25">
      <c r="A5078" t="s">
        <v>9523</v>
      </c>
      <c r="B5078" t="s">
        <v>9536</v>
      </c>
    </row>
    <row r="5079" spans="1:2" ht="112" hidden="1" customHeight="1" x14ac:dyDescent="0.25">
      <c r="A5079" t="s">
        <v>1655</v>
      </c>
      <c r="B5079" t="s">
        <v>9537</v>
      </c>
    </row>
    <row r="5080" spans="1:2" ht="112" hidden="1" customHeight="1" x14ac:dyDescent="0.25">
      <c r="A5080" t="s">
        <v>9538</v>
      </c>
      <c r="B5080" s="56" t="s">
        <v>9633</v>
      </c>
    </row>
    <row r="5081" spans="1:2" ht="112" hidden="1" customHeight="1" x14ac:dyDescent="0.25">
      <c r="A5081" t="s">
        <v>9539</v>
      </c>
      <c r="B5081" t="s">
        <v>9544</v>
      </c>
    </row>
    <row r="5082" spans="1:2" ht="112" hidden="1" customHeight="1" x14ac:dyDescent="0.25">
      <c r="A5082" t="s">
        <v>9540</v>
      </c>
      <c r="B5082" t="s">
        <v>9545</v>
      </c>
    </row>
    <row r="5083" spans="1:2" ht="112" hidden="1" customHeight="1" x14ac:dyDescent="0.25">
      <c r="A5083" t="s">
        <v>9541</v>
      </c>
      <c r="B5083" t="s">
        <v>9546</v>
      </c>
    </row>
    <row r="5084" spans="1:2" ht="112" hidden="1" customHeight="1" x14ac:dyDescent="0.25">
      <c r="A5084" t="s">
        <v>9542</v>
      </c>
      <c r="B5084" t="s">
        <v>9547</v>
      </c>
    </row>
    <row r="5085" spans="1:2" ht="112" hidden="1" customHeight="1" x14ac:dyDescent="0.25">
      <c r="A5085" t="s">
        <v>9543</v>
      </c>
      <c r="B5085" t="s">
        <v>9548</v>
      </c>
    </row>
    <row r="5086" spans="1:2" ht="112" hidden="1" customHeight="1" x14ac:dyDescent="0.25">
      <c r="A5086" t="s">
        <v>9550</v>
      </c>
      <c r="B5086" s="56" t="s">
        <v>9551</v>
      </c>
    </row>
    <row r="5087" spans="1:2" ht="112" hidden="1" customHeight="1" x14ac:dyDescent="0.25">
      <c r="A5087" t="s">
        <v>9552</v>
      </c>
      <c r="B5087" t="s">
        <v>9559</v>
      </c>
    </row>
    <row r="5088" spans="1:2" ht="112" hidden="1" customHeight="1" x14ac:dyDescent="0.25">
      <c r="A5088" t="s">
        <v>9553</v>
      </c>
      <c r="B5088" t="s">
        <v>9560</v>
      </c>
    </row>
    <row r="5089" spans="1:2" ht="112" hidden="1" customHeight="1" x14ac:dyDescent="0.25">
      <c r="A5089" t="s">
        <v>9554</v>
      </c>
      <c r="B5089" t="s">
        <v>9561</v>
      </c>
    </row>
    <row r="5090" spans="1:2" ht="112" hidden="1" customHeight="1" x14ac:dyDescent="0.25">
      <c r="A5090" t="s">
        <v>9555</v>
      </c>
      <c r="B5090" t="s">
        <v>9562</v>
      </c>
    </row>
    <row r="5091" spans="1:2" ht="112" hidden="1" customHeight="1" x14ac:dyDescent="0.25">
      <c r="A5091" t="s">
        <v>9556</v>
      </c>
      <c r="B5091" t="s">
        <v>9563</v>
      </c>
    </row>
    <row r="5092" spans="1:2" ht="112" hidden="1" customHeight="1" x14ac:dyDescent="0.25">
      <c r="A5092" t="s">
        <v>9557</v>
      </c>
      <c r="B5092" t="s">
        <v>9564</v>
      </c>
    </row>
    <row r="5093" spans="1:2" ht="112" hidden="1" customHeight="1" x14ac:dyDescent="0.25">
      <c r="A5093" t="s">
        <v>9558</v>
      </c>
      <c r="B5093" t="s">
        <v>9565</v>
      </c>
    </row>
    <row r="5094" spans="1:2" ht="112" hidden="1" customHeight="1" x14ac:dyDescent="0.25">
      <c r="A5094" t="s">
        <v>9549</v>
      </c>
      <c r="B5094" t="s">
        <v>9566</v>
      </c>
    </row>
    <row r="5095" spans="1:2" ht="112" hidden="1" customHeight="1" x14ac:dyDescent="0.25">
      <c r="A5095" t="s">
        <v>9567</v>
      </c>
      <c r="B5095" t="s">
        <v>9579</v>
      </c>
    </row>
    <row r="5096" spans="1:2" ht="112" hidden="1" customHeight="1" x14ac:dyDescent="0.25">
      <c r="A5096" t="s">
        <v>9568</v>
      </c>
      <c r="B5096" t="s">
        <v>9580</v>
      </c>
    </row>
    <row r="5097" spans="1:2" ht="112" hidden="1" customHeight="1" x14ac:dyDescent="0.25">
      <c r="A5097" t="s">
        <v>9569</v>
      </c>
      <c r="B5097" t="s">
        <v>9581</v>
      </c>
    </row>
    <row r="5098" spans="1:2" ht="112" hidden="1" customHeight="1" x14ac:dyDescent="0.25">
      <c r="A5098" t="s">
        <v>9570</v>
      </c>
      <c r="B5098" t="s">
        <v>9582</v>
      </c>
    </row>
    <row r="5099" spans="1:2" ht="112" hidden="1" customHeight="1" x14ac:dyDescent="0.25">
      <c r="A5099" t="s">
        <v>9571</v>
      </c>
      <c r="B5099" s="56" t="s">
        <v>9627</v>
      </c>
    </row>
    <row r="5100" spans="1:2" ht="112" hidden="1" customHeight="1" x14ac:dyDescent="0.25">
      <c r="A5100" t="s">
        <v>9572</v>
      </c>
      <c r="B5100" s="56" t="s">
        <v>9628</v>
      </c>
    </row>
    <row r="5101" spans="1:2" ht="112" hidden="1" customHeight="1" x14ac:dyDescent="0.25">
      <c r="A5101" t="s">
        <v>9573</v>
      </c>
      <c r="B5101" s="56" t="s">
        <v>9884</v>
      </c>
    </row>
    <row r="5102" spans="1:2" ht="112" hidden="1" customHeight="1" x14ac:dyDescent="0.25">
      <c r="A5102" t="s">
        <v>9574</v>
      </c>
      <c r="B5102" t="s">
        <v>9583</v>
      </c>
    </row>
    <row r="5103" spans="1:2" ht="112" hidden="1" customHeight="1" x14ac:dyDescent="0.25">
      <c r="A5103" t="s">
        <v>9575</v>
      </c>
      <c r="B5103" t="s">
        <v>9584</v>
      </c>
    </row>
    <row r="5104" spans="1:2" ht="112" hidden="1" customHeight="1" x14ac:dyDescent="0.25">
      <c r="A5104" t="s">
        <v>9576</v>
      </c>
      <c r="B5104" t="s">
        <v>9585</v>
      </c>
    </row>
    <row r="5105" spans="1:2" ht="112" hidden="1" customHeight="1" x14ac:dyDescent="0.25">
      <c r="A5105" t="s">
        <v>9577</v>
      </c>
      <c r="B5105" t="s">
        <v>9586</v>
      </c>
    </row>
    <row r="5106" spans="1:2" ht="112" hidden="1" customHeight="1" x14ac:dyDescent="0.25">
      <c r="A5106" t="s">
        <v>9578</v>
      </c>
      <c r="B5106" s="56" t="s">
        <v>9629</v>
      </c>
    </row>
    <row r="5107" spans="1:2" ht="112" hidden="1" customHeight="1" x14ac:dyDescent="0.25">
      <c r="A5107" t="s">
        <v>9587</v>
      </c>
      <c r="B5107" t="s">
        <v>9588</v>
      </c>
    </row>
    <row r="5108" spans="1:2" ht="112" hidden="1" customHeight="1" x14ac:dyDescent="0.25">
      <c r="A5108" t="s">
        <v>11059</v>
      </c>
      <c r="B5108" t="s">
        <v>11060</v>
      </c>
    </row>
    <row r="5109" spans="1:2" ht="112" hidden="1" customHeight="1" x14ac:dyDescent="0.25">
      <c r="A5109" t="s">
        <v>9590</v>
      </c>
      <c r="B5109" t="s">
        <v>9609</v>
      </c>
    </row>
    <row r="5110" spans="1:2" ht="112" hidden="1" customHeight="1" x14ac:dyDescent="0.25">
      <c r="A5110" t="s">
        <v>9591</v>
      </c>
      <c r="B5110" t="s">
        <v>9610</v>
      </c>
    </row>
    <row r="5111" spans="1:2" ht="112" hidden="1" customHeight="1" x14ac:dyDescent="0.25">
      <c r="A5111" t="s">
        <v>9592</v>
      </c>
      <c r="B5111" t="s">
        <v>9611</v>
      </c>
    </row>
    <row r="5112" spans="1:2" ht="112" hidden="1" customHeight="1" x14ac:dyDescent="0.25">
      <c r="A5112" t="s">
        <v>9593</v>
      </c>
      <c r="B5112" t="s">
        <v>9612</v>
      </c>
    </row>
    <row r="5113" spans="1:2" ht="112" hidden="1" customHeight="1" x14ac:dyDescent="0.25">
      <c r="A5113" t="s">
        <v>9594</v>
      </c>
      <c r="B5113" t="s">
        <v>9613</v>
      </c>
    </row>
    <row r="5114" spans="1:2" ht="112" hidden="1" customHeight="1" x14ac:dyDescent="0.25">
      <c r="A5114" t="s">
        <v>9595</v>
      </c>
      <c r="B5114" t="s">
        <v>9614</v>
      </c>
    </row>
    <row r="5115" spans="1:2" ht="112" hidden="1" customHeight="1" x14ac:dyDescent="0.25">
      <c r="A5115" t="s">
        <v>9596</v>
      </c>
      <c r="B5115" t="s">
        <v>9615</v>
      </c>
    </row>
    <row r="5116" spans="1:2" ht="112" hidden="1" customHeight="1" x14ac:dyDescent="0.25">
      <c r="A5116" t="s">
        <v>9597</v>
      </c>
      <c r="B5116" t="s">
        <v>9616</v>
      </c>
    </row>
    <row r="5117" spans="1:2" ht="112" hidden="1" customHeight="1" x14ac:dyDescent="0.25">
      <c r="A5117" t="s">
        <v>9598</v>
      </c>
      <c r="B5117" t="s">
        <v>9617</v>
      </c>
    </row>
    <row r="5118" spans="1:2" ht="112" hidden="1" customHeight="1" x14ac:dyDescent="0.25">
      <c r="A5118" t="s">
        <v>9599</v>
      </c>
      <c r="B5118" s="56" t="s">
        <v>11299</v>
      </c>
    </row>
    <row r="5119" spans="1:2" ht="112" hidden="1" customHeight="1" x14ac:dyDescent="0.25">
      <c r="A5119" t="s">
        <v>9600</v>
      </c>
      <c r="B5119" t="s">
        <v>9618</v>
      </c>
    </row>
    <row r="5120" spans="1:2" ht="112" hidden="1" customHeight="1" x14ac:dyDescent="0.25">
      <c r="A5120" t="s">
        <v>9601</v>
      </c>
      <c r="B5120" t="s">
        <v>9619</v>
      </c>
    </row>
    <row r="5121" spans="1:2" ht="112" hidden="1" customHeight="1" x14ac:dyDescent="0.25">
      <c r="A5121" t="s">
        <v>9602</v>
      </c>
      <c r="B5121" t="s">
        <v>9620</v>
      </c>
    </row>
    <row r="5122" spans="1:2" ht="112" hidden="1" customHeight="1" x14ac:dyDescent="0.25">
      <c r="A5122" t="s">
        <v>9603</v>
      </c>
      <c r="B5122" t="s">
        <v>9621</v>
      </c>
    </row>
    <row r="5123" spans="1:2" ht="112" hidden="1" customHeight="1" x14ac:dyDescent="0.25">
      <c r="A5123" t="s">
        <v>9604</v>
      </c>
      <c r="B5123" t="s">
        <v>9622</v>
      </c>
    </row>
    <row r="5124" spans="1:2" ht="112" hidden="1" customHeight="1" x14ac:dyDescent="0.25">
      <c r="A5124" t="s">
        <v>9605</v>
      </c>
      <c r="B5124" t="s">
        <v>9623</v>
      </c>
    </row>
    <row r="5125" spans="1:2" ht="112" hidden="1" customHeight="1" x14ac:dyDescent="0.25">
      <c r="A5125" t="s">
        <v>9606</v>
      </c>
      <c r="B5125" t="s">
        <v>9624</v>
      </c>
    </row>
    <row r="5126" spans="1:2" ht="112" hidden="1" customHeight="1" x14ac:dyDescent="0.25">
      <c r="A5126" t="s">
        <v>9607</v>
      </c>
      <c r="B5126" t="s">
        <v>9625</v>
      </c>
    </row>
    <row r="5127" spans="1:2" ht="112" hidden="1" customHeight="1" x14ac:dyDescent="0.25">
      <c r="A5127" t="s">
        <v>9608</v>
      </c>
      <c r="B5127" t="s">
        <v>9626</v>
      </c>
    </row>
    <row r="5128" spans="1:2" ht="112" hidden="1" customHeight="1" x14ac:dyDescent="0.25">
      <c r="A5128" t="s">
        <v>9634</v>
      </c>
      <c r="B5128" t="s">
        <v>9635</v>
      </c>
    </row>
    <row r="5129" spans="1:2" ht="112" hidden="1" customHeight="1" x14ac:dyDescent="0.25">
      <c r="A5129" t="s">
        <v>9636</v>
      </c>
      <c r="B5129" t="s">
        <v>9637</v>
      </c>
    </row>
    <row r="5130" spans="1:2" ht="112" hidden="1" customHeight="1" x14ac:dyDescent="0.25">
      <c r="A5130" t="s">
        <v>9638</v>
      </c>
      <c r="B5130" t="s">
        <v>9641</v>
      </c>
    </row>
    <row r="5131" spans="1:2" ht="112" hidden="1" customHeight="1" x14ac:dyDescent="0.25">
      <c r="A5131" t="s">
        <v>9639</v>
      </c>
      <c r="B5131" t="s">
        <v>9642</v>
      </c>
    </row>
    <row r="5132" spans="1:2" ht="112" hidden="1" customHeight="1" x14ac:dyDescent="0.25">
      <c r="A5132" t="s">
        <v>9640</v>
      </c>
      <c r="B5132" t="s">
        <v>9643</v>
      </c>
    </row>
    <row r="5133" spans="1:2" ht="7.5" hidden="1" customHeight="1" x14ac:dyDescent="0.25">
      <c r="A5133" t="s">
        <v>9644</v>
      </c>
      <c r="B5133" t="s">
        <v>9645</v>
      </c>
    </row>
    <row r="5134" spans="1:2" ht="112" hidden="1" customHeight="1" x14ac:dyDescent="0.25">
      <c r="A5134" t="s">
        <v>9646</v>
      </c>
      <c r="B5134" t="s">
        <v>9648</v>
      </c>
    </row>
    <row r="5135" spans="1:2" ht="112" hidden="1" customHeight="1" x14ac:dyDescent="0.25">
      <c r="A5135" t="s">
        <v>9647</v>
      </c>
      <c r="B5135" t="s">
        <v>9649</v>
      </c>
    </row>
    <row r="5136" spans="1:2" ht="112" hidden="1" customHeight="1" x14ac:dyDescent="0.25">
      <c r="A5136" t="s">
        <v>9652</v>
      </c>
      <c r="B5136" t="s">
        <v>9656</v>
      </c>
    </row>
    <row r="5137" spans="1:2" ht="112" hidden="1" customHeight="1" x14ac:dyDescent="0.25">
      <c r="A5137" t="s">
        <v>9653</v>
      </c>
      <c r="B5137" t="s">
        <v>9657</v>
      </c>
    </row>
    <row r="5138" spans="1:2" ht="112" hidden="1" customHeight="1" x14ac:dyDescent="0.25">
      <c r="A5138" t="s">
        <v>9654</v>
      </c>
      <c r="B5138" t="s">
        <v>9658</v>
      </c>
    </row>
    <row r="5139" spans="1:2" ht="112" hidden="1" customHeight="1" x14ac:dyDescent="0.25">
      <c r="A5139" t="s">
        <v>9655</v>
      </c>
      <c r="B5139" t="s">
        <v>9659</v>
      </c>
    </row>
    <row r="5140" spans="1:2" ht="112" hidden="1" customHeight="1" x14ac:dyDescent="0.25">
      <c r="A5140" t="s">
        <v>9662</v>
      </c>
      <c r="B5140" t="s">
        <v>9663</v>
      </c>
    </row>
    <row r="5141" spans="1:2" ht="112" hidden="1" customHeight="1" x14ac:dyDescent="0.25">
      <c r="A5141" t="s">
        <v>9664</v>
      </c>
      <c r="B5141" s="56" t="s">
        <v>11248</v>
      </c>
    </row>
    <row r="5142" spans="1:2" ht="112" hidden="1" customHeight="1" x14ac:dyDescent="0.25">
      <c r="A5142" t="s">
        <v>9665</v>
      </c>
      <c r="B5142" t="s">
        <v>9707</v>
      </c>
    </row>
    <row r="5143" spans="1:2" ht="112" hidden="1" customHeight="1" x14ac:dyDescent="0.25">
      <c r="A5143" t="s">
        <v>9666</v>
      </c>
      <c r="B5143" t="s">
        <v>9708</v>
      </c>
    </row>
    <row r="5144" spans="1:2" ht="112" hidden="1" customHeight="1" x14ac:dyDescent="0.25">
      <c r="A5144" t="s">
        <v>9667</v>
      </c>
      <c r="B5144" t="s">
        <v>9709</v>
      </c>
    </row>
    <row r="5145" spans="1:2" ht="112" hidden="1" customHeight="1" x14ac:dyDescent="0.25">
      <c r="A5145" t="s">
        <v>9668</v>
      </c>
      <c r="B5145" s="56" t="s">
        <v>9783</v>
      </c>
    </row>
    <row r="5146" spans="1:2" ht="112" hidden="1" customHeight="1" x14ac:dyDescent="0.25">
      <c r="A5146" t="s">
        <v>9669</v>
      </c>
      <c r="B5146" t="s">
        <v>9710</v>
      </c>
    </row>
    <row r="5147" spans="1:2" ht="112" hidden="1" customHeight="1" x14ac:dyDescent="0.25">
      <c r="A5147" t="s">
        <v>9670</v>
      </c>
      <c r="B5147" t="s">
        <v>9711</v>
      </c>
    </row>
    <row r="5148" spans="1:2" ht="112" hidden="1" customHeight="1" x14ac:dyDescent="0.25">
      <c r="A5148" t="s">
        <v>9671</v>
      </c>
      <c r="B5148" t="s">
        <v>9712</v>
      </c>
    </row>
    <row r="5149" spans="1:2" ht="112" hidden="1" customHeight="1" x14ac:dyDescent="0.25">
      <c r="A5149" t="s">
        <v>9672</v>
      </c>
      <c r="B5149" t="s">
        <v>9713</v>
      </c>
    </row>
    <row r="5150" spans="1:2" ht="112" hidden="1" customHeight="1" x14ac:dyDescent="0.25">
      <c r="A5150" t="s">
        <v>9673</v>
      </c>
      <c r="B5150" t="s">
        <v>9714</v>
      </c>
    </row>
    <row r="5151" spans="1:2" ht="112" hidden="1" customHeight="1" x14ac:dyDescent="0.25">
      <c r="A5151" t="s">
        <v>9674</v>
      </c>
      <c r="B5151" t="s">
        <v>9715</v>
      </c>
    </row>
    <row r="5152" spans="1:2" ht="112" hidden="1" customHeight="1" x14ac:dyDescent="0.25">
      <c r="A5152" t="s">
        <v>9675</v>
      </c>
      <c r="B5152" t="s">
        <v>9716</v>
      </c>
    </row>
    <row r="5153" spans="1:2" ht="112" hidden="1" customHeight="1" x14ac:dyDescent="0.25">
      <c r="A5153" t="s">
        <v>9676</v>
      </c>
      <c r="B5153" t="s">
        <v>9717</v>
      </c>
    </row>
    <row r="5154" spans="1:2" ht="112" hidden="1" customHeight="1" x14ac:dyDescent="0.25">
      <c r="A5154" t="s">
        <v>9677</v>
      </c>
      <c r="B5154" t="s">
        <v>9718</v>
      </c>
    </row>
    <row r="5155" spans="1:2" ht="112" hidden="1" customHeight="1" x14ac:dyDescent="0.25">
      <c r="A5155" t="s">
        <v>9678</v>
      </c>
      <c r="B5155" t="s">
        <v>9719</v>
      </c>
    </row>
    <row r="5156" spans="1:2" ht="112" hidden="1" customHeight="1" x14ac:dyDescent="0.25">
      <c r="A5156" t="s">
        <v>9679</v>
      </c>
      <c r="B5156" t="s">
        <v>9720</v>
      </c>
    </row>
    <row r="5157" spans="1:2" ht="112" hidden="1" customHeight="1" x14ac:dyDescent="0.25">
      <c r="A5157" t="s">
        <v>9680</v>
      </c>
      <c r="B5157" t="s">
        <v>9721</v>
      </c>
    </row>
    <row r="5158" spans="1:2" ht="112" hidden="1" customHeight="1" x14ac:dyDescent="0.25">
      <c r="A5158" t="s">
        <v>9681</v>
      </c>
      <c r="B5158" t="s">
        <v>9722</v>
      </c>
    </row>
    <row r="5159" spans="1:2" ht="112" hidden="1" customHeight="1" x14ac:dyDescent="0.25">
      <c r="A5159" t="s">
        <v>9682</v>
      </c>
      <c r="B5159" t="s">
        <v>9723</v>
      </c>
    </row>
    <row r="5160" spans="1:2" ht="112" hidden="1" customHeight="1" x14ac:dyDescent="0.25">
      <c r="A5160" t="s">
        <v>9683</v>
      </c>
      <c r="B5160" t="s">
        <v>9724</v>
      </c>
    </row>
    <row r="5161" spans="1:2" ht="112" hidden="1" customHeight="1" x14ac:dyDescent="0.25">
      <c r="A5161" t="s">
        <v>9684</v>
      </c>
      <c r="B5161" t="s">
        <v>9725</v>
      </c>
    </row>
    <row r="5162" spans="1:2" ht="112" hidden="1" customHeight="1" x14ac:dyDescent="0.25">
      <c r="A5162" t="s">
        <v>9685</v>
      </c>
      <c r="B5162" t="s">
        <v>9726</v>
      </c>
    </row>
    <row r="5163" spans="1:2" ht="112" hidden="1" customHeight="1" x14ac:dyDescent="0.25">
      <c r="A5163" t="s">
        <v>9686</v>
      </c>
      <c r="B5163" t="s">
        <v>9727</v>
      </c>
    </row>
    <row r="5164" spans="1:2" ht="112" hidden="1" customHeight="1" x14ac:dyDescent="0.25">
      <c r="A5164" t="s">
        <v>9687</v>
      </c>
      <c r="B5164" t="s">
        <v>9728</v>
      </c>
    </row>
    <row r="5165" spans="1:2" ht="112" hidden="1" customHeight="1" x14ac:dyDescent="0.25">
      <c r="A5165" t="s">
        <v>9688</v>
      </c>
      <c r="B5165" t="s">
        <v>9729</v>
      </c>
    </row>
    <row r="5166" spans="1:2" ht="112" hidden="1" customHeight="1" x14ac:dyDescent="0.25">
      <c r="A5166" t="s">
        <v>9689</v>
      </c>
      <c r="B5166" t="s">
        <v>9730</v>
      </c>
    </row>
    <row r="5167" spans="1:2" ht="112" hidden="1" customHeight="1" x14ac:dyDescent="0.25">
      <c r="A5167" t="s">
        <v>9690</v>
      </c>
      <c r="B5167" t="s">
        <v>9731</v>
      </c>
    </row>
    <row r="5168" spans="1:2" ht="112" hidden="1" customHeight="1" x14ac:dyDescent="0.25">
      <c r="A5168" t="s">
        <v>9691</v>
      </c>
      <c r="B5168" t="s">
        <v>9732</v>
      </c>
    </row>
    <row r="5169" spans="1:2" ht="112" hidden="1" customHeight="1" x14ac:dyDescent="0.25">
      <c r="A5169" t="s">
        <v>9692</v>
      </c>
      <c r="B5169" t="s">
        <v>9733</v>
      </c>
    </row>
    <row r="5170" spans="1:2" ht="112" hidden="1" customHeight="1" x14ac:dyDescent="0.25">
      <c r="A5170" t="s">
        <v>9693</v>
      </c>
      <c r="B5170" t="s">
        <v>9734</v>
      </c>
    </row>
    <row r="5171" spans="1:2" ht="112" hidden="1" customHeight="1" x14ac:dyDescent="0.25">
      <c r="A5171" t="s">
        <v>9694</v>
      </c>
      <c r="B5171" t="s">
        <v>9735</v>
      </c>
    </row>
    <row r="5172" spans="1:2" ht="112" hidden="1" customHeight="1" x14ac:dyDescent="0.25">
      <c r="A5172" t="s">
        <v>9695</v>
      </c>
      <c r="B5172" t="s">
        <v>9736</v>
      </c>
    </row>
    <row r="5173" spans="1:2" ht="112" hidden="1" customHeight="1" x14ac:dyDescent="0.25">
      <c r="A5173" t="s">
        <v>9696</v>
      </c>
      <c r="B5173" t="s">
        <v>9737</v>
      </c>
    </row>
    <row r="5174" spans="1:2" ht="112" hidden="1" customHeight="1" x14ac:dyDescent="0.25">
      <c r="A5174" t="s">
        <v>9697</v>
      </c>
      <c r="B5174" t="s">
        <v>9738</v>
      </c>
    </row>
    <row r="5175" spans="1:2" ht="112" hidden="1" customHeight="1" x14ac:dyDescent="0.25">
      <c r="A5175" t="s">
        <v>9698</v>
      </c>
      <c r="B5175" t="s">
        <v>9739</v>
      </c>
    </row>
    <row r="5176" spans="1:2" ht="112" hidden="1" customHeight="1" x14ac:dyDescent="0.25">
      <c r="A5176" t="s">
        <v>9699</v>
      </c>
      <c r="B5176" t="s">
        <v>9740</v>
      </c>
    </row>
    <row r="5177" spans="1:2" ht="112" hidden="1" customHeight="1" x14ac:dyDescent="0.25">
      <c r="A5177" t="s">
        <v>9700</v>
      </c>
      <c r="B5177" t="s">
        <v>9741</v>
      </c>
    </row>
    <row r="5178" spans="1:2" ht="112" hidden="1" customHeight="1" x14ac:dyDescent="0.25">
      <c r="A5178" t="s">
        <v>9701</v>
      </c>
      <c r="B5178" t="s">
        <v>9742</v>
      </c>
    </row>
    <row r="5179" spans="1:2" ht="112" hidden="1" customHeight="1" x14ac:dyDescent="0.25">
      <c r="A5179" t="s">
        <v>9702</v>
      </c>
      <c r="B5179" t="s">
        <v>9743</v>
      </c>
    </row>
    <row r="5180" spans="1:2" ht="112" hidden="1" customHeight="1" x14ac:dyDescent="0.25">
      <c r="A5180" t="s">
        <v>9703</v>
      </c>
      <c r="B5180" t="s">
        <v>9744</v>
      </c>
    </row>
    <row r="5181" spans="1:2" ht="112" hidden="1" customHeight="1" x14ac:dyDescent="0.25">
      <c r="A5181" t="s">
        <v>9704</v>
      </c>
      <c r="B5181" s="56" t="s">
        <v>11247</v>
      </c>
    </row>
    <row r="5182" spans="1:2" ht="112" hidden="1" customHeight="1" x14ac:dyDescent="0.25">
      <c r="A5182" t="s">
        <v>9705</v>
      </c>
      <c r="B5182" t="s">
        <v>9745</v>
      </c>
    </row>
    <row r="5183" spans="1:2" ht="112" hidden="1" customHeight="1" x14ac:dyDescent="0.25">
      <c r="A5183" t="s">
        <v>9706</v>
      </c>
      <c r="B5183" t="s">
        <v>9746</v>
      </c>
    </row>
    <row r="5184" spans="1:2" ht="112" hidden="1" customHeight="1" x14ac:dyDescent="0.25">
      <c r="A5184" t="s">
        <v>9748</v>
      </c>
      <c r="B5184" t="s">
        <v>9749</v>
      </c>
    </row>
    <row r="5185" spans="1:2" ht="112" hidden="1" customHeight="1" x14ac:dyDescent="0.25">
      <c r="A5185" t="s">
        <v>9750</v>
      </c>
      <c r="B5185" t="s">
        <v>9751</v>
      </c>
    </row>
    <row r="5186" spans="1:2" ht="112" hidden="1" customHeight="1" x14ac:dyDescent="0.25">
      <c r="A5186" t="s">
        <v>9752</v>
      </c>
      <c r="B5186" t="s">
        <v>9753</v>
      </c>
    </row>
    <row r="5187" spans="1:2" ht="112" hidden="1" customHeight="1" x14ac:dyDescent="0.25">
      <c r="A5187" t="s">
        <v>9754</v>
      </c>
      <c r="B5187" t="s">
        <v>9755</v>
      </c>
    </row>
    <row r="5188" spans="1:2" ht="112" hidden="1" customHeight="1" x14ac:dyDescent="0.25">
      <c r="A5188" t="s">
        <v>9756</v>
      </c>
      <c r="B5188" t="s">
        <v>9757</v>
      </c>
    </row>
    <row r="5189" spans="1:2" ht="112" hidden="1" customHeight="1" x14ac:dyDescent="0.25">
      <c r="A5189" t="s">
        <v>8151</v>
      </c>
      <c r="B5189" s="56" t="s">
        <v>10309</v>
      </c>
    </row>
    <row r="5190" spans="1:2" ht="112" hidden="1" customHeight="1" x14ac:dyDescent="0.25">
      <c r="A5190" t="s">
        <v>9747</v>
      </c>
      <c r="B5190" t="s">
        <v>9758</v>
      </c>
    </row>
    <row r="5191" spans="1:2" ht="112" hidden="1" customHeight="1" x14ac:dyDescent="0.25">
      <c r="A5191" t="s">
        <v>9759</v>
      </c>
      <c r="B5191" t="s">
        <v>9760</v>
      </c>
    </row>
    <row r="5192" spans="1:2" ht="112" hidden="1" customHeight="1" x14ac:dyDescent="0.25">
      <c r="A5192" t="s">
        <v>9761</v>
      </c>
      <c r="B5192" t="s">
        <v>9762</v>
      </c>
    </row>
    <row r="5193" spans="1:2" ht="112" hidden="1" customHeight="1" x14ac:dyDescent="0.25">
      <c r="A5193" t="s">
        <v>9831</v>
      </c>
      <c r="B5193" s="56" t="s">
        <v>9830</v>
      </c>
    </row>
    <row r="5194" spans="1:2" ht="112" hidden="1" customHeight="1" x14ac:dyDescent="0.25">
      <c r="A5194" t="s">
        <v>9764</v>
      </c>
      <c r="B5194" t="s">
        <v>9771</v>
      </c>
    </row>
    <row r="5195" spans="1:2" ht="112" hidden="1" customHeight="1" x14ac:dyDescent="0.25">
      <c r="A5195" t="s">
        <v>9765</v>
      </c>
      <c r="B5195" s="56" t="s">
        <v>9777</v>
      </c>
    </row>
    <row r="5196" spans="1:2" ht="112" hidden="1" customHeight="1" x14ac:dyDescent="0.25">
      <c r="A5196" t="s">
        <v>9766</v>
      </c>
      <c r="B5196" t="s">
        <v>9772</v>
      </c>
    </row>
    <row r="5197" spans="1:2" ht="112" hidden="1" customHeight="1" x14ac:dyDescent="0.25">
      <c r="A5197" t="s">
        <v>9767</v>
      </c>
      <c r="B5197" t="s">
        <v>9773</v>
      </c>
    </row>
    <row r="5198" spans="1:2" ht="112" hidden="1" customHeight="1" x14ac:dyDescent="0.25">
      <c r="A5198" t="s">
        <v>9768</v>
      </c>
      <c r="B5198" t="s">
        <v>9774</v>
      </c>
    </row>
    <row r="5199" spans="1:2" ht="112" hidden="1" customHeight="1" x14ac:dyDescent="0.25">
      <c r="A5199" t="s">
        <v>9769</v>
      </c>
      <c r="B5199" t="s">
        <v>9775</v>
      </c>
    </row>
    <row r="5200" spans="1:2" ht="112" hidden="1" customHeight="1" x14ac:dyDescent="0.25">
      <c r="A5200" t="s">
        <v>9770</v>
      </c>
      <c r="B5200" t="s">
        <v>9776</v>
      </c>
    </row>
    <row r="5201" spans="1:2" ht="112" hidden="1" customHeight="1" x14ac:dyDescent="0.25">
      <c r="A5201" t="s">
        <v>9784</v>
      </c>
      <c r="B5201" t="s">
        <v>9787</v>
      </c>
    </row>
    <row r="5202" spans="1:2" ht="112" hidden="1" customHeight="1" x14ac:dyDescent="0.25">
      <c r="A5202" t="s">
        <v>9785</v>
      </c>
      <c r="B5202" t="s">
        <v>9788</v>
      </c>
    </row>
    <row r="5203" spans="1:2" ht="112" hidden="1" customHeight="1" x14ac:dyDescent="0.25">
      <c r="A5203" t="s">
        <v>9786</v>
      </c>
      <c r="B5203" t="s">
        <v>9789</v>
      </c>
    </row>
    <row r="5204" spans="1:2" ht="112" hidden="1" customHeight="1" x14ac:dyDescent="0.25">
      <c r="A5204" t="s">
        <v>9790</v>
      </c>
      <c r="B5204" t="s">
        <v>9791</v>
      </c>
    </row>
    <row r="5205" spans="1:2" ht="112" hidden="1" customHeight="1" x14ac:dyDescent="0.25">
      <c r="A5205" t="s">
        <v>9792</v>
      </c>
      <c r="B5205" t="s">
        <v>9793</v>
      </c>
    </row>
    <row r="5206" spans="1:2" ht="112" hidden="1" customHeight="1" x14ac:dyDescent="0.25">
      <c r="A5206" t="s">
        <v>9794</v>
      </c>
      <c r="B5206" t="s">
        <v>9799</v>
      </c>
    </row>
    <row r="5207" spans="1:2" ht="112" hidden="1" customHeight="1" x14ac:dyDescent="0.25">
      <c r="A5207" t="s">
        <v>9795</v>
      </c>
      <c r="B5207" t="s">
        <v>9800</v>
      </c>
    </row>
    <row r="5208" spans="1:2" ht="112" hidden="1" customHeight="1" x14ac:dyDescent="0.25">
      <c r="A5208" t="s">
        <v>9796</v>
      </c>
      <c r="B5208" t="s">
        <v>9801</v>
      </c>
    </row>
    <row r="5209" spans="1:2" ht="112" hidden="1" customHeight="1" x14ac:dyDescent="0.25">
      <c r="A5209" t="s">
        <v>9797</v>
      </c>
      <c r="B5209" t="s">
        <v>9802</v>
      </c>
    </row>
    <row r="5210" spans="1:2" ht="112" hidden="1" customHeight="1" x14ac:dyDescent="0.25">
      <c r="A5210" t="s">
        <v>9798</v>
      </c>
      <c r="B5210" t="s">
        <v>9803</v>
      </c>
    </row>
    <row r="5211" spans="1:2" ht="112" hidden="1" customHeight="1" x14ac:dyDescent="0.25">
      <c r="A5211" t="s">
        <v>9804</v>
      </c>
      <c r="B5211" t="s">
        <v>9805</v>
      </c>
    </row>
    <row r="5212" spans="1:2" ht="112" hidden="1" customHeight="1" x14ac:dyDescent="0.25">
      <c r="A5212" t="s">
        <v>9806</v>
      </c>
      <c r="B5212" t="s">
        <v>9807</v>
      </c>
    </row>
    <row r="5213" spans="1:2" ht="112" hidden="1" customHeight="1" x14ac:dyDescent="0.25">
      <c r="A5213" t="s">
        <v>9808</v>
      </c>
      <c r="B5213" t="s">
        <v>9813</v>
      </c>
    </row>
    <row r="5214" spans="1:2" ht="112" hidden="1" customHeight="1" x14ac:dyDescent="0.25">
      <c r="A5214" t="s">
        <v>9809</v>
      </c>
      <c r="B5214" t="s">
        <v>9814</v>
      </c>
    </row>
    <row r="5215" spans="1:2" ht="112" hidden="1" customHeight="1" x14ac:dyDescent="0.25">
      <c r="A5215" t="s">
        <v>9810</v>
      </c>
      <c r="B5215" t="s">
        <v>9815</v>
      </c>
    </row>
    <row r="5216" spans="1:2" ht="112" hidden="1" customHeight="1" x14ac:dyDescent="0.25">
      <c r="A5216" t="s">
        <v>9811</v>
      </c>
      <c r="B5216" t="s">
        <v>9816</v>
      </c>
    </row>
    <row r="5217" spans="1:2" ht="112" hidden="1" customHeight="1" x14ac:dyDescent="0.25">
      <c r="A5217" t="s">
        <v>9812</v>
      </c>
      <c r="B5217" t="s">
        <v>9817</v>
      </c>
    </row>
    <row r="5218" spans="1:2" ht="112" hidden="1" customHeight="1" x14ac:dyDescent="0.25">
      <c r="A5218" t="s">
        <v>9818</v>
      </c>
      <c r="B5218" t="s">
        <v>9821</v>
      </c>
    </row>
    <row r="5219" spans="1:2" ht="112" hidden="1" customHeight="1" x14ac:dyDescent="0.25">
      <c r="A5219" t="s">
        <v>9819</v>
      </c>
      <c r="B5219" t="s">
        <v>9822</v>
      </c>
    </row>
    <row r="5220" spans="1:2" ht="112" hidden="1" customHeight="1" x14ac:dyDescent="0.25">
      <c r="A5220" t="s">
        <v>9820</v>
      </c>
      <c r="B5220" s="56" t="s">
        <v>9823</v>
      </c>
    </row>
    <row r="5221" spans="1:2" ht="112" hidden="1" customHeight="1" x14ac:dyDescent="0.25">
      <c r="A5221" t="s">
        <v>9824</v>
      </c>
      <c r="B5221" t="s">
        <v>9825</v>
      </c>
    </row>
    <row r="5222" spans="1:2" ht="112" hidden="1" customHeight="1" x14ac:dyDescent="0.25">
      <c r="A5222" t="s">
        <v>9827</v>
      </c>
      <c r="B5222" t="s">
        <v>9828</v>
      </c>
    </row>
    <row r="5223" spans="1:2" ht="112" hidden="1" customHeight="1" x14ac:dyDescent="0.25">
      <c r="A5223" t="s">
        <v>9826</v>
      </c>
      <c r="B5223" t="s">
        <v>9829</v>
      </c>
    </row>
    <row r="5224" spans="1:2" ht="112" hidden="1" customHeight="1" x14ac:dyDescent="0.25">
      <c r="A5224" t="s">
        <v>9873</v>
      </c>
      <c r="B5224" s="56" t="s">
        <v>9874</v>
      </c>
    </row>
    <row r="5225" spans="1:2" ht="112" hidden="1" customHeight="1" x14ac:dyDescent="0.25">
      <c r="A5225" t="s">
        <v>9832</v>
      </c>
      <c r="B5225" t="s">
        <v>9838</v>
      </c>
    </row>
    <row r="5226" spans="1:2" ht="112" hidden="1" customHeight="1" x14ac:dyDescent="0.25">
      <c r="A5226" t="s">
        <v>9833</v>
      </c>
      <c r="B5226" t="s">
        <v>9839</v>
      </c>
    </row>
    <row r="5227" spans="1:2" ht="112" hidden="1" customHeight="1" x14ac:dyDescent="0.25">
      <c r="A5227" t="s">
        <v>9834</v>
      </c>
      <c r="B5227" t="s">
        <v>9840</v>
      </c>
    </row>
    <row r="5228" spans="1:2" ht="112" hidden="1" customHeight="1" x14ac:dyDescent="0.25">
      <c r="A5228" t="s">
        <v>9835</v>
      </c>
      <c r="B5228" t="s">
        <v>9841</v>
      </c>
    </row>
    <row r="5229" spans="1:2" ht="112" hidden="1" customHeight="1" x14ac:dyDescent="0.25">
      <c r="A5229" t="s">
        <v>9836</v>
      </c>
      <c r="B5229" t="s">
        <v>9842</v>
      </c>
    </row>
    <row r="5230" spans="1:2" ht="112" hidden="1" customHeight="1" x14ac:dyDescent="0.25">
      <c r="A5230" t="s">
        <v>9837</v>
      </c>
      <c r="B5230" t="s">
        <v>9843</v>
      </c>
    </row>
    <row r="5231" spans="1:2" ht="112" hidden="1" customHeight="1" x14ac:dyDescent="0.25">
      <c r="A5231" t="s">
        <v>9844</v>
      </c>
      <c r="B5231" s="56" t="s">
        <v>9861</v>
      </c>
    </row>
    <row r="5232" spans="1:2" ht="112" hidden="1" customHeight="1" x14ac:dyDescent="0.25">
      <c r="A5232" t="s">
        <v>9845</v>
      </c>
      <c r="B5232" s="56" t="s">
        <v>9862</v>
      </c>
    </row>
    <row r="5233" spans="1:2" ht="112" hidden="1" customHeight="1" x14ac:dyDescent="0.25">
      <c r="A5233" t="s">
        <v>9846</v>
      </c>
      <c r="B5233" s="56" t="s">
        <v>11245</v>
      </c>
    </row>
    <row r="5234" spans="1:2" ht="112" hidden="1" customHeight="1" x14ac:dyDescent="0.25">
      <c r="A5234" t="s">
        <v>9847</v>
      </c>
      <c r="B5234" s="56" t="s">
        <v>11246</v>
      </c>
    </row>
    <row r="5235" spans="1:2" ht="112" hidden="1" customHeight="1" x14ac:dyDescent="0.25">
      <c r="A5235" t="s">
        <v>9848</v>
      </c>
      <c r="B5235" s="56" t="s">
        <v>9863</v>
      </c>
    </row>
    <row r="5236" spans="1:2" ht="112" hidden="1" customHeight="1" x14ac:dyDescent="0.25">
      <c r="A5236" t="s">
        <v>9849</v>
      </c>
      <c r="B5236" t="s">
        <v>9859</v>
      </c>
    </row>
    <row r="5237" spans="1:2" ht="112" hidden="1" customHeight="1" x14ac:dyDescent="0.25">
      <c r="A5237" t="s">
        <v>9850</v>
      </c>
      <c r="B5237" s="56" t="s">
        <v>9864</v>
      </c>
    </row>
    <row r="5238" spans="1:2" ht="112" hidden="1" customHeight="1" x14ac:dyDescent="0.25">
      <c r="A5238" t="s">
        <v>9851</v>
      </c>
      <c r="B5238" s="56" t="s">
        <v>9865</v>
      </c>
    </row>
    <row r="5239" spans="1:2" ht="112" hidden="1" customHeight="1" x14ac:dyDescent="0.25">
      <c r="A5239" t="s">
        <v>9852</v>
      </c>
      <c r="B5239" s="56" t="s">
        <v>9866</v>
      </c>
    </row>
    <row r="5240" spans="1:2" ht="112" hidden="1" customHeight="1" x14ac:dyDescent="0.25">
      <c r="A5240" t="s">
        <v>9853</v>
      </c>
      <c r="B5240" s="56" t="s">
        <v>9867</v>
      </c>
    </row>
    <row r="5241" spans="1:2" ht="112" hidden="1" customHeight="1" x14ac:dyDescent="0.25">
      <c r="A5241" t="s">
        <v>9854</v>
      </c>
      <c r="B5241" s="56" t="s">
        <v>9868</v>
      </c>
    </row>
    <row r="5242" spans="1:2" ht="112" hidden="1" customHeight="1" x14ac:dyDescent="0.25">
      <c r="A5242" t="s">
        <v>9855</v>
      </c>
      <c r="B5242" s="56" t="s">
        <v>9869</v>
      </c>
    </row>
    <row r="5243" spans="1:2" ht="112" hidden="1" customHeight="1" x14ac:dyDescent="0.25">
      <c r="A5243" t="s">
        <v>9856</v>
      </c>
      <c r="B5243" s="56" t="s">
        <v>9870</v>
      </c>
    </row>
    <row r="5244" spans="1:2" ht="112" hidden="1" customHeight="1" x14ac:dyDescent="0.25">
      <c r="A5244" t="s">
        <v>9857</v>
      </c>
      <c r="B5244" s="56" t="s">
        <v>9871</v>
      </c>
    </row>
    <row r="5245" spans="1:2" ht="112" hidden="1" customHeight="1" x14ac:dyDescent="0.25">
      <c r="A5245" t="s">
        <v>9858</v>
      </c>
      <c r="B5245" s="56" t="s">
        <v>9872</v>
      </c>
    </row>
    <row r="5246" spans="1:2" ht="112" hidden="1" customHeight="1" x14ac:dyDescent="0.25">
      <c r="A5246" t="s">
        <v>9860</v>
      </c>
      <c r="B5246" t="s">
        <v>9875</v>
      </c>
    </row>
    <row r="5247" spans="1:2" ht="112" hidden="1" customHeight="1" x14ac:dyDescent="0.25">
      <c r="A5247" t="s">
        <v>9876</v>
      </c>
      <c r="B5247" t="s">
        <v>9877</v>
      </c>
    </row>
    <row r="5248" spans="1:2" ht="112" hidden="1" customHeight="1" x14ac:dyDescent="0.25">
      <c r="A5248" t="s">
        <v>9878</v>
      </c>
      <c r="B5248" t="s">
        <v>9879</v>
      </c>
    </row>
    <row r="5249" spans="1:2" ht="112" hidden="1" customHeight="1" x14ac:dyDescent="0.25">
      <c r="A5249" t="s">
        <v>9880</v>
      </c>
      <c r="B5249" s="56" t="s">
        <v>9881</v>
      </c>
    </row>
    <row r="5250" spans="1:2" ht="112" hidden="1" customHeight="1" x14ac:dyDescent="0.25">
      <c r="A5250" t="s">
        <v>11061</v>
      </c>
      <c r="B5250" s="56" t="s">
        <v>11062</v>
      </c>
    </row>
    <row r="5251" spans="1:2" ht="112" hidden="1" customHeight="1" x14ac:dyDescent="0.25">
      <c r="A5251" t="s">
        <v>9883</v>
      </c>
      <c r="B5251" s="56" t="s">
        <v>10053</v>
      </c>
    </row>
    <row r="5252" spans="1:2" ht="112" hidden="1" customHeight="1" x14ac:dyDescent="0.25">
      <c r="A5252" t="s">
        <v>9885</v>
      </c>
      <c r="B5252" t="s">
        <v>9905</v>
      </c>
    </row>
    <row r="5253" spans="1:2" ht="112" hidden="1" customHeight="1" x14ac:dyDescent="0.25">
      <c r="A5253" t="s">
        <v>9886</v>
      </c>
      <c r="B5253" t="s">
        <v>9906</v>
      </c>
    </row>
    <row r="5254" spans="1:2" ht="112" hidden="1" customHeight="1" x14ac:dyDescent="0.25">
      <c r="A5254" t="s">
        <v>9887</v>
      </c>
      <c r="B5254" t="s">
        <v>9907</v>
      </c>
    </row>
    <row r="5255" spans="1:2" ht="112" hidden="1" customHeight="1" x14ac:dyDescent="0.25">
      <c r="A5255" t="s">
        <v>9888</v>
      </c>
      <c r="B5255" t="s">
        <v>9908</v>
      </c>
    </row>
    <row r="5256" spans="1:2" ht="112" hidden="1" customHeight="1" x14ac:dyDescent="0.25">
      <c r="A5256" t="s">
        <v>9889</v>
      </c>
      <c r="B5256" t="s">
        <v>9909</v>
      </c>
    </row>
    <row r="5257" spans="1:2" ht="112" hidden="1" customHeight="1" x14ac:dyDescent="0.25">
      <c r="A5257" t="s">
        <v>9890</v>
      </c>
      <c r="B5257" t="s">
        <v>9910</v>
      </c>
    </row>
    <row r="5258" spans="1:2" ht="112" hidden="1" customHeight="1" x14ac:dyDescent="0.25">
      <c r="A5258" t="s">
        <v>9891</v>
      </c>
      <c r="B5258" t="s">
        <v>9911</v>
      </c>
    </row>
    <row r="5259" spans="1:2" ht="112" hidden="1" customHeight="1" x14ac:dyDescent="0.25">
      <c r="A5259" t="s">
        <v>9892</v>
      </c>
      <c r="B5259" t="s">
        <v>9912</v>
      </c>
    </row>
    <row r="5260" spans="1:2" ht="112" hidden="1" customHeight="1" x14ac:dyDescent="0.25">
      <c r="A5260" t="s">
        <v>9893</v>
      </c>
      <c r="B5260" t="s">
        <v>9913</v>
      </c>
    </row>
    <row r="5261" spans="1:2" ht="112" hidden="1" customHeight="1" x14ac:dyDescent="0.25">
      <c r="A5261" t="s">
        <v>9894</v>
      </c>
      <c r="B5261" t="s">
        <v>9914</v>
      </c>
    </row>
    <row r="5262" spans="1:2" ht="112" hidden="1" customHeight="1" x14ac:dyDescent="0.25">
      <c r="A5262" t="s">
        <v>9895</v>
      </c>
      <c r="B5262" t="s">
        <v>9915</v>
      </c>
    </row>
    <row r="5263" spans="1:2" ht="112" hidden="1" customHeight="1" x14ac:dyDescent="0.25">
      <c r="A5263" t="s">
        <v>9896</v>
      </c>
      <c r="B5263" t="s">
        <v>9916</v>
      </c>
    </row>
    <row r="5264" spans="1:2" ht="112" hidden="1" customHeight="1" x14ac:dyDescent="0.25">
      <c r="A5264" t="s">
        <v>9897</v>
      </c>
      <c r="B5264" t="s">
        <v>9917</v>
      </c>
    </row>
    <row r="5265" spans="1:2" ht="112" hidden="1" customHeight="1" x14ac:dyDescent="0.25">
      <c r="A5265" t="s">
        <v>9898</v>
      </c>
      <c r="B5265" t="s">
        <v>9918</v>
      </c>
    </row>
    <row r="5266" spans="1:2" ht="112" hidden="1" customHeight="1" x14ac:dyDescent="0.25">
      <c r="A5266" t="s">
        <v>9899</v>
      </c>
      <c r="B5266" t="s">
        <v>9919</v>
      </c>
    </row>
    <row r="5267" spans="1:2" ht="112" hidden="1" customHeight="1" x14ac:dyDescent="0.25">
      <c r="A5267" t="s">
        <v>9900</v>
      </c>
      <c r="B5267" t="s">
        <v>9920</v>
      </c>
    </row>
    <row r="5268" spans="1:2" ht="112" hidden="1" customHeight="1" x14ac:dyDescent="0.25">
      <c r="A5268" t="s">
        <v>9901</v>
      </c>
      <c r="B5268" t="s">
        <v>9921</v>
      </c>
    </row>
    <row r="5269" spans="1:2" ht="112" hidden="1" customHeight="1" x14ac:dyDescent="0.25">
      <c r="A5269" t="s">
        <v>9902</v>
      </c>
      <c r="B5269" t="s">
        <v>9922</v>
      </c>
    </row>
    <row r="5270" spans="1:2" ht="112" hidden="1" customHeight="1" x14ac:dyDescent="0.25">
      <c r="A5270" t="s">
        <v>9903</v>
      </c>
      <c r="B5270" t="s">
        <v>9923</v>
      </c>
    </row>
    <row r="5271" spans="1:2" ht="112" hidden="1" customHeight="1" x14ac:dyDescent="0.25">
      <c r="A5271" t="s">
        <v>9904</v>
      </c>
      <c r="B5271" t="s">
        <v>9924</v>
      </c>
    </row>
    <row r="5272" spans="1:2" ht="112" hidden="1" customHeight="1" x14ac:dyDescent="0.25">
      <c r="A5272" t="s">
        <v>9927</v>
      </c>
      <c r="B5272" t="s">
        <v>9928</v>
      </c>
    </row>
    <row r="5273" spans="1:2" ht="112" hidden="1" customHeight="1" x14ac:dyDescent="0.25">
      <c r="A5273" t="s">
        <v>9925</v>
      </c>
      <c r="B5273" t="s">
        <v>9929</v>
      </c>
    </row>
    <row r="5274" spans="1:2" ht="112" hidden="1" customHeight="1" x14ac:dyDescent="0.25">
      <c r="A5274" t="s">
        <v>9926</v>
      </c>
      <c r="B5274" t="s">
        <v>9930</v>
      </c>
    </row>
    <row r="5275" spans="1:2" ht="112" hidden="1" customHeight="1" x14ac:dyDescent="0.25">
      <c r="A5275" t="s">
        <v>9931</v>
      </c>
      <c r="B5275" t="s">
        <v>9949</v>
      </c>
    </row>
    <row r="5276" spans="1:2" ht="112" hidden="1" customHeight="1" x14ac:dyDescent="0.25">
      <c r="A5276" t="s">
        <v>9932</v>
      </c>
      <c r="B5276" t="s">
        <v>9950</v>
      </c>
    </row>
    <row r="5277" spans="1:2" ht="112" hidden="1" customHeight="1" x14ac:dyDescent="0.25">
      <c r="A5277" t="s">
        <v>9933</v>
      </c>
      <c r="B5277" t="s">
        <v>9951</v>
      </c>
    </row>
    <row r="5278" spans="1:2" ht="112" hidden="1" customHeight="1" x14ac:dyDescent="0.25">
      <c r="A5278" t="s">
        <v>9934</v>
      </c>
      <c r="B5278" t="s">
        <v>9952</v>
      </c>
    </row>
    <row r="5279" spans="1:2" ht="112" hidden="1" customHeight="1" x14ac:dyDescent="0.25">
      <c r="A5279" t="s">
        <v>9935</v>
      </c>
      <c r="B5279" t="s">
        <v>9953</v>
      </c>
    </row>
    <row r="5280" spans="1:2" ht="112" hidden="1" customHeight="1" x14ac:dyDescent="0.25">
      <c r="A5280" t="s">
        <v>9936</v>
      </c>
      <c r="B5280" t="s">
        <v>9954</v>
      </c>
    </row>
    <row r="5281" spans="1:2" ht="112" hidden="1" customHeight="1" x14ac:dyDescent="0.25">
      <c r="A5281" t="s">
        <v>9937</v>
      </c>
      <c r="B5281" t="s">
        <v>9955</v>
      </c>
    </row>
    <row r="5282" spans="1:2" ht="112" hidden="1" customHeight="1" x14ac:dyDescent="0.25">
      <c r="A5282" t="s">
        <v>9938</v>
      </c>
      <c r="B5282" t="s">
        <v>9956</v>
      </c>
    </row>
    <row r="5283" spans="1:2" ht="112" hidden="1" customHeight="1" x14ac:dyDescent="0.25">
      <c r="A5283" t="s">
        <v>9939</v>
      </c>
      <c r="B5283" t="s">
        <v>9957</v>
      </c>
    </row>
    <row r="5284" spans="1:2" ht="112" hidden="1" customHeight="1" x14ac:dyDescent="0.25">
      <c r="A5284" t="s">
        <v>9940</v>
      </c>
      <c r="B5284" t="s">
        <v>9958</v>
      </c>
    </row>
    <row r="5285" spans="1:2" ht="112" hidden="1" customHeight="1" x14ac:dyDescent="0.25">
      <c r="A5285" t="s">
        <v>9941</v>
      </c>
      <c r="B5285" t="s">
        <v>9959</v>
      </c>
    </row>
    <row r="5286" spans="1:2" ht="112" hidden="1" customHeight="1" x14ac:dyDescent="0.25">
      <c r="A5286" t="s">
        <v>9942</v>
      </c>
      <c r="B5286" t="s">
        <v>9960</v>
      </c>
    </row>
    <row r="5287" spans="1:2" ht="112" hidden="1" customHeight="1" x14ac:dyDescent="0.25">
      <c r="A5287" t="s">
        <v>9943</v>
      </c>
      <c r="B5287" t="s">
        <v>9961</v>
      </c>
    </row>
    <row r="5288" spans="1:2" ht="112" hidden="1" customHeight="1" x14ac:dyDescent="0.25">
      <c r="A5288" t="s">
        <v>9944</v>
      </c>
      <c r="B5288" t="s">
        <v>9962</v>
      </c>
    </row>
    <row r="5289" spans="1:2" ht="112" hidden="1" customHeight="1" x14ac:dyDescent="0.25">
      <c r="A5289" t="s">
        <v>9945</v>
      </c>
      <c r="B5289" t="s">
        <v>9963</v>
      </c>
    </row>
    <row r="5290" spans="1:2" ht="112" hidden="1" customHeight="1" x14ac:dyDescent="0.25">
      <c r="A5290" t="s">
        <v>9946</v>
      </c>
      <c r="B5290" t="s">
        <v>9964</v>
      </c>
    </row>
    <row r="5291" spans="1:2" ht="112" hidden="1" customHeight="1" x14ac:dyDescent="0.25">
      <c r="A5291" t="s">
        <v>9947</v>
      </c>
      <c r="B5291" t="s">
        <v>9965</v>
      </c>
    </row>
    <row r="5292" spans="1:2" ht="112" hidden="1" customHeight="1" x14ac:dyDescent="0.25">
      <c r="A5292" t="s">
        <v>9948</v>
      </c>
      <c r="B5292" t="s">
        <v>9966</v>
      </c>
    </row>
    <row r="5293" spans="1:2" ht="112" hidden="1" customHeight="1" x14ac:dyDescent="0.25">
      <c r="A5293" t="s">
        <v>9931</v>
      </c>
      <c r="B5293" t="s">
        <v>9949</v>
      </c>
    </row>
    <row r="5294" spans="1:2" ht="112" hidden="1" customHeight="1" x14ac:dyDescent="0.25">
      <c r="A5294" t="s">
        <v>9932</v>
      </c>
      <c r="B5294" t="s">
        <v>9950</v>
      </c>
    </row>
    <row r="5295" spans="1:2" ht="112" hidden="1" customHeight="1" x14ac:dyDescent="0.25">
      <c r="A5295" t="s">
        <v>9933</v>
      </c>
      <c r="B5295" t="s">
        <v>9951</v>
      </c>
    </row>
    <row r="5296" spans="1:2" ht="112" hidden="1" customHeight="1" x14ac:dyDescent="0.25">
      <c r="A5296" t="s">
        <v>9934</v>
      </c>
      <c r="B5296" t="s">
        <v>9952</v>
      </c>
    </row>
    <row r="5297" spans="1:2" ht="112" hidden="1" customHeight="1" x14ac:dyDescent="0.25">
      <c r="A5297" t="s">
        <v>9935</v>
      </c>
      <c r="B5297" t="s">
        <v>9953</v>
      </c>
    </row>
    <row r="5298" spans="1:2" ht="112" hidden="1" customHeight="1" x14ac:dyDescent="0.25">
      <c r="A5298" t="s">
        <v>9936</v>
      </c>
      <c r="B5298" t="s">
        <v>9954</v>
      </c>
    </row>
    <row r="5299" spans="1:2" ht="112" hidden="1" customHeight="1" x14ac:dyDescent="0.25">
      <c r="A5299" t="s">
        <v>9937</v>
      </c>
      <c r="B5299" t="s">
        <v>9955</v>
      </c>
    </row>
    <row r="5300" spans="1:2" ht="112" hidden="1" customHeight="1" x14ac:dyDescent="0.25">
      <c r="A5300" t="s">
        <v>9938</v>
      </c>
      <c r="B5300" t="s">
        <v>9956</v>
      </c>
    </row>
    <row r="5301" spans="1:2" ht="112" hidden="1" customHeight="1" x14ac:dyDescent="0.25">
      <c r="A5301" t="s">
        <v>9939</v>
      </c>
      <c r="B5301" t="s">
        <v>9957</v>
      </c>
    </row>
    <row r="5302" spans="1:2" ht="112" hidden="1" customHeight="1" x14ac:dyDescent="0.25">
      <c r="A5302" t="s">
        <v>9940</v>
      </c>
      <c r="B5302" t="s">
        <v>9958</v>
      </c>
    </row>
    <row r="5303" spans="1:2" ht="112" hidden="1" customHeight="1" x14ac:dyDescent="0.25">
      <c r="A5303" t="s">
        <v>9941</v>
      </c>
      <c r="B5303" t="s">
        <v>9959</v>
      </c>
    </row>
    <row r="5304" spans="1:2" ht="112" hidden="1" customHeight="1" x14ac:dyDescent="0.25">
      <c r="A5304" t="s">
        <v>9942</v>
      </c>
      <c r="B5304" t="s">
        <v>9960</v>
      </c>
    </row>
    <row r="5305" spans="1:2" ht="112" hidden="1" customHeight="1" x14ac:dyDescent="0.25">
      <c r="A5305" t="s">
        <v>9943</v>
      </c>
      <c r="B5305" t="s">
        <v>9961</v>
      </c>
    </row>
    <row r="5306" spans="1:2" ht="112" hidden="1" customHeight="1" x14ac:dyDescent="0.25">
      <c r="A5306" t="s">
        <v>9944</v>
      </c>
      <c r="B5306" t="s">
        <v>9962</v>
      </c>
    </row>
    <row r="5307" spans="1:2" ht="112" hidden="1" customHeight="1" x14ac:dyDescent="0.25">
      <c r="A5307" t="s">
        <v>9945</v>
      </c>
      <c r="B5307" t="s">
        <v>9963</v>
      </c>
    </row>
    <row r="5308" spans="1:2" ht="112" hidden="1" customHeight="1" x14ac:dyDescent="0.25">
      <c r="A5308" t="s">
        <v>9946</v>
      </c>
      <c r="B5308" t="s">
        <v>9964</v>
      </c>
    </row>
    <row r="5309" spans="1:2" ht="112" hidden="1" customHeight="1" x14ac:dyDescent="0.25">
      <c r="A5309" t="s">
        <v>9947</v>
      </c>
      <c r="B5309" t="s">
        <v>9965</v>
      </c>
    </row>
    <row r="5310" spans="1:2" ht="112" hidden="1" customHeight="1" x14ac:dyDescent="0.25">
      <c r="A5310" t="s">
        <v>9948</v>
      </c>
      <c r="B5310" t="s">
        <v>9966</v>
      </c>
    </row>
    <row r="5311" spans="1:2" ht="112" hidden="1" customHeight="1" x14ac:dyDescent="0.25">
      <c r="A5311" t="s">
        <v>9967</v>
      </c>
      <c r="B5311" t="s">
        <v>9968</v>
      </c>
    </row>
    <row r="5312" spans="1:2" ht="112" hidden="1" customHeight="1" x14ac:dyDescent="0.25">
      <c r="A5312" t="s">
        <v>9969</v>
      </c>
      <c r="B5312" t="s">
        <v>9970</v>
      </c>
    </row>
    <row r="5313" spans="1:2" ht="112" hidden="1" customHeight="1" x14ac:dyDescent="0.25">
      <c r="A5313" t="s">
        <v>9971</v>
      </c>
      <c r="B5313" s="56" t="s">
        <v>9972</v>
      </c>
    </row>
    <row r="5314" spans="1:2" ht="112" hidden="1" customHeight="1" x14ac:dyDescent="0.25">
      <c r="A5314" t="s">
        <v>9974</v>
      </c>
      <c r="B5314" t="s">
        <v>9976</v>
      </c>
    </row>
    <row r="5315" spans="1:2" ht="112" hidden="1" customHeight="1" x14ac:dyDescent="0.25">
      <c r="A5315" t="s">
        <v>9975</v>
      </c>
      <c r="B5315" t="s">
        <v>9977</v>
      </c>
    </row>
    <row r="5316" spans="1:2" ht="112" hidden="1" customHeight="1" x14ac:dyDescent="0.25">
      <c r="A5316" t="s">
        <v>9978</v>
      </c>
      <c r="B5316" t="s">
        <v>9979</v>
      </c>
    </row>
    <row r="5317" spans="1:2" ht="112" hidden="1" customHeight="1" x14ac:dyDescent="0.25">
      <c r="A5317" t="s">
        <v>9980</v>
      </c>
      <c r="B5317" t="s">
        <v>9981</v>
      </c>
    </row>
    <row r="5318" spans="1:2" ht="112" hidden="1" customHeight="1" x14ac:dyDescent="0.25">
      <c r="A5318" t="s">
        <v>9982</v>
      </c>
      <c r="B5318" t="s">
        <v>9988</v>
      </c>
    </row>
    <row r="5319" spans="1:2" ht="112" hidden="1" customHeight="1" x14ac:dyDescent="0.25">
      <c r="A5319" t="s">
        <v>9987</v>
      </c>
      <c r="B5319" s="56" t="s">
        <v>9989</v>
      </c>
    </row>
    <row r="5320" spans="1:2" ht="112" hidden="1" customHeight="1" x14ac:dyDescent="0.25">
      <c r="A5320" t="s">
        <v>9983</v>
      </c>
      <c r="B5320" s="56" t="s">
        <v>9990</v>
      </c>
    </row>
    <row r="5321" spans="1:2" ht="112" hidden="1" customHeight="1" x14ac:dyDescent="0.25">
      <c r="A5321" t="s">
        <v>9984</v>
      </c>
      <c r="B5321" s="56" t="s">
        <v>9991</v>
      </c>
    </row>
    <row r="5322" spans="1:2" ht="112" hidden="1" customHeight="1" x14ac:dyDescent="0.25">
      <c r="A5322" t="s">
        <v>9985</v>
      </c>
      <c r="B5322" s="56" t="s">
        <v>9992</v>
      </c>
    </row>
    <row r="5323" spans="1:2" ht="112" hidden="1" customHeight="1" x14ac:dyDescent="0.25">
      <c r="A5323" t="s">
        <v>9986</v>
      </c>
      <c r="B5323" s="56" t="s">
        <v>9993</v>
      </c>
    </row>
    <row r="5324" spans="1:2" ht="112" hidden="1" customHeight="1" x14ac:dyDescent="0.25">
      <c r="A5324" t="s">
        <v>9994</v>
      </c>
      <c r="B5324" t="s">
        <v>9996</v>
      </c>
    </row>
    <row r="5325" spans="1:2" ht="112" hidden="1" customHeight="1" x14ac:dyDescent="0.25">
      <c r="A5325" t="s">
        <v>9995</v>
      </c>
      <c r="B5325" t="s">
        <v>9997</v>
      </c>
    </row>
    <row r="5326" spans="1:2" ht="112" hidden="1" customHeight="1" x14ac:dyDescent="0.25">
      <c r="A5326" t="s">
        <v>9998</v>
      </c>
      <c r="B5326" t="s">
        <v>10008</v>
      </c>
    </row>
    <row r="5327" spans="1:2" ht="112" hidden="1" customHeight="1" x14ac:dyDescent="0.25">
      <c r="A5327" t="s">
        <v>9999</v>
      </c>
      <c r="B5327" t="s">
        <v>10009</v>
      </c>
    </row>
    <row r="5328" spans="1:2" ht="112" hidden="1" customHeight="1" x14ac:dyDescent="0.25">
      <c r="A5328" t="s">
        <v>10000</v>
      </c>
      <c r="B5328" t="s">
        <v>10010</v>
      </c>
    </row>
    <row r="5329" spans="1:2" ht="112" hidden="1" customHeight="1" x14ac:dyDescent="0.25">
      <c r="A5329" t="s">
        <v>10001</v>
      </c>
      <c r="B5329" t="s">
        <v>10011</v>
      </c>
    </row>
    <row r="5330" spans="1:2" ht="112" hidden="1" customHeight="1" x14ac:dyDescent="0.25">
      <c r="A5330" t="s">
        <v>10002</v>
      </c>
      <c r="B5330" t="s">
        <v>10012</v>
      </c>
    </row>
    <row r="5331" spans="1:2" ht="82.5" hidden="1" customHeight="1" x14ac:dyDescent="0.25">
      <c r="A5331" t="s">
        <v>10310</v>
      </c>
      <c r="B5331" t="s">
        <v>10313</v>
      </c>
    </row>
    <row r="5332" spans="1:2" ht="112" hidden="1" customHeight="1" x14ac:dyDescent="0.25">
      <c r="A5332" t="s">
        <v>10311</v>
      </c>
      <c r="B5332" t="s">
        <v>10314</v>
      </c>
    </row>
    <row r="5333" spans="1:2" ht="112" hidden="1" customHeight="1" x14ac:dyDescent="0.25">
      <c r="A5333" t="s">
        <v>10312</v>
      </c>
      <c r="B5333" t="s">
        <v>10315</v>
      </c>
    </row>
    <row r="5334" spans="1:2" ht="112" hidden="1" customHeight="1" x14ac:dyDescent="0.25">
      <c r="A5334" t="s">
        <v>10003</v>
      </c>
      <c r="B5334" t="s">
        <v>10013</v>
      </c>
    </row>
    <row r="5335" spans="1:2" ht="112" hidden="1" customHeight="1" x14ac:dyDescent="0.25">
      <c r="A5335" t="s">
        <v>10004</v>
      </c>
      <c r="B5335" t="s">
        <v>10014</v>
      </c>
    </row>
    <row r="5336" spans="1:2" ht="112" hidden="1" customHeight="1" x14ac:dyDescent="0.25">
      <c r="A5336" t="s">
        <v>10005</v>
      </c>
      <c r="B5336" t="s">
        <v>10015</v>
      </c>
    </row>
    <row r="5337" spans="1:2" ht="112" hidden="1" customHeight="1" x14ac:dyDescent="0.25">
      <c r="A5337" t="s">
        <v>10006</v>
      </c>
      <c r="B5337" t="s">
        <v>10016</v>
      </c>
    </row>
    <row r="5338" spans="1:2" ht="112" hidden="1" customHeight="1" x14ac:dyDescent="0.25">
      <c r="A5338" t="s">
        <v>10007</v>
      </c>
      <c r="B5338" t="s">
        <v>10017</v>
      </c>
    </row>
    <row r="5339" spans="1:2" ht="112" hidden="1" customHeight="1" x14ac:dyDescent="0.25">
      <c r="A5339" t="s">
        <v>10018</v>
      </c>
      <c r="B5339" t="s">
        <v>10019</v>
      </c>
    </row>
    <row r="5340" spans="1:2" ht="112" hidden="1" customHeight="1" x14ac:dyDescent="0.25">
      <c r="A5340" t="s">
        <v>10020</v>
      </c>
      <c r="B5340" t="s">
        <v>10021</v>
      </c>
    </row>
    <row r="5341" spans="1:2" ht="112" hidden="1" customHeight="1" x14ac:dyDescent="0.25">
      <c r="A5341" t="s">
        <v>10022</v>
      </c>
      <c r="B5341" t="s">
        <v>10025</v>
      </c>
    </row>
    <row r="5342" spans="1:2" ht="112" hidden="1" customHeight="1" x14ac:dyDescent="0.25">
      <c r="A5342" t="s">
        <v>10023</v>
      </c>
      <c r="B5342" t="s">
        <v>10026</v>
      </c>
    </row>
    <row r="5343" spans="1:2" ht="112" hidden="1" customHeight="1" x14ac:dyDescent="0.25">
      <c r="A5343" t="s">
        <v>10024</v>
      </c>
      <c r="B5343" s="56" t="s">
        <v>11055</v>
      </c>
    </row>
    <row r="5344" spans="1:2" ht="112" hidden="1" customHeight="1" x14ac:dyDescent="0.25">
      <c r="A5344" t="s">
        <v>10027</v>
      </c>
      <c r="B5344" t="s">
        <v>10028</v>
      </c>
    </row>
    <row r="5345" spans="1:2" ht="112" hidden="1" customHeight="1" x14ac:dyDescent="0.25">
      <c r="A5345" t="s">
        <v>10030</v>
      </c>
      <c r="B5345" t="s">
        <v>10031</v>
      </c>
    </row>
    <row r="5346" spans="1:2" ht="112" hidden="1" customHeight="1" x14ac:dyDescent="0.25">
      <c r="A5346" t="s">
        <v>10029</v>
      </c>
      <c r="B5346" t="s">
        <v>10032</v>
      </c>
    </row>
    <row r="5347" spans="1:2" ht="112" hidden="1" customHeight="1" x14ac:dyDescent="0.25">
      <c r="A5347" t="s">
        <v>10033</v>
      </c>
      <c r="B5347" s="56" t="s">
        <v>11241</v>
      </c>
    </row>
    <row r="5348" spans="1:2" ht="112" hidden="1" customHeight="1" x14ac:dyDescent="0.25">
      <c r="A5348" t="s">
        <v>10034</v>
      </c>
      <c r="B5348" s="56" t="s">
        <v>11242</v>
      </c>
    </row>
    <row r="5349" spans="1:2" ht="112" hidden="1" customHeight="1" x14ac:dyDescent="0.25">
      <c r="A5349" t="s">
        <v>10035</v>
      </c>
      <c r="B5349" t="s">
        <v>10040</v>
      </c>
    </row>
    <row r="5350" spans="1:2" ht="112" hidden="1" customHeight="1" x14ac:dyDescent="0.25">
      <c r="A5350" t="s">
        <v>10036</v>
      </c>
      <c r="B5350" s="56" t="s">
        <v>11243</v>
      </c>
    </row>
    <row r="5351" spans="1:2" ht="112" hidden="1" customHeight="1" x14ac:dyDescent="0.25">
      <c r="A5351" t="s">
        <v>10037</v>
      </c>
      <c r="B5351" s="56" t="s">
        <v>11244</v>
      </c>
    </row>
    <row r="5352" spans="1:2" ht="112" hidden="1" customHeight="1" x14ac:dyDescent="0.25">
      <c r="A5352" t="s">
        <v>10038</v>
      </c>
      <c r="B5352" t="s">
        <v>10041</v>
      </c>
    </row>
    <row r="5353" spans="1:2" ht="112" hidden="1" customHeight="1" x14ac:dyDescent="0.25">
      <c r="A5353" t="s">
        <v>10039</v>
      </c>
      <c r="B5353" t="s">
        <v>10042</v>
      </c>
    </row>
    <row r="5354" spans="1:2" ht="112" hidden="1" customHeight="1" x14ac:dyDescent="0.25">
      <c r="A5354" t="s">
        <v>10043</v>
      </c>
      <c r="B5354" t="s">
        <v>10044</v>
      </c>
    </row>
    <row r="5355" spans="1:2" ht="112" hidden="1" customHeight="1" x14ac:dyDescent="0.25">
      <c r="A5355" t="s">
        <v>10045</v>
      </c>
      <c r="B5355" t="s">
        <v>10046</v>
      </c>
    </row>
    <row r="5356" spans="1:2" ht="112" hidden="1" customHeight="1" x14ac:dyDescent="0.25">
      <c r="A5356" t="s">
        <v>10047</v>
      </c>
      <c r="B5356" t="s">
        <v>10048</v>
      </c>
    </row>
    <row r="5357" spans="1:2" ht="112" hidden="1" customHeight="1" x14ac:dyDescent="0.25">
      <c r="A5357" t="s">
        <v>10049</v>
      </c>
      <c r="B5357" t="s">
        <v>10050</v>
      </c>
    </row>
    <row r="5358" spans="1:2" ht="112" hidden="1" customHeight="1" x14ac:dyDescent="0.25">
      <c r="A5358" t="s">
        <v>10051</v>
      </c>
      <c r="B5358" t="s">
        <v>10052</v>
      </c>
    </row>
    <row r="5359" spans="1:2" ht="112" hidden="1" customHeight="1" x14ac:dyDescent="0.25">
      <c r="A5359" t="s">
        <v>10054</v>
      </c>
      <c r="B5359" t="s">
        <v>10055</v>
      </c>
    </row>
    <row r="5360" spans="1:2" ht="112" hidden="1" customHeight="1" x14ac:dyDescent="0.25">
      <c r="A5360" t="s">
        <v>10056</v>
      </c>
      <c r="B5360" t="s">
        <v>10057</v>
      </c>
    </row>
    <row r="5361" spans="1:2" ht="112" hidden="1" customHeight="1" x14ac:dyDescent="0.25">
      <c r="A5361" t="s">
        <v>10058</v>
      </c>
      <c r="B5361" t="s">
        <v>10059</v>
      </c>
    </row>
    <row r="5362" spans="1:2" ht="112" hidden="1" customHeight="1" x14ac:dyDescent="0.25">
      <c r="A5362" t="s">
        <v>10060</v>
      </c>
      <c r="B5362" t="s">
        <v>10064</v>
      </c>
    </row>
    <row r="5363" spans="1:2" ht="112" hidden="1" customHeight="1" x14ac:dyDescent="0.25">
      <c r="A5363" t="s">
        <v>10061</v>
      </c>
      <c r="B5363" t="s">
        <v>10065</v>
      </c>
    </row>
    <row r="5364" spans="1:2" ht="112" hidden="1" customHeight="1" x14ac:dyDescent="0.25">
      <c r="A5364" t="s">
        <v>10062</v>
      </c>
      <c r="B5364" t="s">
        <v>10066</v>
      </c>
    </row>
    <row r="5365" spans="1:2" ht="112" hidden="1" customHeight="1" x14ac:dyDescent="0.25">
      <c r="A5365" t="s">
        <v>10063</v>
      </c>
      <c r="B5365" t="s">
        <v>10067</v>
      </c>
    </row>
    <row r="5366" spans="1:2" ht="112" hidden="1" customHeight="1" x14ac:dyDescent="0.25">
      <c r="A5366" t="s">
        <v>10761</v>
      </c>
      <c r="B5366" t="s">
        <v>10068</v>
      </c>
    </row>
    <row r="5367" spans="1:2" ht="112" hidden="1" customHeight="1" x14ac:dyDescent="0.25">
      <c r="A5367" t="s">
        <v>10069</v>
      </c>
      <c r="B5367" t="s">
        <v>10082</v>
      </c>
    </row>
    <row r="5368" spans="1:2" ht="112" hidden="1" customHeight="1" x14ac:dyDescent="0.25">
      <c r="A5368" t="s">
        <v>10070</v>
      </c>
      <c r="B5368" t="s">
        <v>10083</v>
      </c>
    </row>
    <row r="5369" spans="1:2" ht="112" hidden="1" customHeight="1" x14ac:dyDescent="0.25">
      <c r="A5369" t="s">
        <v>10071</v>
      </c>
      <c r="B5369" t="s">
        <v>10084</v>
      </c>
    </row>
    <row r="5370" spans="1:2" ht="112" hidden="1" customHeight="1" x14ac:dyDescent="0.25">
      <c r="A5370" t="s">
        <v>10072</v>
      </c>
      <c r="B5370" t="s">
        <v>10085</v>
      </c>
    </row>
    <row r="5371" spans="1:2" ht="112" hidden="1" customHeight="1" x14ac:dyDescent="0.25">
      <c r="A5371" t="s">
        <v>10073</v>
      </c>
      <c r="B5371" t="s">
        <v>10086</v>
      </c>
    </row>
    <row r="5372" spans="1:2" ht="112" hidden="1" customHeight="1" x14ac:dyDescent="0.25">
      <c r="A5372" t="s">
        <v>10074</v>
      </c>
      <c r="B5372" t="s">
        <v>10087</v>
      </c>
    </row>
    <row r="5373" spans="1:2" ht="112" hidden="1" customHeight="1" x14ac:dyDescent="0.25">
      <c r="A5373" t="s">
        <v>10075</v>
      </c>
      <c r="B5373" t="s">
        <v>10088</v>
      </c>
    </row>
    <row r="5374" spans="1:2" ht="112" hidden="1" customHeight="1" x14ac:dyDescent="0.25">
      <c r="A5374" t="s">
        <v>10076</v>
      </c>
      <c r="B5374" t="s">
        <v>10089</v>
      </c>
    </row>
    <row r="5375" spans="1:2" ht="112" hidden="1" customHeight="1" x14ac:dyDescent="0.25">
      <c r="A5375" t="s">
        <v>10077</v>
      </c>
      <c r="B5375" t="s">
        <v>10090</v>
      </c>
    </row>
    <row r="5376" spans="1:2" ht="112" hidden="1" customHeight="1" x14ac:dyDescent="0.25">
      <c r="A5376" t="s">
        <v>10078</v>
      </c>
      <c r="B5376" t="s">
        <v>10091</v>
      </c>
    </row>
    <row r="5377" spans="1:2" ht="112" hidden="1" customHeight="1" x14ac:dyDescent="0.25">
      <c r="A5377" t="s">
        <v>10079</v>
      </c>
      <c r="B5377" t="s">
        <v>10092</v>
      </c>
    </row>
    <row r="5378" spans="1:2" ht="112" hidden="1" customHeight="1" x14ac:dyDescent="0.25">
      <c r="A5378" t="s">
        <v>10080</v>
      </c>
      <c r="B5378" t="s">
        <v>10093</v>
      </c>
    </row>
    <row r="5379" spans="1:2" ht="112" hidden="1" customHeight="1" x14ac:dyDescent="0.25">
      <c r="A5379" t="s">
        <v>10081</v>
      </c>
      <c r="B5379" t="s">
        <v>10094</v>
      </c>
    </row>
    <row r="5380" spans="1:2" ht="112" hidden="1" customHeight="1" x14ac:dyDescent="0.25">
      <c r="A5380" t="s">
        <v>10095</v>
      </c>
      <c r="B5380" t="s">
        <v>10099</v>
      </c>
    </row>
    <row r="5381" spans="1:2" ht="112" hidden="1" customHeight="1" x14ac:dyDescent="0.25">
      <c r="A5381" t="s">
        <v>10096</v>
      </c>
      <c r="B5381" t="s">
        <v>10100</v>
      </c>
    </row>
    <row r="5382" spans="1:2" ht="112" hidden="1" customHeight="1" x14ac:dyDescent="0.25">
      <c r="A5382" t="s">
        <v>10097</v>
      </c>
      <c r="B5382" t="s">
        <v>10101</v>
      </c>
    </row>
    <row r="5383" spans="1:2" ht="112" hidden="1" customHeight="1" x14ac:dyDescent="0.25">
      <c r="A5383" t="s">
        <v>10098</v>
      </c>
      <c r="B5383" t="s">
        <v>10102</v>
      </c>
    </row>
    <row r="5384" spans="1:2" ht="112" hidden="1" customHeight="1" x14ac:dyDescent="0.25">
      <c r="A5384" t="s">
        <v>10103</v>
      </c>
      <c r="B5384" t="s">
        <v>10105</v>
      </c>
    </row>
    <row r="5385" spans="1:2" ht="112" hidden="1" customHeight="1" x14ac:dyDescent="0.25">
      <c r="A5385" t="s">
        <v>10104</v>
      </c>
      <c r="B5385" t="s">
        <v>10106</v>
      </c>
    </row>
    <row r="5386" spans="1:2" ht="112" hidden="1" customHeight="1" x14ac:dyDescent="0.25">
      <c r="A5386" t="s">
        <v>10107</v>
      </c>
      <c r="B5386" t="s">
        <v>10108</v>
      </c>
    </row>
    <row r="5387" spans="1:2" ht="112" hidden="1" customHeight="1" x14ac:dyDescent="0.25">
      <c r="A5387" t="s">
        <v>10109</v>
      </c>
      <c r="B5387" t="s">
        <v>10111</v>
      </c>
    </row>
    <row r="5388" spans="1:2" ht="112" hidden="1" customHeight="1" x14ac:dyDescent="0.25">
      <c r="A5388" t="s">
        <v>10110</v>
      </c>
      <c r="B5388" t="s">
        <v>10112</v>
      </c>
    </row>
    <row r="5389" spans="1:2" ht="112" hidden="1" customHeight="1" x14ac:dyDescent="0.25">
      <c r="A5389" t="s">
        <v>10113</v>
      </c>
      <c r="B5389" t="s">
        <v>10114</v>
      </c>
    </row>
    <row r="5390" spans="1:2" ht="112" hidden="1" customHeight="1" x14ac:dyDescent="0.25">
      <c r="A5390" t="s">
        <v>10115</v>
      </c>
      <c r="B5390" t="s">
        <v>10117</v>
      </c>
    </row>
    <row r="5391" spans="1:2" ht="112" hidden="1" customHeight="1" x14ac:dyDescent="0.25">
      <c r="A5391" t="s">
        <v>10116</v>
      </c>
      <c r="B5391" t="s">
        <v>10118</v>
      </c>
    </row>
    <row r="5392" spans="1:2" ht="112" hidden="1" customHeight="1" x14ac:dyDescent="0.25">
      <c r="A5392" t="s">
        <v>10119</v>
      </c>
      <c r="B5392" t="s">
        <v>10120</v>
      </c>
    </row>
    <row r="5393" spans="1:2" ht="112" hidden="1" customHeight="1" x14ac:dyDescent="0.25">
      <c r="A5393" t="s">
        <v>10122</v>
      </c>
      <c r="B5393" t="s">
        <v>10123</v>
      </c>
    </row>
    <row r="5394" spans="1:2" ht="112" hidden="1" customHeight="1" x14ac:dyDescent="0.25">
      <c r="A5394" t="s">
        <v>10124</v>
      </c>
      <c r="B5394" t="s">
        <v>10125</v>
      </c>
    </row>
    <row r="5395" spans="1:2" ht="112" hidden="1" customHeight="1" x14ac:dyDescent="0.25">
      <c r="A5395" t="s">
        <v>10126</v>
      </c>
      <c r="B5395" t="s">
        <v>10127</v>
      </c>
    </row>
    <row r="5396" spans="1:2" ht="112" hidden="1" customHeight="1" x14ac:dyDescent="0.25">
      <c r="A5396" t="s">
        <v>10128</v>
      </c>
      <c r="B5396" t="s">
        <v>10135</v>
      </c>
    </row>
    <row r="5397" spans="1:2" ht="112" hidden="1" customHeight="1" x14ac:dyDescent="0.25">
      <c r="A5397" t="s">
        <v>10129</v>
      </c>
      <c r="B5397" t="s">
        <v>10136</v>
      </c>
    </row>
    <row r="5398" spans="1:2" ht="112" hidden="1" customHeight="1" x14ac:dyDescent="0.25">
      <c r="A5398" t="s">
        <v>10130</v>
      </c>
      <c r="B5398" t="s">
        <v>10137</v>
      </c>
    </row>
    <row r="5399" spans="1:2" ht="112" hidden="1" customHeight="1" x14ac:dyDescent="0.25">
      <c r="A5399" t="s">
        <v>10131</v>
      </c>
      <c r="B5399" t="s">
        <v>10138</v>
      </c>
    </row>
    <row r="5400" spans="1:2" ht="112" hidden="1" customHeight="1" x14ac:dyDescent="0.25">
      <c r="A5400" t="s">
        <v>10132</v>
      </c>
      <c r="B5400" t="s">
        <v>10139</v>
      </c>
    </row>
    <row r="5401" spans="1:2" ht="112" hidden="1" customHeight="1" x14ac:dyDescent="0.25">
      <c r="A5401" t="s">
        <v>10133</v>
      </c>
      <c r="B5401" t="s">
        <v>10140</v>
      </c>
    </row>
    <row r="5402" spans="1:2" ht="112" hidden="1" customHeight="1" x14ac:dyDescent="0.25">
      <c r="A5402" t="s">
        <v>10134</v>
      </c>
      <c r="B5402" t="s">
        <v>10141</v>
      </c>
    </row>
    <row r="5403" spans="1:2" ht="112" hidden="1" customHeight="1" x14ac:dyDescent="0.25">
      <c r="A5403" t="s">
        <v>10145</v>
      </c>
      <c r="B5403" t="s">
        <v>10146</v>
      </c>
    </row>
    <row r="5404" spans="1:2" ht="112" hidden="1" customHeight="1" x14ac:dyDescent="0.25">
      <c r="A5404" t="s">
        <v>10142</v>
      </c>
      <c r="B5404" t="s">
        <v>10147</v>
      </c>
    </row>
    <row r="5405" spans="1:2" ht="112" hidden="1" customHeight="1" x14ac:dyDescent="0.25">
      <c r="A5405" t="s">
        <v>10143</v>
      </c>
      <c r="B5405" t="s">
        <v>10148</v>
      </c>
    </row>
    <row r="5406" spans="1:2" ht="112" hidden="1" customHeight="1" x14ac:dyDescent="0.25">
      <c r="A5406" t="s">
        <v>10144</v>
      </c>
      <c r="B5406" t="s">
        <v>10149</v>
      </c>
    </row>
    <row r="5407" spans="1:2" ht="112" hidden="1" customHeight="1" x14ac:dyDescent="0.25">
      <c r="A5407" t="s">
        <v>10150</v>
      </c>
      <c r="B5407" t="s">
        <v>10151</v>
      </c>
    </row>
    <row r="5408" spans="1:2" ht="112" hidden="1" customHeight="1" x14ac:dyDescent="0.25">
      <c r="A5408" t="s">
        <v>10152</v>
      </c>
      <c r="B5408" t="s">
        <v>10153</v>
      </c>
    </row>
    <row r="5409" spans="1:2" ht="112" hidden="1" customHeight="1" x14ac:dyDescent="0.25">
      <c r="A5409" t="s">
        <v>10154</v>
      </c>
      <c r="B5409" t="s">
        <v>10175</v>
      </c>
    </row>
    <row r="5410" spans="1:2" ht="112" hidden="1" customHeight="1" x14ac:dyDescent="0.25">
      <c r="A5410" t="s">
        <v>10155</v>
      </c>
      <c r="B5410" t="s">
        <v>10176</v>
      </c>
    </row>
    <row r="5411" spans="1:2" ht="112" hidden="1" customHeight="1" x14ac:dyDescent="0.25">
      <c r="A5411" t="s">
        <v>10156</v>
      </c>
      <c r="B5411" s="56" t="s">
        <v>10497</v>
      </c>
    </row>
    <row r="5412" spans="1:2" ht="112" hidden="1" customHeight="1" x14ac:dyDescent="0.25">
      <c r="A5412" t="s">
        <v>10157</v>
      </c>
      <c r="B5412" t="s">
        <v>10177</v>
      </c>
    </row>
    <row r="5413" spans="1:2" ht="112" hidden="1" customHeight="1" x14ac:dyDescent="0.25">
      <c r="A5413" t="s">
        <v>10158</v>
      </c>
      <c r="B5413" t="s">
        <v>10178</v>
      </c>
    </row>
    <row r="5414" spans="1:2" ht="112" hidden="1" customHeight="1" x14ac:dyDescent="0.25">
      <c r="A5414" t="s">
        <v>10159</v>
      </c>
      <c r="B5414" t="s">
        <v>10179</v>
      </c>
    </row>
    <row r="5415" spans="1:2" ht="112" hidden="1" customHeight="1" x14ac:dyDescent="0.25">
      <c r="A5415" t="s">
        <v>10160</v>
      </c>
      <c r="B5415" t="s">
        <v>10180</v>
      </c>
    </row>
    <row r="5416" spans="1:2" ht="112" hidden="1" customHeight="1" x14ac:dyDescent="0.25">
      <c r="A5416" t="s">
        <v>10161</v>
      </c>
      <c r="B5416" t="s">
        <v>10181</v>
      </c>
    </row>
    <row r="5417" spans="1:2" ht="112" hidden="1" customHeight="1" x14ac:dyDescent="0.25">
      <c r="A5417" t="s">
        <v>10162</v>
      </c>
      <c r="B5417" t="s">
        <v>10182</v>
      </c>
    </row>
    <row r="5418" spans="1:2" ht="112" hidden="1" customHeight="1" x14ac:dyDescent="0.25">
      <c r="A5418" t="s">
        <v>10163</v>
      </c>
      <c r="B5418" t="s">
        <v>10183</v>
      </c>
    </row>
    <row r="5419" spans="1:2" ht="112" hidden="1" customHeight="1" x14ac:dyDescent="0.25">
      <c r="A5419" t="s">
        <v>10164</v>
      </c>
      <c r="B5419" t="s">
        <v>10184</v>
      </c>
    </row>
    <row r="5420" spans="1:2" ht="112" hidden="1" customHeight="1" x14ac:dyDescent="0.25">
      <c r="A5420" t="s">
        <v>10165</v>
      </c>
      <c r="B5420" t="s">
        <v>10185</v>
      </c>
    </row>
    <row r="5421" spans="1:2" ht="112" hidden="1" customHeight="1" x14ac:dyDescent="0.25">
      <c r="A5421" t="s">
        <v>10166</v>
      </c>
      <c r="B5421" t="s">
        <v>10186</v>
      </c>
    </row>
    <row r="5422" spans="1:2" ht="112" hidden="1" customHeight="1" x14ac:dyDescent="0.25">
      <c r="A5422" t="s">
        <v>10167</v>
      </c>
      <c r="B5422" t="s">
        <v>10187</v>
      </c>
    </row>
    <row r="5423" spans="1:2" ht="112" hidden="1" customHeight="1" x14ac:dyDescent="0.25">
      <c r="A5423" t="s">
        <v>10168</v>
      </c>
      <c r="B5423" t="s">
        <v>10188</v>
      </c>
    </row>
    <row r="5424" spans="1:2" ht="112" hidden="1" customHeight="1" x14ac:dyDescent="0.25">
      <c r="A5424" t="s">
        <v>10169</v>
      </c>
      <c r="B5424" t="s">
        <v>10189</v>
      </c>
    </row>
    <row r="5425" spans="1:2" ht="112" hidden="1" customHeight="1" x14ac:dyDescent="0.25">
      <c r="A5425" t="s">
        <v>10170</v>
      </c>
      <c r="B5425" t="s">
        <v>10190</v>
      </c>
    </row>
    <row r="5426" spans="1:2" ht="112" hidden="1" customHeight="1" x14ac:dyDescent="0.25">
      <c r="A5426" t="s">
        <v>10171</v>
      </c>
      <c r="B5426" t="s">
        <v>10191</v>
      </c>
    </row>
    <row r="5427" spans="1:2" ht="112" hidden="1" customHeight="1" x14ac:dyDescent="0.25">
      <c r="A5427" t="s">
        <v>10172</v>
      </c>
      <c r="B5427" t="s">
        <v>10192</v>
      </c>
    </row>
    <row r="5428" spans="1:2" ht="112" hidden="1" customHeight="1" x14ac:dyDescent="0.25">
      <c r="A5428" t="s">
        <v>10173</v>
      </c>
      <c r="B5428" t="s">
        <v>10193</v>
      </c>
    </row>
    <row r="5429" spans="1:2" ht="112" hidden="1" customHeight="1" x14ac:dyDescent="0.25">
      <c r="A5429" t="s">
        <v>10174</v>
      </c>
      <c r="B5429" t="s">
        <v>10194</v>
      </c>
    </row>
    <row r="5430" spans="1:2" ht="112" hidden="1" customHeight="1" x14ac:dyDescent="0.25">
      <c r="A5430" t="s">
        <v>10195</v>
      </c>
      <c r="B5430" t="s">
        <v>10197</v>
      </c>
    </row>
    <row r="5431" spans="1:2" ht="112" hidden="1" customHeight="1" x14ac:dyDescent="0.25">
      <c r="A5431" t="s">
        <v>10196</v>
      </c>
      <c r="B5431" t="s">
        <v>10198</v>
      </c>
    </row>
    <row r="5432" spans="1:2" ht="112" hidden="1" customHeight="1" x14ac:dyDescent="0.25">
      <c r="A5432" t="s">
        <v>10199</v>
      </c>
      <c r="B5432" t="s">
        <v>10211</v>
      </c>
    </row>
    <row r="5433" spans="1:2" ht="112" hidden="1" customHeight="1" x14ac:dyDescent="0.25">
      <c r="A5433" t="s">
        <v>10200</v>
      </c>
      <c r="B5433" t="s">
        <v>10212</v>
      </c>
    </row>
    <row r="5434" spans="1:2" ht="112" hidden="1" customHeight="1" x14ac:dyDescent="0.25">
      <c r="A5434" t="s">
        <v>10201</v>
      </c>
      <c r="B5434" s="56" t="s">
        <v>13038</v>
      </c>
    </row>
    <row r="5435" spans="1:2" ht="112" hidden="1" customHeight="1" x14ac:dyDescent="0.25">
      <c r="A5435" t="s">
        <v>10202</v>
      </c>
      <c r="B5435" t="s">
        <v>10213</v>
      </c>
    </row>
    <row r="5436" spans="1:2" ht="112" hidden="1" customHeight="1" x14ac:dyDescent="0.25">
      <c r="A5436" t="s">
        <v>10203</v>
      </c>
      <c r="B5436" t="s">
        <v>10214</v>
      </c>
    </row>
    <row r="5437" spans="1:2" ht="112" hidden="1" customHeight="1" x14ac:dyDescent="0.25">
      <c r="A5437" t="s">
        <v>10204</v>
      </c>
      <c r="B5437" s="56" t="s">
        <v>10516</v>
      </c>
    </row>
    <row r="5438" spans="1:2" ht="112" hidden="1" customHeight="1" x14ac:dyDescent="0.25">
      <c r="A5438" t="s">
        <v>10205</v>
      </c>
      <c r="B5438" t="s">
        <v>10215</v>
      </c>
    </row>
    <row r="5439" spans="1:2" ht="112" hidden="1" customHeight="1" x14ac:dyDescent="0.25">
      <c r="A5439" t="s">
        <v>10206</v>
      </c>
      <c r="B5439" t="s">
        <v>10216</v>
      </c>
    </row>
    <row r="5440" spans="1:2" ht="112" hidden="1" customHeight="1" x14ac:dyDescent="0.25">
      <c r="A5440" t="s">
        <v>10207</v>
      </c>
      <c r="B5440" t="s">
        <v>10217</v>
      </c>
    </row>
    <row r="5441" spans="1:2" ht="112" hidden="1" customHeight="1" x14ac:dyDescent="0.25">
      <c r="A5441" t="s">
        <v>10208</v>
      </c>
      <c r="B5441" t="s">
        <v>10218</v>
      </c>
    </row>
    <row r="5442" spans="1:2" ht="112" hidden="1" customHeight="1" x14ac:dyDescent="0.25">
      <c r="A5442" t="s">
        <v>10209</v>
      </c>
      <c r="B5442" t="s">
        <v>10219</v>
      </c>
    </row>
    <row r="5443" spans="1:2" ht="112" hidden="1" customHeight="1" x14ac:dyDescent="0.25">
      <c r="A5443" t="s">
        <v>10210</v>
      </c>
      <c r="B5443" t="s">
        <v>10220</v>
      </c>
    </row>
    <row r="5444" spans="1:2" ht="112" hidden="1" customHeight="1" x14ac:dyDescent="0.25">
      <c r="A5444" t="s">
        <v>10221</v>
      </c>
      <c r="B5444" s="56" t="s">
        <v>10241</v>
      </c>
    </row>
    <row r="5445" spans="1:2" ht="112" hidden="1" customHeight="1" x14ac:dyDescent="0.25">
      <c r="A5445" t="s">
        <v>10222</v>
      </c>
      <c r="B5445" s="56" t="s">
        <v>10242</v>
      </c>
    </row>
    <row r="5446" spans="1:2" ht="112" hidden="1" customHeight="1" x14ac:dyDescent="0.25">
      <c r="A5446" t="s">
        <v>10223</v>
      </c>
      <c r="B5446" s="56" t="s">
        <v>10243</v>
      </c>
    </row>
    <row r="5447" spans="1:2" ht="112" hidden="1" customHeight="1" x14ac:dyDescent="0.25">
      <c r="A5447" t="s">
        <v>10224</v>
      </c>
      <c r="B5447" s="56" t="s">
        <v>10244</v>
      </c>
    </row>
    <row r="5448" spans="1:2" ht="112" hidden="1" customHeight="1" x14ac:dyDescent="0.25">
      <c r="A5448" t="s">
        <v>10225</v>
      </c>
      <c r="B5448" t="s">
        <v>10227</v>
      </c>
    </row>
    <row r="5449" spans="1:2" ht="112" hidden="1" customHeight="1" x14ac:dyDescent="0.25">
      <c r="A5449" t="s">
        <v>10226</v>
      </c>
      <c r="B5449" t="s">
        <v>10228</v>
      </c>
    </row>
    <row r="5450" spans="1:2" ht="112" hidden="1" customHeight="1" x14ac:dyDescent="0.25">
      <c r="A5450" t="s">
        <v>10229</v>
      </c>
      <c r="B5450" t="s">
        <v>10230</v>
      </c>
    </row>
    <row r="5451" spans="1:2" ht="112" hidden="1" customHeight="1" x14ac:dyDescent="0.25">
      <c r="A5451" t="s">
        <v>10231</v>
      </c>
      <c r="B5451" t="s">
        <v>10236</v>
      </c>
    </row>
    <row r="5452" spans="1:2" ht="112" hidden="1" customHeight="1" x14ac:dyDescent="0.25">
      <c r="A5452" t="s">
        <v>10232</v>
      </c>
      <c r="B5452" t="s">
        <v>10237</v>
      </c>
    </row>
    <row r="5453" spans="1:2" ht="112" hidden="1" customHeight="1" x14ac:dyDescent="0.25">
      <c r="A5453" t="s">
        <v>10233</v>
      </c>
      <c r="B5453" t="s">
        <v>10238</v>
      </c>
    </row>
    <row r="5454" spans="1:2" ht="112" hidden="1" customHeight="1" x14ac:dyDescent="0.25">
      <c r="A5454" t="s">
        <v>10234</v>
      </c>
      <c r="B5454" t="s">
        <v>10239</v>
      </c>
    </row>
    <row r="5455" spans="1:2" ht="112" hidden="1" customHeight="1" x14ac:dyDescent="0.25">
      <c r="A5455" t="s">
        <v>10235</v>
      </c>
      <c r="B5455" t="s">
        <v>10240</v>
      </c>
    </row>
    <row r="5456" spans="1:2" ht="112" hidden="1" customHeight="1" x14ac:dyDescent="0.25">
      <c r="A5456" t="s">
        <v>10245</v>
      </c>
      <c r="B5456" s="56" t="s">
        <v>10293</v>
      </c>
    </row>
    <row r="5457" spans="1:2" ht="112" hidden="1" customHeight="1" x14ac:dyDescent="0.25">
      <c r="A5457" t="s">
        <v>10246</v>
      </c>
      <c r="B5457" t="s">
        <v>10247</v>
      </c>
    </row>
    <row r="5458" spans="1:2" ht="112" hidden="1" customHeight="1" x14ac:dyDescent="0.25">
      <c r="A5458" t="s">
        <v>10248</v>
      </c>
      <c r="B5458" s="56" t="s">
        <v>10345</v>
      </c>
    </row>
    <row r="5459" spans="1:2" ht="112" hidden="1" customHeight="1" x14ac:dyDescent="0.25">
      <c r="A5459" t="s">
        <v>10249</v>
      </c>
      <c r="B5459" s="56" t="s">
        <v>10250</v>
      </c>
    </row>
    <row r="5460" spans="1:2" ht="112" hidden="1" customHeight="1" x14ac:dyDescent="0.25">
      <c r="A5460" t="s">
        <v>10251</v>
      </c>
      <c r="B5460" t="s">
        <v>10252</v>
      </c>
    </row>
    <row r="5461" spans="1:2" ht="112" hidden="1" customHeight="1" x14ac:dyDescent="0.25">
      <c r="A5461" t="s">
        <v>10253</v>
      </c>
      <c r="B5461" s="56" t="s">
        <v>10292</v>
      </c>
    </row>
    <row r="5462" spans="1:2" ht="112" hidden="1" customHeight="1" x14ac:dyDescent="0.25">
      <c r="A5462" t="s">
        <v>10260</v>
      </c>
      <c r="B5462" t="s">
        <v>10261</v>
      </c>
    </row>
    <row r="5463" spans="1:2" ht="112" hidden="1" customHeight="1" x14ac:dyDescent="0.25">
      <c r="A5463" t="s">
        <v>10254</v>
      </c>
      <c r="B5463" s="56" t="s">
        <v>10316</v>
      </c>
    </row>
    <row r="5464" spans="1:2" ht="112" hidden="1" customHeight="1" x14ac:dyDescent="0.25">
      <c r="A5464" t="s">
        <v>10255</v>
      </c>
      <c r="B5464" t="s">
        <v>10262</v>
      </c>
    </row>
    <row r="5465" spans="1:2" ht="112" hidden="1" customHeight="1" x14ac:dyDescent="0.25">
      <c r="A5465" t="s">
        <v>10256</v>
      </c>
      <c r="B5465" t="s">
        <v>10263</v>
      </c>
    </row>
    <row r="5466" spans="1:2" ht="112" hidden="1" customHeight="1" x14ac:dyDescent="0.25">
      <c r="A5466" t="s">
        <v>10257</v>
      </c>
      <c r="B5466" t="s">
        <v>10264</v>
      </c>
    </row>
    <row r="5467" spans="1:2" ht="112" hidden="1" customHeight="1" x14ac:dyDescent="0.25">
      <c r="A5467" t="s">
        <v>10258</v>
      </c>
      <c r="B5467" s="56" t="s">
        <v>12466</v>
      </c>
    </row>
    <row r="5468" spans="1:2" ht="112" hidden="1" customHeight="1" x14ac:dyDescent="0.25">
      <c r="A5468" t="s">
        <v>10259</v>
      </c>
      <c r="B5468" t="s">
        <v>10265</v>
      </c>
    </row>
    <row r="5469" spans="1:2" ht="112" hidden="1" customHeight="1" x14ac:dyDescent="0.25">
      <c r="A5469" t="s">
        <v>10266</v>
      </c>
      <c r="B5469" t="s">
        <v>10280</v>
      </c>
    </row>
    <row r="5470" spans="1:2" ht="112" hidden="1" customHeight="1" x14ac:dyDescent="0.25">
      <c r="A5470" t="s">
        <v>10267</v>
      </c>
      <c r="B5470" s="56" t="s">
        <v>13545</v>
      </c>
    </row>
    <row r="5471" spans="1:2" ht="112" hidden="1" customHeight="1" x14ac:dyDescent="0.25">
      <c r="A5471" t="s">
        <v>10268</v>
      </c>
      <c r="B5471" s="56" t="s">
        <v>13546</v>
      </c>
    </row>
    <row r="5472" spans="1:2" ht="112" hidden="1" customHeight="1" x14ac:dyDescent="0.25">
      <c r="A5472" t="s">
        <v>10269</v>
      </c>
      <c r="B5472" t="s">
        <v>10281</v>
      </c>
    </row>
    <row r="5473" spans="1:2" ht="112" hidden="1" customHeight="1" x14ac:dyDescent="0.25">
      <c r="A5473" t="s">
        <v>10115</v>
      </c>
      <c r="B5473" t="s">
        <v>10117</v>
      </c>
    </row>
    <row r="5474" spans="1:2" ht="112" hidden="1" customHeight="1" x14ac:dyDescent="0.25">
      <c r="A5474" t="s">
        <v>10116</v>
      </c>
      <c r="B5474" t="s">
        <v>10282</v>
      </c>
    </row>
    <row r="5475" spans="1:2" ht="112" hidden="1" customHeight="1" x14ac:dyDescent="0.25">
      <c r="A5475" t="s">
        <v>10270</v>
      </c>
      <c r="B5475" t="s">
        <v>10283</v>
      </c>
    </row>
    <row r="5476" spans="1:2" ht="112" hidden="1" customHeight="1" x14ac:dyDescent="0.25">
      <c r="A5476" t="s">
        <v>10271</v>
      </c>
      <c r="B5476" t="s">
        <v>10284</v>
      </c>
    </row>
    <row r="5477" spans="1:2" ht="112" hidden="1" customHeight="1" x14ac:dyDescent="0.25">
      <c r="A5477" t="s">
        <v>10272</v>
      </c>
      <c r="B5477" t="s">
        <v>10285</v>
      </c>
    </row>
    <row r="5478" spans="1:2" ht="112" hidden="1" customHeight="1" x14ac:dyDescent="0.25">
      <c r="A5478" t="s">
        <v>10273</v>
      </c>
      <c r="B5478" s="56" t="s">
        <v>13547</v>
      </c>
    </row>
    <row r="5479" spans="1:2" ht="112" hidden="1" customHeight="1" x14ac:dyDescent="0.25">
      <c r="A5479" t="s">
        <v>10274</v>
      </c>
      <c r="B5479" t="s">
        <v>10286</v>
      </c>
    </row>
    <row r="5480" spans="1:2" ht="112" hidden="1" customHeight="1" x14ac:dyDescent="0.25">
      <c r="A5480" t="s">
        <v>10275</v>
      </c>
      <c r="B5480" t="s">
        <v>10287</v>
      </c>
    </row>
    <row r="5481" spans="1:2" ht="112" hidden="1" customHeight="1" x14ac:dyDescent="0.25">
      <c r="A5481" t="s">
        <v>10276</v>
      </c>
      <c r="B5481" t="s">
        <v>10288</v>
      </c>
    </row>
    <row r="5482" spans="1:2" ht="112" hidden="1" customHeight="1" x14ac:dyDescent="0.25">
      <c r="A5482" t="s">
        <v>10277</v>
      </c>
      <c r="B5482" t="s">
        <v>10289</v>
      </c>
    </row>
    <row r="5483" spans="1:2" ht="112" hidden="1" customHeight="1" x14ac:dyDescent="0.25">
      <c r="A5483" t="s">
        <v>10278</v>
      </c>
      <c r="B5483" t="s">
        <v>10290</v>
      </c>
    </row>
    <row r="5484" spans="1:2" ht="112" hidden="1" customHeight="1" x14ac:dyDescent="0.25">
      <c r="A5484" t="s">
        <v>10279</v>
      </c>
      <c r="B5484" t="s">
        <v>10291</v>
      </c>
    </row>
    <row r="5485" spans="1:2" ht="112" hidden="1" customHeight="1" x14ac:dyDescent="0.25">
      <c r="A5485" t="s">
        <v>10128</v>
      </c>
      <c r="B5485" t="s">
        <v>10300</v>
      </c>
    </row>
    <row r="5486" spans="1:2" ht="112" hidden="1" customHeight="1" x14ac:dyDescent="0.25">
      <c r="A5486" t="s">
        <v>10294</v>
      </c>
      <c r="B5486" t="s">
        <v>10301</v>
      </c>
    </row>
    <row r="5487" spans="1:2" ht="112" hidden="1" customHeight="1" x14ac:dyDescent="0.25">
      <c r="A5487" t="s">
        <v>10295</v>
      </c>
      <c r="B5487" t="s">
        <v>10302</v>
      </c>
    </row>
    <row r="5488" spans="1:2" ht="112" hidden="1" customHeight="1" x14ac:dyDescent="0.25">
      <c r="A5488" t="s">
        <v>10296</v>
      </c>
      <c r="B5488" t="s">
        <v>10303</v>
      </c>
    </row>
    <row r="5489" spans="1:2" ht="112" hidden="1" customHeight="1" x14ac:dyDescent="0.25">
      <c r="A5489" t="s">
        <v>10297</v>
      </c>
      <c r="B5489" t="s">
        <v>10304</v>
      </c>
    </row>
    <row r="5490" spans="1:2" ht="112" hidden="1" customHeight="1" x14ac:dyDescent="0.25">
      <c r="A5490" t="s">
        <v>10298</v>
      </c>
      <c r="B5490" t="s">
        <v>10305</v>
      </c>
    </row>
    <row r="5491" spans="1:2" ht="112" hidden="1" customHeight="1" x14ac:dyDescent="0.25">
      <c r="A5491" t="s">
        <v>10299</v>
      </c>
      <c r="B5491" t="s">
        <v>10306</v>
      </c>
    </row>
    <row r="5492" spans="1:2" ht="112" hidden="1" customHeight="1" x14ac:dyDescent="0.25">
      <c r="A5492" t="s">
        <v>10319</v>
      </c>
      <c r="B5492" t="s">
        <v>10320</v>
      </c>
    </row>
    <row r="5493" spans="1:2" ht="112" hidden="1" customHeight="1" x14ac:dyDescent="0.25">
      <c r="A5493" t="s">
        <v>10317</v>
      </c>
      <c r="B5493" t="s">
        <v>10321</v>
      </c>
    </row>
    <row r="5494" spans="1:2" ht="112" hidden="1" customHeight="1" x14ac:dyDescent="0.25">
      <c r="A5494" t="s">
        <v>10318</v>
      </c>
      <c r="B5494" t="s">
        <v>10322</v>
      </c>
    </row>
    <row r="5495" spans="1:2" ht="112" hidden="1" customHeight="1" x14ac:dyDescent="0.25">
      <c r="A5495" t="s">
        <v>10323</v>
      </c>
      <c r="B5495" t="s">
        <v>10329</v>
      </c>
    </row>
    <row r="5496" spans="1:2" ht="112" hidden="1" customHeight="1" x14ac:dyDescent="0.25">
      <c r="A5496" t="s">
        <v>10324</v>
      </c>
      <c r="B5496" t="s">
        <v>10330</v>
      </c>
    </row>
    <row r="5497" spans="1:2" ht="112" hidden="1" customHeight="1" x14ac:dyDescent="0.25">
      <c r="A5497" t="s">
        <v>10325</v>
      </c>
      <c r="B5497" t="s">
        <v>10331</v>
      </c>
    </row>
    <row r="5498" spans="1:2" ht="112" hidden="1" customHeight="1" x14ac:dyDescent="0.25">
      <c r="A5498" t="s">
        <v>10326</v>
      </c>
      <c r="B5498" t="s">
        <v>10332</v>
      </c>
    </row>
    <row r="5499" spans="1:2" ht="112" hidden="1" customHeight="1" x14ac:dyDescent="0.25">
      <c r="A5499" t="s">
        <v>10327</v>
      </c>
      <c r="B5499" t="s">
        <v>10333</v>
      </c>
    </row>
    <row r="5500" spans="1:2" ht="112" hidden="1" customHeight="1" x14ac:dyDescent="0.25">
      <c r="A5500" t="s">
        <v>10328</v>
      </c>
      <c r="B5500" t="s">
        <v>10334</v>
      </c>
    </row>
    <row r="5501" spans="1:2" ht="112" hidden="1" customHeight="1" x14ac:dyDescent="0.25">
      <c r="A5501" t="s">
        <v>10335</v>
      </c>
      <c r="B5501" t="s">
        <v>10338</v>
      </c>
    </row>
    <row r="5502" spans="1:2" ht="112" hidden="1" customHeight="1" x14ac:dyDescent="0.25">
      <c r="A5502" t="s">
        <v>10336</v>
      </c>
      <c r="B5502" t="s">
        <v>10339</v>
      </c>
    </row>
    <row r="5503" spans="1:2" ht="112" hidden="1" customHeight="1" x14ac:dyDescent="0.25">
      <c r="A5503" t="s">
        <v>10337</v>
      </c>
      <c r="B5503" t="s">
        <v>10340</v>
      </c>
    </row>
    <row r="5504" spans="1:2" ht="112" hidden="1" customHeight="1" x14ac:dyDescent="0.25">
      <c r="A5504" t="s">
        <v>10341</v>
      </c>
      <c r="B5504" t="s">
        <v>10342</v>
      </c>
    </row>
    <row r="5505" spans="1:2" ht="112" hidden="1" customHeight="1" x14ac:dyDescent="0.25">
      <c r="A5505" t="s">
        <v>10343</v>
      </c>
      <c r="B5505" t="s">
        <v>10344</v>
      </c>
    </row>
    <row r="5506" spans="1:2" ht="112" hidden="1" customHeight="1" x14ac:dyDescent="0.25">
      <c r="A5506" t="s">
        <v>10347</v>
      </c>
      <c r="B5506" t="s">
        <v>10353</v>
      </c>
    </row>
    <row r="5507" spans="1:2" ht="112" hidden="1" customHeight="1" x14ac:dyDescent="0.25">
      <c r="A5507" t="s">
        <v>10348</v>
      </c>
      <c r="B5507" t="s">
        <v>10354</v>
      </c>
    </row>
    <row r="5508" spans="1:2" ht="112" hidden="1" customHeight="1" x14ac:dyDescent="0.25">
      <c r="A5508" t="s">
        <v>10349</v>
      </c>
      <c r="B5508" t="s">
        <v>10355</v>
      </c>
    </row>
    <row r="5509" spans="1:2" ht="112" hidden="1" customHeight="1" x14ac:dyDescent="0.25">
      <c r="A5509" t="s">
        <v>10350</v>
      </c>
      <c r="B5509" t="s">
        <v>10356</v>
      </c>
    </row>
    <row r="5510" spans="1:2" ht="112" hidden="1" customHeight="1" x14ac:dyDescent="0.25">
      <c r="A5510" t="s">
        <v>10351</v>
      </c>
      <c r="B5510" t="s">
        <v>10357</v>
      </c>
    </row>
    <row r="5511" spans="1:2" ht="112" hidden="1" customHeight="1" x14ac:dyDescent="0.25">
      <c r="A5511" t="s">
        <v>10352</v>
      </c>
      <c r="B5511" t="s">
        <v>10358</v>
      </c>
    </row>
    <row r="5512" spans="1:2" ht="112" hidden="1" customHeight="1" x14ac:dyDescent="0.25">
      <c r="A5512" s="56" t="s">
        <v>10360</v>
      </c>
      <c r="B5512" t="s">
        <v>10359</v>
      </c>
    </row>
    <row r="5513" spans="1:2" ht="112" hidden="1" customHeight="1" x14ac:dyDescent="0.25">
      <c r="A5513" t="s">
        <v>10361</v>
      </c>
      <c r="B5513" t="s">
        <v>10362</v>
      </c>
    </row>
    <row r="5514" spans="1:2" ht="112" hidden="1" customHeight="1" x14ac:dyDescent="0.25">
      <c r="A5514" t="s">
        <v>10363</v>
      </c>
      <c r="B5514" t="s">
        <v>10372</v>
      </c>
    </row>
    <row r="5515" spans="1:2" ht="112" hidden="1" customHeight="1" x14ac:dyDescent="0.25">
      <c r="A5515" t="s">
        <v>10364</v>
      </c>
      <c r="B5515" t="s">
        <v>10373</v>
      </c>
    </row>
    <row r="5516" spans="1:2" ht="112" hidden="1" customHeight="1" x14ac:dyDescent="0.25">
      <c r="A5516" t="s">
        <v>10365</v>
      </c>
      <c r="B5516" t="s">
        <v>10374</v>
      </c>
    </row>
    <row r="5517" spans="1:2" ht="112" hidden="1" customHeight="1" x14ac:dyDescent="0.25">
      <c r="A5517" t="s">
        <v>10366</v>
      </c>
      <c r="B5517" t="s">
        <v>10375</v>
      </c>
    </row>
    <row r="5518" spans="1:2" ht="112" hidden="1" customHeight="1" x14ac:dyDescent="0.25">
      <c r="A5518" t="s">
        <v>10367</v>
      </c>
      <c r="B5518" t="s">
        <v>10376</v>
      </c>
    </row>
    <row r="5519" spans="1:2" ht="112" hidden="1" customHeight="1" x14ac:dyDescent="0.25">
      <c r="A5519" t="s">
        <v>10368</v>
      </c>
      <c r="B5519" t="s">
        <v>10377</v>
      </c>
    </row>
    <row r="5520" spans="1:2" ht="112" hidden="1" customHeight="1" x14ac:dyDescent="0.25">
      <c r="A5520" t="s">
        <v>10369</v>
      </c>
      <c r="B5520" t="s">
        <v>10378</v>
      </c>
    </row>
    <row r="5521" spans="1:2" ht="112" hidden="1" customHeight="1" x14ac:dyDescent="0.25">
      <c r="A5521" t="s">
        <v>10370</v>
      </c>
      <c r="B5521" t="s">
        <v>10379</v>
      </c>
    </row>
    <row r="5522" spans="1:2" ht="112" hidden="1" customHeight="1" x14ac:dyDescent="0.25">
      <c r="A5522" t="s">
        <v>10371</v>
      </c>
      <c r="B5522" t="s">
        <v>10380</v>
      </c>
    </row>
    <row r="5523" spans="1:2" ht="112" hidden="1" customHeight="1" x14ac:dyDescent="0.25">
      <c r="A5523" t="s">
        <v>10381</v>
      </c>
      <c r="B5523" t="s">
        <v>10385</v>
      </c>
    </row>
    <row r="5524" spans="1:2" ht="112" hidden="1" customHeight="1" x14ac:dyDescent="0.25">
      <c r="A5524" t="s">
        <v>10382</v>
      </c>
      <c r="B5524" t="s">
        <v>10386</v>
      </c>
    </row>
    <row r="5525" spans="1:2" ht="112" hidden="1" customHeight="1" x14ac:dyDescent="0.25">
      <c r="A5525" t="s">
        <v>10383</v>
      </c>
      <c r="B5525" t="s">
        <v>10387</v>
      </c>
    </row>
    <row r="5526" spans="1:2" ht="112" hidden="1" customHeight="1" x14ac:dyDescent="0.25">
      <c r="A5526" t="s">
        <v>10384</v>
      </c>
      <c r="B5526" t="s">
        <v>10388</v>
      </c>
    </row>
    <row r="5527" spans="1:2" ht="112" hidden="1" customHeight="1" x14ac:dyDescent="0.25">
      <c r="A5527" t="s">
        <v>8151</v>
      </c>
      <c r="B5527" t="s">
        <v>10389</v>
      </c>
    </row>
    <row r="5528" spans="1:2" ht="112" hidden="1" customHeight="1" x14ac:dyDescent="0.25">
      <c r="A5528" t="s">
        <v>10390</v>
      </c>
      <c r="B5528" t="s">
        <v>10393</v>
      </c>
    </row>
    <row r="5529" spans="1:2" ht="112" hidden="1" customHeight="1" x14ac:dyDescent="0.25">
      <c r="A5529" t="s">
        <v>10391</v>
      </c>
      <c r="B5529" t="s">
        <v>10394</v>
      </c>
    </row>
    <row r="5530" spans="1:2" ht="112" hidden="1" customHeight="1" x14ac:dyDescent="0.25">
      <c r="A5530" t="s">
        <v>10392</v>
      </c>
      <c r="B5530" t="s">
        <v>10395</v>
      </c>
    </row>
    <row r="5531" spans="1:2" ht="112" hidden="1" customHeight="1" x14ac:dyDescent="0.25">
      <c r="A5531" t="s">
        <v>10397</v>
      </c>
      <c r="B5531" t="s">
        <v>10398</v>
      </c>
    </row>
    <row r="5532" spans="1:2" ht="112" hidden="1" customHeight="1" x14ac:dyDescent="0.25">
      <c r="A5532" t="s">
        <v>10399</v>
      </c>
      <c r="B5532" t="s">
        <v>10431</v>
      </c>
    </row>
    <row r="5533" spans="1:2" ht="112" hidden="1" customHeight="1" x14ac:dyDescent="0.25">
      <c r="A5533" t="s">
        <v>10400</v>
      </c>
      <c r="B5533" t="s">
        <v>10432</v>
      </c>
    </row>
    <row r="5534" spans="1:2" ht="112" hidden="1" customHeight="1" x14ac:dyDescent="0.25">
      <c r="A5534" t="s">
        <v>10401</v>
      </c>
      <c r="B5534" t="s">
        <v>10433</v>
      </c>
    </row>
    <row r="5535" spans="1:2" ht="112" hidden="1" customHeight="1" x14ac:dyDescent="0.25">
      <c r="A5535" t="s">
        <v>10402</v>
      </c>
      <c r="B5535" t="s">
        <v>10434</v>
      </c>
    </row>
    <row r="5536" spans="1:2" ht="112" hidden="1" customHeight="1" x14ac:dyDescent="0.25">
      <c r="A5536" t="s">
        <v>10403</v>
      </c>
      <c r="B5536" t="s">
        <v>10435</v>
      </c>
    </row>
    <row r="5537" spans="1:2" ht="112" hidden="1" customHeight="1" x14ac:dyDescent="0.25">
      <c r="A5537" t="s">
        <v>10404</v>
      </c>
      <c r="B5537" t="s">
        <v>10436</v>
      </c>
    </row>
    <row r="5538" spans="1:2" ht="112" hidden="1" customHeight="1" x14ac:dyDescent="0.25">
      <c r="A5538" t="s">
        <v>10405</v>
      </c>
      <c r="B5538" t="s">
        <v>10437</v>
      </c>
    </row>
    <row r="5539" spans="1:2" ht="112" hidden="1" customHeight="1" x14ac:dyDescent="0.25">
      <c r="A5539" t="s">
        <v>10406</v>
      </c>
      <c r="B5539" t="s">
        <v>10438</v>
      </c>
    </row>
    <row r="5540" spans="1:2" ht="112" hidden="1" customHeight="1" x14ac:dyDescent="0.25">
      <c r="A5540" t="s">
        <v>10407</v>
      </c>
      <c r="B5540" s="56" t="s">
        <v>11123</v>
      </c>
    </row>
    <row r="5541" spans="1:2" ht="112" hidden="1" customHeight="1" x14ac:dyDescent="0.25">
      <c r="A5541" t="s">
        <v>10408</v>
      </c>
      <c r="B5541" t="s">
        <v>10439</v>
      </c>
    </row>
    <row r="5542" spans="1:2" ht="112" hidden="1" customHeight="1" x14ac:dyDescent="0.25">
      <c r="A5542" t="s">
        <v>10409</v>
      </c>
      <c r="B5542" t="s">
        <v>10440</v>
      </c>
    </row>
    <row r="5543" spans="1:2" ht="112" hidden="1" customHeight="1" x14ac:dyDescent="0.25">
      <c r="A5543" t="s">
        <v>10410</v>
      </c>
      <c r="B5543" t="s">
        <v>10441</v>
      </c>
    </row>
    <row r="5544" spans="1:2" ht="112" hidden="1" customHeight="1" x14ac:dyDescent="0.25">
      <c r="A5544" t="s">
        <v>10411</v>
      </c>
      <c r="B5544" t="s">
        <v>10442</v>
      </c>
    </row>
    <row r="5545" spans="1:2" ht="112" hidden="1" customHeight="1" x14ac:dyDescent="0.25">
      <c r="A5545" t="s">
        <v>10412</v>
      </c>
      <c r="B5545" t="s">
        <v>10443</v>
      </c>
    </row>
    <row r="5546" spans="1:2" ht="112" hidden="1" customHeight="1" x14ac:dyDescent="0.25">
      <c r="A5546" t="s">
        <v>10413</v>
      </c>
      <c r="B5546" t="s">
        <v>10444</v>
      </c>
    </row>
    <row r="5547" spans="1:2" ht="112" hidden="1" customHeight="1" x14ac:dyDescent="0.25">
      <c r="A5547" t="s">
        <v>10414</v>
      </c>
      <c r="B5547" t="s">
        <v>10445</v>
      </c>
    </row>
    <row r="5548" spans="1:2" ht="112" hidden="1" customHeight="1" x14ac:dyDescent="0.25">
      <c r="A5548" t="s">
        <v>10415</v>
      </c>
      <c r="B5548" t="s">
        <v>10446</v>
      </c>
    </row>
    <row r="5549" spans="1:2" ht="112" hidden="1" customHeight="1" x14ac:dyDescent="0.25">
      <c r="A5549" t="s">
        <v>10416</v>
      </c>
      <c r="B5549" t="s">
        <v>10447</v>
      </c>
    </row>
    <row r="5550" spans="1:2" ht="112" hidden="1" customHeight="1" x14ac:dyDescent="0.25">
      <c r="A5550" t="s">
        <v>10417</v>
      </c>
      <c r="B5550" t="s">
        <v>10448</v>
      </c>
    </row>
    <row r="5551" spans="1:2" ht="112" hidden="1" customHeight="1" x14ac:dyDescent="0.25">
      <c r="A5551" t="s">
        <v>10418</v>
      </c>
      <c r="B5551" t="s">
        <v>10449</v>
      </c>
    </row>
    <row r="5552" spans="1:2" ht="112" hidden="1" customHeight="1" x14ac:dyDescent="0.25">
      <c r="A5552" t="s">
        <v>10419</v>
      </c>
      <c r="B5552" t="s">
        <v>10450</v>
      </c>
    </row>
    <row r="5553" spans="1:2" ht="112" hidden="1" customHeight="1" x14ac:dyDescent="0.25">
      <c r="A5553" t="s">
        <v>10420</v>
      </c>
      <c r="B5553" t="s">
        <v>10451</v>
      </c>
    </row>
    <row r="5554" spans="1:2" ht="112" hidden="1" customHeight="1" x14ac:dyDescent="0.25">
      <c r="A5554" t="s">
        <v>10421</v>
      </c>
      <c r="B5554" t="s">
        <v>10452</v>
      </c>
    </row>
    <row r="5555" spans="1:2" ht="112" hidden="1" customHeight="1" x14ac:dyDescent="0.25">
      <c r="A5555" t="s">
        <v>10422</v>
      </c>
      <c r="B5555" t="s">
        <v>10453</v>
      </c>
    </row>
    <row r="5556" spans="1:2" ht="112" hidden="1" customHeight="1" x14ac:dyDescent="0.25">
      <c r="A5556" t="s">
        <v>10423</v>
      </c>
      <c r="B5556" t="s">
        <v>10454</v>
      </c>
    </row>
    <row r="5557" spans="1:2" ht="112" hidden="1" customHeight="1" x14ac:dyDescent="0.25">
      <c r="A5557" t="s">
        <v>10424</v>
      </c>
      <c r="B5557" t="s">
        <v>10455</v>
      </c>
    </row>
    <row r="5558" spans="1:2" ht="112" hidden="1" customHeight="1" x14ac:dyDescent="0.25">
      <c r="A5558" t="s">
        <v>10425</v>
      </c>
      <c r="B5558" t="s">
        <v>10456</v>
      </c>
    </row>
    <row r="5559" spans="1:2" ht="112" hidden="1" customHeight="1" x14ac:dyDescent="0.25">
      <c r="A5559" t="s">
        <v>10426</v>
      </c>
      <c r="B5559" t="s">
        <v>10457</v>
      </c>
    </row>
    <row r="5560" spans="1:2" ht="112" hidden="1" customHeight="1" x14ac:dyDescent="0.25">
      <c r="A5560" t="s">
        <v>10427</v>
      </c>
      <c r="B5560" t="s">
        <v>10458</v>
      </c>
    </row>
    <row r="5561" spans="1:2" ht="112" hidden="1" customHeight="1" x14ac:dyDescent="0.25">
      <c r="A5561" t="s">
        <v>10428</v>
      </c>
      <c r="B5561" t="s">
        <v>10459</v>
      </c>
    </row>
    <row r="5562" spans="1:2" ht="112" hidden="1" customHeight="1" x14ac:dyDescent="0.25">
      <c r="A5562" t="s">
        <v>10429</v>
      </c>
      <c r="B5562" t="s">
        <v>10460</v>
      </c>
    </row>
    <row r="5563" spans="1:2" ht="112" hidden="1" customHeight="1" x14ac:dyDescent="0.25">
      <c r="A5563" t="s">
        <v>10430</v>
      </c>
      <c r="B5563" t="s">
        <v>10461</v>
      </c>
    </row>
    <row r="5564" spans="1:2" ht="112" hidden="1" customHeight="1" x14ac:dyDescent="0.25">
      <c r="A5564" t="s">
        <v>10462</v>
      </c>
      <c r="B5564" t="s">
        <v>10463</v>
      </c>
    </row>
    <row r="5565" spans="1:2" ht="112" hidden="1" customHeight="1" x14ac:dyDescent="0.25">
      <c r="A5565" t="s">
        <v>10371</v>
      </c>
      <c r="B5565" t="s">
        <v>10380</v>
      </c>
    </row>
    <row r="5566" spans="1:2" ht="112" hidden="1" customHeight="1" x14ac:dyDescent="0.25">
      <c r="A5566" t="s">
        <v>10462</v>
      </c>
      <c r="B5566" t="s">
        <v>10464</v>
      </c>
    </row>
    <row r="5567" spans="1:2" ht="112" hidden="1" customHeight="1" x14ac:dyDescent="0.25">
      <c r="A5567" t="s">
        <v>10465</v>
      </c>
      <c r="B5567" s="56" t="s">
        <v>13548</v>
      </c>
    </row>
    <row r="5568" spans="1:2" ht="112" hidden="1" customHeight="1" x14ac:dyDescent="0.25">
      <c r="A5568" t="s">
        <v>10466</v>
      </c>
      <c r="B5568" s="56" t="s">
        <v>13549</v>
      </c>
    </row>
    <row r="5569" spans="1:2" ht="112" hidden="1" customHeight="1" x14ac:dyDescent="0.25">
      <c r="A5569" t="s">
        <v>10467</v>
      </c>
      <c r="B5569" s="56" t="s">
        <v>11238</v>
      </c>
    </row>
    <row r="5570" spans="1:2" ht="112" hidden="1" customHeight="1" x14ac:dyDescent="0.25">
      <c r="A5570" t="s">
        <v>1578</v>
      </c>
      <c r="B5570" t="s">
        <v>10468</v>
      </c>
    </row>
    <row r="5571" spans="1:2" ht="112" hidden="1" customHeight="1" x14ac:dyDescent="0.25">
      <c r="A5571" t="s">
        <v>10469</v>
      </c>
      <c r="B5571" t="s">
        <v>10470</v>
      </c>
    </row>
    <row r="5572" spans="1:2" ht="112" hidden="1" customHeight="1" x14ac:dyDescent="0.25">
      <c r="A5572" t="s">
        <v>8154</v>
      </c>
      <c r="B5572" t="s">
        <v>10471</v>
      </c>
    </row>
    <row r="5573" spans="1:2" ht="112" hidden="1" customHeight="1" x14ac:dyDescent="0.25">
      <c r="A5573" t="s">
        <v>9980</v>
      </c>
      <c r="B5573" t="s">
        <v>10472</v>
      </c>
    </row>
    <row r="5574" spans="1:2" ht="112" hidden="1" customHeight="1" x14ac:dyDescent="0.25">
      <c r="A5574" t="s">
        <v>10473</v>
      </c>
      <c r="B5574" s="56" t="s">
        <v>13516</v>
      </c>
    </row>
    <row r="5575" spans="1:2" ht="112" hidden="1" customHeight="1" x14ac:dyDescent="0.25">
      <c r="A5575" t="s">
        <v>10474</v>
      </c>
      <c r="B5575" t="s">
        <v>10482</v>
      </c>
    </row>
    <row r="5576" spans="1:2" ht="112" hidden="1" customHeight="1" x14ac:dyDescent="0.25">
      <c r="A5576" t="s">
        <v>10475</v>
      </c>
      <c r="B5576" t="s">
        <v>10483</v>
      </c>
    </row>
    <row r="5577" spans="1:2" ht="112" hidden="1" customHeight="1" x14ac:dyDescent="0.25">
      <c r="A5577" t="s">
        <v>10476</v>
      </c>
      <c r="B5577" t="s">
        <v>10484</v>
      </c>
    </row>
    <row r="5578" spans="1:2" ht="112" hidden="1" customHeight="1" x14ac:dyDescent="0.25">
      <c r="A5578" t="s">
        <v>10477</v>
      </c>
      <c r="B5578" t="s">
        <v>10485</v>
      </c>
    </row>
    <row r="5579" spans="1:2" ht="112" hidden="1" customHeight="1" x14ac:dyDescent="0.25">
      <c r="A5579" t="s">
        <v>10478</v>
      </c>
      <c r="B5579" t="s">
        <v>10486</v>
      </c>
    </row>
    <row r="5580" spans="1:2" ht="112" hidden="1" customHeight="1" x14ac:dyDescent="0.25">
      <c r="A5580" t="s">
        <v>10479</v>
      </c>
      <c r="B5580" t="s">
        <v>10487</v>
      </c>
    </row>
    <row r="5581" spans="1:2" ht="112" hidden="1" customHeight="1" x14ac:dyDescent="0.25">
      <c r="A5581" t="s">
        <v>10480</v>
      </c>
      <c r="B5581" t="s">
        <v>10488</v>
      </c>
    </row>
    <row r="5582" spans="1:2" ht="112" hidden="1" customHeight="1" x14ac:dyDescent="0.25">
      <c r="A5582" t="s">
        <v>10481</v>
      </c>
      <c r="B5582" t="s">
        <v>10489</v>
      </c>
    </row>
    <row r="5583" spans="1:2" ht="112" hidden="1" customHeight="1" x14ac:dyDescent="0.25">
      <c r="A5583" t="s">
        <v>10491</v>
      </c>
      <c r="B5583" t="s">
        <v>10494</v>
      </c>
    </row>
    <row r="5584" spans="1:2" ht="112" hidden="1" customHeight="1" x14ac:dyDescent="0.25">
      <c r="A5584" t="s">
        <v>10492</v>
      </c>
      <c r="B5584" t="s">
        <v>10495</v>
      </c>
    </row>
    <row r="5585" spans="1:2" ht="112" hidden="1" customHeight="1" x14ac:dyDescent="0.25">
      <c r="A5585" t="s">
        <v>10493</v>
      </c>
      <c r="B5585" t="s">
        <v>10496</v>
      </c>
    </row>
    <row r="5586" spans="1:2" ht="112" hidden="1" customHeight="1" x14ac:dyDescent="0.25">
      <c r="A5586" t="s">
        <v>10498</v>
      </c>
      <c r="B5586" t="s">
        <v>10503</v>
      </c>
    </row>
    <row r="5587" spans="1:2" ht="112" hidden="1" customHeight="1" x14ac:dyDescent="0.25">
      <c r="A5587" t="s">
        <v>10499</v>
      </c>
      <c r="B5587" t="s">
        <v>10504</v>
      </c>
    </row>
    <row r="5588" spans="1:2" ht="112" hidden="1" customHeight="1" x14ac:dyDescent="0.25">
      <c r="A5588" t="s">
        <v>10500</v>
      </c>
      <c r="B5588" t="s">
        <v>10505</v>
      </c>
    </row>
    <row r="5589" spans="1:2" ht="112" hidden="1" customHeight="1" x14ac:dyDescent="0.25">
      <c r="A5589" t="s">
        <v>10501</v>
      </c>
      <c r="B5589" t="s">
        <v>10506</v>
      </c>
    </row>
    <row r="5590" spans="1:2" ht="112" hidden="1" customHeight="1" x14ac:dyDescent="0.25">
      <c r="A5590" t="s">
        <v>10502</v>
      </c>
      <c r="B5590" t="s">
        <v>10507</v>
      </c>
    </row>
    <row r="5591" spans="1:2" ht="112" hidden="1" customHeight="1" x14ac:dyDescent="0.25">
      <c r="A5591" t="s">
        <v>1918</v>
      </c>
      <c r="B5591" t="s">
        <v>10510</v>
      </c>
    </row>
    <row r="5592" spans="1:2" ht="112" hidden="1" customHeight="1" x14ac:dyDescent="0.25">
      <c r="A5592" t="s">
        <v>6806</v>
      </c>
      <c r="B5592" t="s">
        <v>10511</v>
      </c>
    </row>
    <row r="5593" spans="1:2" ht="112" hidden="1" customHeight="1" x14ac:dyDescent="0.25">
      <c r="A5593" t="s">
        <v>9574</v>
      </c>
      <c r="B5593" t="s">
        <v>10512</v>
      </c>
    </row>
    <row r="5594" spans="1:2" ht="112" hidden="1" customHeight="1" x14ac:dyDescent="0.25">
      <c r="A5594" t="s">
        <v>2717</v>
      </c>
      <c r="B5594" t="s">
        <v>10513</v>
      </c>
    </row>
    <row r="5595" spans="1:2" ht="112" hidden="1" customHeight="1" x14ac:dyDescent="0.25">
      <c r="A5595" t="s">
        <v>9057</v>
      </c>
      <c r="B5595" t="s">
        <v>9068</v>
      </c>
    </row>
    <row r="5596" spans="1:2" ht="112" hidden="1" customHeight="1" x14ac:dyDescent="0.25">
      <c r="A5596" t="s">
        <v>1918</v>
      </c>
      <c r="B5596" t="s">
        <v>10510</v>
      </c>
    </row>
    <row r="5597" spans="1:2" ht="112" hidden="1" customHeight="1" x14ac:dyDescent="0.25">
      <c r="A5597" t="s">
        <v>10509</v>
      </c>
      <c r="B5597" t="s">
        <v>10514</v>
      </c>
    </row>
    <row r="5598" spans="1:2" ht="112" hidden="1" customHeight="1" x14ac:dyDescent="0.25">
      <c r="A5598" t="s">
        <v>10508</v>
      </c>
      <c r="B5598" t="s">
        <v>10515</v>
      </c>
    </row>
    <row r="5599" spans="1:2" ht="112" hidden="1" customHeight="1" x14ac:dyDescent="0.25">
      <c r="A5599" t="s">
        <v>10517</v>
      </c>
      <c r="B5599" s="56" t="s">
        <v>10657</v>
      </c>
    </row>
    <row r="5600" spans="1:2" ht="112" hidden="1" customHeight="1" x14ac:dyDescent="0.25">
      <c r="A5600" t="s">
        <v>9882</v>
      </c>
      <c r="B5600" t="s">
        <v>10518</v>
      </c>
    </row>
    <row r="5601" spans="1:2" ht="112" hidden="1" customHeight="1" x14ac:dyDescent="0.25">
      <c r="A5601" t="s">
        <v>10520</v>
      </c>
      <c r="B5601" t="s">
        <v>10521</v>
      </c>
    </row>
    <row r="5602" spans="1:2" ht="112" hidden="1" customHeight="1" x14ac:dyDescent="0.25">
      <c r="A5602" t="s">
        <v>10522</v>
      </c>
      <c r="B5602" s="56" t="s">
        <v>13550</v>
      </c>
    </row>
    <row r="5603" spans="1:2" ht="112" hidden="1" customHeight="1" x14ac:dyDescent="0.25">
      <c r="A5603" t="s">
        <v>10523</v>
      </c>
      <c r="B5603" s="56" t="s">
        <v>13551</v>
      </c>
    </row>
    <row r="5604" spans="1:2" ht="112" hidden="1" customHeight="1" x14ac:dyDescent="0.25">
      <c r="A5604" t="s">
        <v>10524</v>
      </c>
      <c r="B5604" s="56" t="s">
        <v>13552</v>
      </c>
    </row>
    <row r="5605" spans="1:2" ht="112" hidden="1" customHeight="1" x14ac:dyDescent="0.25">
      <c r="A5605" t="s">
        <v>10525</v>
      </c>
      <c r="B5605" t="s">
        <v>10557</v>
      </c>
    </row>
    <row r="5606" spans="1:2" ht="112" hidden="1" customHeight="1" x14ac:dyDescent="0.25">
      <c r="A5606" t="s">
        <v>10526</v>
      </c>
      <c r="B5606" t="s">
        <v>10558</v>
      </c>
    </row>
    <row r="5607" spans="1:2" ht="112" hidden="1" customHeight="1" x14ac:dyDescent="0.25">
      <c r="A5607" t="s">
        <v>10527</v>
      </c>
      <c r="B5607" t="s">
        <v>10559</v>
      </c>
    </row>
    <row r="5608" spans="1:2" ht="112" hidden="1" customHeight="1" x14ac:dyDescent="0.25">
      <c r="A5608" t="s">
        <v>10528</v>
      </c>
      <c r="B5608" t="s">
        <v>10560</v>
      </c>
    </row>
    <row r="5609" spans="1:2" ht="112" hidden="1" customHeight="1" x14ac:dyDescent="0.25">
      <c r="A5609" t="s">
        <v>10529</v>
      </c>
      <c r="B5609" t="s">
        <v>10561</v>
      </c>
    </row>
    <row r="5610" spans="1:2" ht="112" hidden="1" customHeight="1" x14ac:dyDescent="0.25">
      <c r="A5610" t="s">
        <v>10530</v>
      </c>
      <c r="B5610" t="s">
        <v>10562</v>
      </c>
    </row>
    <row r="5611" spans="1:2" ht="112" hidden="1" customHeight="1" x14ac:dyDescent="0.25">
      <c r="A5611" t="s">
        <v>10531</v>
      </c>
      <c r="B5611" t="s">
        <v>10563</v>
      </c>
    </row>
    <row r="5612" spans="1:2" ht="112" hidden="1" customHeight="1" x14ac:dyDescent="0.25">
      <c r="A5612" t="s">
        <v>10532</v>
      </c>
      <c r="B5612" t="s">
        <v>10564</v>
      </c>
    </row>
    <row r="5613" spans="1:2" ht="112" hidden="1" customHeight="1" x14ac:dyDescent="0.25">
      <c r="A5613" t="s">
        <v>10533</v>
      </c>
      <c r="B5613" t="s">
        <v>10565</v>
      </c>
    </row>
    <row r="5614" spans="1:2" ht="112" hidden="1" customHeight="1" x14ac:dyDescent="0.25">
      <c r="A5614" t="s">
        <v>10534</v>
      </c>
      <c r="B5614" t="s">
        <v>10566</v>
      </c>
    </row>
    <row r="5615" spans="1:2" ht="112" hidden="1" customHeight="1" x14ac:dyDescent="0.25">
      <c r="A5615" t="s">
        <v>10535</v>
      </c>
      <c r="B5615" t="s">
        <v>10567</v>
      </c>
    </row>
    <row r="5616" spans="1:2" ht="112" hidden="1" customHeight="1" x14ac:dyDescent="0.25">
      <c r="A5616" t="s">
        <v>10536</v>
      </c>
      <c r="B5616" t="s">
        <v>10568</v>
      </c>
    </row>
    <row r="5617" spans="1:2" ht="112" hidden="1" customHeight="1" x14ac:dyDescent="0.25">
      <c r="A5617" t="s">
        <v>10537</v>
      </c>
      <c r="B5617" t="s">
        <v>10569</v>
      </c>
    </row>
    <row r="5618" spans="1:2" ht="112" hidden="1" customHeight="1" x14ac:dyDescent="0.25">
      <c r="A5618" t="s">
        <v>10538</v>
      </c>
      <c r="B5618" t="s">
        <v>10570</v>
      </c>
    </row>
    <row r="5619" spans="1:2" ht="112" hidden="1" customHeight="1" x14ac:dyDescent="0.25">
      <c r="A5619" t="s">
        <v>10539</v>
      </c>
      <c r="B5619" t="s">
        <v>10571</v>
      </c>
    </row>
    <row r="5620" spans="1:2" ht="112" hidden="1" customHeight="1" x14ac:dyDescent="0.25">
      <c r="A5620" t="s">
        <v>10540</v>
      </c>
      <c r="B5620" t="s">
        <v>10572</v>
      </c>
    </row>
    <row r="5621" spans="1:2" ht="112" hidden="1" customHeight="1" x14ac:dyDescent="0.25">
      <c r="A5621" t="s">
        <v>10541</v>
      </c>
      <c r="B5621" t="s">
        <v>10573</v>
      </c>
    </row>
    <row r="5622" spans="1:2" ht="112" hidden="1" customHeight="1" x14ac:dyDescent="0.25">
      <c r="A5622" t="s">
        <v>10542</v>
      </c>
      <c r="B5622" t="s">
        <v>10574</v>
      </c>
    </row>
    <row r="5623" spans="1:2" ht="112" hidden="1" customHeight="1" x14ac:dyDescent="0.25">
      <c r="A5623" t="s">
        <v>10543</v>
      </c>
      <c r="B5623" t="s">
        <v>10575</v>
      </c>
    </row>
    <row r="5624" spans="1:2" ht="112" hidden="1" customHeight="1" x14ac:dyDescent="0.25">
      <c r="A5624" t="s">
        <v>10544</v>
      </c>
      <c r="B5624" t="s">
        <v>10576</v>
      </c>
    </row>
    <row r="5625" spans="1:2" ht="112" hidden="1" customHeight="1" x14ac:dyDescent="0.25">
      <c r="A5625" t="s">
        <v>10545</v>
      </c>
      <c r="B5625" t="s">
        <v>10577</v>
      </c>
    </row>
    <row r="5626" spans="1:2" ht="112" hidden="1" customHeight="1" x14ac:dyDescent="0.25">
      <c r="A5626" t="s">
        <v>10546</v>
      </c>
      <c r="B5626" t="s">
        <v>10578</v>
      </c>
    </row>
    <row r="5627" spans="1:2" ht="112" hidden="1" customHeight="1" x14ac:dyDescent="0.25">
      <c r="A5627" t="s">
        <v>10547</v>
      </c>
      <c r="B5627" t="s">
        <v>10579</v>
      </c>
    </row>
    <row r="5628" spans="1:2" ht="112" hidden="1" customHeight="1" x14ac:dyDescent="0.25">
      <c r="A5628" t="s">
        <v>10548</v>
      </c>
      <c r="B5628" t="s">
        <v>10580</v>
      </c>
    </row>
    <row r="5629" spans="1:2" ht="112" hidden="1" customHeight="1" x14ac:dyDescent="0.25">
      <c r="A5629" t="s">
        <v>10549</v>
      </c>
      <c r="B5629" t="s">
        <v>10581</v>
      </c>
    </row>
    <row r="5630" spans="1:2" ht="112" hidden="1" customHeight="1" x14ac:dyDescent="0.25">
      <c r="A5630" t="s">
        <v>10550</v>
      </c>
      <c r="B5630" t="s">
        <v>10582</v>
      </c>
    </row>
    <row r="5631" spans="1:2" ht="112" hidden="1" customHeight="1" x14ac:dyDescent="0.25">
      <c r="A5631" t="s">
        <v>10551</v>
      </c>
      <c r="B5631" t="s">
        <v>10583</v>
      </c>
    </row>
    <row r="5632" spans="1:2" ht="112" hidden="1" customHeight="1" x14ac:dyDescent="0.25">
      <c r="A5632" t="s">
        <v>10552</v>
      </c>
      <c r="B5632" t="s">
        <v>10584</v>
      </c>
    </row>
    <row r="5633" spans="1:2" ht="112" hidden="1" customHeight="1" x14ac:dyDescent="0.25">
      <c r="A5633" t="s">
        <v>10553</v>
      </c>
      <c r="B5633" t="s">
        <v>10585</v>
      </c>
    </row>
    <row r="5634" spans="1:2" ht="112" hidden="1" customHeight="1" x14ac:dyDescent="0.25">
      <c r="A5634" t="s">
        <v>10554</v>
      </c>
      <c r="B5634" t="s">
        <v>10586</v>
      </c>
    </row>
    <row r="5635" spans="1:2" ht="112" hidden="1" customHeight="1" x14ac:dyDescent="0.25">
      <c r="A5635" t="s">
        <v>10555</v>
      </c>
      <c r="B5635" t="s">
        <v>10587</v>
      </c>
    </row>
    <row r="5636" spans="1:2" ht="112" hidden="1" customHeight="1" x14ac:dyDescent="0.25">
      <c r="A5636" t="s">
        <v>10556</v>
      </c>
      <c r="B5636" t="s">
        <v>10588</v>
      </c>
    </row>
    <row r="5637" spans="1:2" ht="112" hidden="1" customHeight="1" x14ac:dyDescent="0.25">
      <c r="A5637" t="s">
        <v>10590</v>
      </c>
      <c r="B5637" t="s">
        <v>10591</v>
      </c>
    </row>
    <row r="5638" spans="1:2" ht="112" hidden="1" customHeight="1" x14ac:dyDescent="0.25">
      <c r="A5638" t="s">
        <v>10589</v>
      </c>
      <c r="B5638" t="s">
        <v>10592</v>
      </c>
    </row>
    <row r="5639" spans="1:2" ht="112" hidden="1" customHeight="1" x14ac:dyDescent="0.25">
      <c r="A5639" t="s">
        <v>10593</v>
      </c>
      <c r="B5639" t="s">
        <v>10594</v>
      </c>
    </row>
    <row r="5640" spans="1:2" ht="112" hidden="1" customHeight="1" x14ac:dyDescent="0.25">
      <c r="A5640" t="s">
        <v>10595</v>
      </c>
      <c r="B5640" t="s">
        <v>10597</v>
      </c>
    </row>
    <row r="5641" spans="1:2" ht="112" hidden="1" customHeight="1" x14ac:dyDescent="0.25">
      <c r="A5641" t="s">
        <v>10596</v>
      </c>
      <c r="B5641" t="s">
        <v>10598</v>
      </c>
    </row>
    <row r="5642" spans="1:2" ht="112" hidden="1" customHeight="1" x14ac:dyDescent="0.25">
      <c r="A5642" t="s">
        <v>10601</v>
      </c>
      <c r="B5642" t="s">
        <v>10603</v>
      </c>
    </row>
    <row r="5643" spans="1:2" ht="112" hidden="1" customHeight="1" x14ac:dyDescent="0.25">
      <c r="A5643" t="s">
        <v>10602</v>
      </c>
      <c r="B5643" t="s">
        <v>10604</v>
      </c>
    </row>
    <row r="5644" spans="1:2" ht="112" hidden="1" customHeight="1" x14ac:dyDescent="0.25">
      <c r="A5644" t="s">
        <v>10605</v>
      </c>
      <c r="B5644" t="s">
        <v>10606</v>
      </c>
    </row>
    <row r="5645" spans="1:2" ht="112" hidden="1" customHeight="1" x14ac:dyDescent="0.25">
      <c r="A5645" t="s">
        <v>10607</v>
      </c>
      <c r="B5645" t="s">
        <v>10608</v>
      </c>
    </row>
    <row r="5646" spans="1:2" ht="112" hidden="1" customHeight="1" x14ac:dyDescent="0.25">
      <c r="A5646" t="s">
        <v>10610</v>
      </c>
      <c r="B5646" t="s">
        <v>10618</v>
      </c>
    </row>
    <row r="5647" spans="1:2" ht="112" hidden="1" customHeight="1" x14ac:dyDescent="0.25">
      <c r="A5647" t="s">
        <v>10611</v>
      </c>
      <c r="B5647" t="s">
        <v>10619</v>
      </c>
    </row>
    <row r="5648" spans="1:2" ht="112" hidden="1" customHeight="1" x14ac:dyDescent="0.25">
      <c r="A5648" t="s">
        <v>10612</v>
      </c>
      <c r="B5648" t="s">
        <v>10620</v>
      </c>
    </row>
    <row r="5649" spans="1:2" ht="112" hidden="1" customHeight="1" x14ac:dyDescent="0.25">
      <c r="A5649" t="s">
        <v>10613</v>
      </c>
      <c r="B5649" s="56" t="s">
        <v>11227</v>
      </c>
    </row>
    <row r="5650" spans="1:2" ht="112" hidden="1" customHeight="1" x14ac:dyDescent="0.25">
      <c r="A5650" t="s">
        <v>10614</v>
      </c>
      <c r="B5650" t="s">
        <v>10621</v>
      </c>
    </row>
    <row r="5651" spans="1:2" ht="112" hidden="1" customHeight="1" x14ac:dyDescent="0.25">
      <c r="A5651" t="s">
        <v>10615</v>
      </c>
      <c r="B5651" t="s">
        <v>10622</v>
      </c>
    </row>
    <row r="5652" spans="1:2" ht="112" hidden="1" customHeight="1" x14ac:dyDescent="0.25">
      <c r="A5652" t="s">
        <v>10616</v>
      </c>
      <c r="B5652" t="s">
        <v>10623</v>
      </c>
    </row>
    <row r="5653" spans="1:2" ht="112" hidden="1" customHeight="1" x14ac:dyDescent="0.25">
      <c r="A5653" t="s">
        <v>10617</v>
      </c>
      <c r="B5653" t="s">
        <v>10624</v>
      </c>
    </row>
    <row r="5654" spans="1:2" ht="112" hidden="1" customHeight="1" x14ac:dyDescent="0.25">
      <c r="A5654" t="s">
        <v>10625</v>
      </c>
      <c r="B5654" t="s">
        <v>10627</v>
      </c>
    </row>
    <row r="5655" spans="1:2" ht="112" hidden="1" customHeight="1" x14ac:dyDescent="0.25">
      <c r="A5655" t="s">
        <v>10626</v>
      </c>
      <c r="B5655" t="s">
        <v>10628</v>
      </c>
    </row>
    <row r="5656" spans="1:2" ht="112" hidden="1" customHeight="1" x14ac:dyDescent="0.25">
      <c r="A5656" t="s">
        <v>10629</v>
      </c>
      <c r="B5656" t="s">
        <v>10636</v>
      </c>
    </row>
    <row r="5657" spans="1:2" ht="112" hidden="1" customHeight="1" x14ac:dyDescent="0.25">
      <c r="A5657" t="s">
        <v>10630</v>
      </c>
      <c r="B5657" t="s">
        <v>10637</v>
      </c>
    </row>
    <row r="5658" spans="1:2" ht="112" hidden="1" customHeight="1" x14ac:dyDescent="0.25">
      <c r="A5658" t="s">
        <v>10631</v>
      </c>
      <c r="B5658" t="s">
        <v>10638</v>
      </c>
    </row>
    <row r="5659" spans="1:2" ht="112" hidden="1" customHeight="1" x14ac:dyDescent="0.25">
      <c r="A5659" t="s">
        <v>10632</v>
      </c>
      <c r="B5659" t="s">
        <v>10639</v>
      </c>
    </row>
    <row r="5660" spans="1:2" ht="112" hidden="1" customHeight="1" x14ac:dyDescent="0.25">
      <c r="A5660" t="s">
        <v>10633</v>
      </c>
      <c r="B5660" s="56" t="s">
        <v>13390</v>
      </c>
    </row>
    <row r="5661" spans="1:2" ht="112" hidden="1" customHeight="1" x14ac:dyDescent="0.25">
      <c r="A5661" t="s">
        <v>10634</v>
      </c>
      <c r="B5661" t="s">
        <v>10640</v>
      </c>
    </row>
    <row r="5662" spans="1:2" ht="112" hidden="1" customHeight="1" x14ac:dyDescent="0.25">
      <c r="A5662" t="s">
        <v>10635</v>
      </c>
      <c r="B5662" t="s">
        <v>10641</v>
      </c>
    </row>
    <row r="5663" spans="1:2" ht="112" hidden="1" customHeight="1" x14ac:dyDescent="0.25">
      <c r="A5663" t="s">
        <v>10642</v>
      </c>
      <c r="B5663" t="s">
        <v>10645</v>
      </c>
    </row>
    <row r="5664" spans="1:2" ht="112" hidden="1" customHeight="1" x14ac:dyDescent="0.25">
      <c r="A5664" t="s">
        <v>10643</v>
      </c>
      <c r="B5664" t="s">
        <v>10646</v>
      </c>
    </row>
    <row r="5665" spans="1:2" ht="112" hidden="1" customHeight="1" x14ac:dyDescent="0.25">
      <c r="A5665" t="s">
        <v>10644</v>
      </c>
      <c r="B5665" t="s">
        <v>10647</v>
      </c>
    </row>
    <row r="5666" spans="1:2" ht="112" hidden="1" customHeight="1" x14ac:dyDescent="0.25">
      <c r="A5666" t="s">
        <v>10648</v>
      </c>
      <c r="B5666" t="s">
        <v>10649</v>
      </c>
    </row>
    <row r="5667" spans="1:2" ht="112" hidden="1" customHeight="1" x14ac:dyDescent="0.25">
      <c r="A5667" t="s">
        <v>10650</v>
      </c>
      <c r="B5667" t="s">
        <v>10651</v>
      </c>
    </row>
    <row r="5668" spans="1:2" ht="112" hidden="1" customHeight="1" x14ac:dyDescent="0.25">
      <c r="A5668" t="s">
        <v>10652</v>
      </c>
      <c r="B5668" t="s">
        <v>10653</v>
      </c>
    </row>
    <row r="5669" spans="1:2" ht="112" hidden="1" customHeight="1" x14ac:dyDescent="0.25">
      <c r="A5669" t="s">
        <v>11502</v>
      </c>
      <c r="B5669" t="s">
        <v>11503</v>
      </c>
    </row>
    <row r="5670" spans="1:2" ht="112" hidden="1" customHeight="1" x14ac:dyDescent="0.25">
      <c r="A5670" s="56" t="s">
        <v>12409</v>
      </c>
      <c r="B5670" t="s">
        <v>12436</v>
      </c>
    </row>
    <row r="5671" spans="1:2" ht="112" hidden="1" customHeight="1" x14ac:dyDescent="0.25">
      <c r="A5671" s="56" t="s">
        <v>12410</v>
      </c>
      <c r="B5671" t="s">
        <v>12437</v>
      </c>
    </row>
    <row r="5672" spans="1:2" ht="112" hidden="1" customHeight="1" x14ac:dyDescent="0.25">
      <c r="A5672" s="56" t="s">
        <v>12411</v>
      </c>
      <c r="B5672" t="s">
        <v>12438</v>
      </c>
    </row>
    <row r="5673" spans="1:2" ht="112" hidden="1" customHeight="1" x14ac:dyDescent="0.25">
      <c r="A5673" t="s">
        <v>12412</v>
      </c>
      <c r="B5673" t="s">
        <v>12439</v>
      </c>
    </row>
    <row r="5674" spans="1:2" ht="112" hidden="1" customHeight="1" x14ac:dyDescent="0.25">
      <c r="A5674" t="s">
        <v>12413</v>
      </c>
      <c r="B5674" t="s">
        <v>12440</v>
      </c>
    </row>
    <row r="5675" spans="1:2" ht="112" hidden="1" customHeight="1" x14ac:dyDescent="0.25">
      <c r="A5675" t="s">
        <v>12414</v>
      </c>
      <c r="B5675" t="s">
        <v>12441</v>
      </c>
    </row>
    <row r="5676" spans="1:2" ht="112" hidden="1" customHeight="1" x14ac:dyDescent="0.25">
      <c r="A5676" t="s">
        <v>12415</v>
      </c>
      <c r="B5676" t="s">
        <v>12442</v>
      </c>
    </row>
    <row r="5677" spans="1:2" ht="112" hidden="1" customHeight="1" x14ac:dyDescent="0.25">
      <c r="A5677" t="s">
        <v>12416</v>
      </c>
      <c r="B5677" t="s">
        <v>12443</v>
      </c>
    </row>
    <row r="5678" spans="1:2" ht="112" hidden="1" customHeight="1" x14ac:dyDescent="0.25">
      <c r="A5678" t="s">
        <v>12417</v>
      </c>
      <c r="B5678" t="s">
        <v>12444</v>
      </c>
    </row>
    <row r="5679" spans="1:2" ht="112" hidden="1" customHeight="1" x14ac:dyDescent="0.25">
      <c r="A5679" t="s">
        <v>12418</v>
      </c>
      <c r="B5679" t="s">
        <v>12445</v>
      </c>
    </row>
    <row r="5680" spans="1:2" ht="112" hidden="1" customHeight="1" x14ac:dyDescent="0.25">
      <c r="A5680" t="s">
        <v>12419</v>
      </c>
      <c r="B5680" t="s">
        <v>12446</v>
      </c>
    </row>
    <row r="5681" spans="1:2" ht="112" hidden="1" customHeight="1" x14ac:dyDescent="0.25">
      <c r="A5681" t="s">
        <v>12420</v>
      </c>
      <c r="B5681" t="s">
        <v>12447</v>
      </c>
    </row>
    <row r="5682" spans="1:2" ht="112" hidden="1" customHeight="1" x14ac:dyDescent="0.25">
      <c r="A5682" t="s">
        <v>12421</v>
      </c>
      <c r="B5682" t="s">
        <v>12448</v>
      </c>
    </row>
    <row r="5683" spans="1:2" ht="112" hidden="1" customHeight="1" x14ac:dyDescent="0.25">
      <c r="A5683" t="s">
        <v>12422</v>
      </c>
      <c r="B5683" t="s">
        <v>12449</v>
      </c>
    </row>
    <row r="5684" spans="1:2" ht="112" hidden="1" customHeight="1" x14ac:dyDescent="0.25">
      <c r="A5684" t="s">
        <v>12423</v>
      </c>
      <c r="B5684" t="s">
        <v>12450</v>
      </c>
    </row>
    <row r="5685" spans="1:2" ht="112" hidden="1" customHeight="1" x14ac:dyDescent="0.25">
      <c r="A5685" t="s">
        <v>12424</v>
      </c>
      <c r="B5685" s="56" t="s">
        <v>12451</v>
      </c>
    </row>
    <row r="5686" spans="1:2" ht="112" hidden="1" customHeight="1" x14ac:dyDescent="0.25">
      <c r="A5686" t="s">
        <v>12425</v>
      </c>
      <c r="B5686" t="s">
        <v>12452</v>
      </c>
    </row>
    <row r="5687" spans="1:2" ht="112" hidden="1" customHeight="1" x14ac:dyDescent="0.25">
      <c r="A5687" t="s">
        <v>12426</v>
      </c>
      <c r="B5687" s="56" t="s">
        <v>12453</v>
      </c>
    </row>
    <row r="5688" spans="1:2" ht="112" hidden="1" customHeight="1" x14ac:dyDescent="0.25">
      <c r="A5688" t="s">
        <v>12427</v>
      </c>
      <c r="B5688" t="s">
        <v>12454</v>
      </c>
    </row>
    <row r="5689" spans="1:2" ht="112" hidden="1" customHeight="1" x14ac:dyDescent="0.25">
      <c r="A5689" t="s">
        <v>12428</v>
      </c>
      <c r="B5689" t="s">
        <v>12455</v>
      </c>
    </row>
    <row r="5690" spans="1:2" ht="112" hidden="1" customHeight="1" x14ac:dyDescent="0.25">
      <c r="A5690" t="s">
        <v>12429</v>
      </c>
      <c r="B5690" s="56" t="s">
        <v>12456</v>
      </c>
    </row>
    <row r="5691" spans="1:2" ht="112" hidden="1" customHeight="1" x14ac:dyDescent="0.25">
      <c r="A5691" t="s">
        <v>12430</v>
      </c>
      <c r="B5691" t="s">
        <v>12457</v>
      </c>
    </row>
    <row r="5692" spans="1:2" ht="112" hidden="1" customHeight="1" x14ac:dyDescent="0.25">
      <c r="A5692" t="s">
        <v>12431</v>
      </c>
      <c r="B5692" t="s">
        <v>12458</v>
      </c>
    </row>
    <row r="5693" spans="1:2" ht="112" hidden="1" customHeight="1" x14ac:dyDescent="0.25">
      <c r="A5693" t="s">
        <v>12432</v>
      </c>
      <c r="B5693" t="s">
        <v>12459</v>
      </c>
    </row>
    <row r="5694" spans="1:2" ht="112" hidden="1" customHeight="1" x14ac:dyDescent="0.25">
      <c r="A5694" t="s">
        <v>12433</v>
      </c>
      <c r="B5694" t="s">
        <v>12460</v>
      </c>
    </row>
    <row r="5695" spans="1:2" ht="112" hidden="1" customHeight="1" x14ac:dyDescent="0.25">
      <c r="A5695" t="s">
        <v>12434</v>
      </c>
      <c r="B5695" t="s">
        <v>12461</v>
      </c>
    </row>
    <row r="5696" spans="1:2" ht="112" hidden="1" customHeight="1" x14ac:dyDescent="0.25">
      <c r="A5696" t="s">
        <v>12435</v>
      </c>
      <c r="B5696" t="s">
        <v>12462</v>
      </c>
    </row>
    <row r="5697" spans="1:2" ht="112" hidden="1" customHeight="1" x14ac:dyDescent="0.25">
      <c r="A5697" t="s">
        <v>10655</v>
      </c>
      <c r="B5697" t="s">
        <v>10656</v>
      </c>
    </row>
    <row r="5698" spans="1:2" ht="112" hidden="1" customHeight="1" x14ac:dyDescent="0.25">
      <c r="A5698" t="s">
        <v>10658</v>
      </c>
      <c r="B5698" t="s">
        <v>10665</v>
      </c>
    </row>
    <row r="5699" spans="1:2" ht="112" hidden="1" customHeight="1" x14ac:dyDescent="0.25">
      <c r="A5699" t="s">
        <v>10659</v>
      </c>
      <c r="B5699" t="s">
        <v>10666</v>
      </c>
    </row>
    <row r="5700" spans="1:2" ht="112" hidden="1" customHeight="1" x14ac:dyDescent="0.25">
      <c r="A5700" t="s">
        <v>10660</v>
      </c>
      <c r="B5700" t="s">
        <v>10667</v>
      </c>
    </row>
    <row r="5701" spans="1:2" ht="112" hidden="1" customHeight="1" x14ac:dyDescent="0.25">
      <c r="A5701" t="s">
        <v>10661</v>
      </c>
      <c r="B5701" t="s">
        <v>10668</v>
      </c>
    </row>
    <row r="5702" spans="1:2" ht="112" hidden="1" customHeight="1" x14ac:dyDescent="0.25">
      <c r="A5702" t="s">
        <v>10662</v>
      </c>
      <c r="B5702" t="s">
        <v>10669</v>
      </c>
    </row>
    <row r="5703" spans="1:2" ht="112" hidden="1" customHeight="1" x14ac:dyDescent="0.25">
      <c r="A5703" t="s">
        <v>10663</v>
      </c>
      <c r="B5703" t="s">
        <v>10670</v>
      </c>
    </row>
    <row r="5704" spans="1:2" ht="112" hidden="1" customHeight="1" x14ac:dyDescent="0.25">
      <c r="A5704" t="s">
        <v>10664</v>
      </c>
      <c r="B5704" t="s">
        <v>10671</v>
      </c>
    </row>
    <row r="5705" spans="1:2" ht="112" hidden="1" customHeight="1" x14ac:dyDescent="0.25">
      <c r="A5705" t="s">
        <v>10672</v>
      </c>
      <c r="B5705" t="s">
        <v>10673</v>
      </c>
    </row>
    <row r="5706" spans="1:2" ht="112" hidden="1" customHeight="1" x14ac:dyDescent="0.25">
      <c r="A5706" t="s">
        <v>10655</v>
      </c>
      <c r="B5706" t="s">
        <v>10656</v>
      </c>
    </row>
    <row r="5707" spans="1:2" ht="112" hidden="1" customHeight="1" x14ac:dyDescent="0.25">
      <c r="A5707" t="s">
        <v>10674</v>
      </c>
      <c r="B5707" t="s">
        <v>10680</v>
      </c>
    </row>
    <row r="5708" spans="1:2" ht="112" hidden="1" customHeight="1" x14ac:dyDescent="0.25">
      <c r="A5708" t="s">
        <v>10652</v>
      </c>
      <c r="B5708" t="s">
        <v>10681</v>
      </c>
    </row>
    <row r="5709" spans="1:2" ht="112" hidden="1" customHeight="1" x14ac:dyDescent="0.25">
      <c r="A5709" t="s">
        <v>10675</v>
      </c>
      <c r="B5709" t="s">
        <v>10682</v>
      </c>
    </row>
    <row r="5710" spans="1:2" ht="112" hidden="1" customHeight="1" x14ac:dyDescent="0.25">
      <c r="A5710" t="s">
        <v>10676</v>
      </c>
      <c r="B5710" t="s">
        <v>10683</v>
      </c>
    </row>
    <row r="5711" spans="1:2" ht="112" hidden="1" customHeight="1" x14ac:dyDescent="0.25">
      <c r="A5711" t="s">
        <v>10677</v>
      </c>
      <c r="B5711" t="s">
        <v>10684</v>
      </c>
    </row>
    <row r="5712" spans="1:2" ht="112" hidden="1" customHeight="1" x14ac:dyDescent="0.25">
      <c r="A5712" t="s">
        <v>10678</v>
      </c>
      <c r="B5712" t="s">
        <v>10685</v>
      </c>
    </row>
    <row r="5713" spans="1:2" ht="112" hidden="1" customHeight="1" x14ac:dyDescent="0.25">
      <c r="A5713" t="s">
        <v>10679</v>
      </c>
      <c r="B5713" t="s">
        <v>10686</v>
      </c>
    </row>
    <row r="5714" spans="1:2" ht="112" hidden="1" customHeight="1" x14ac:dyDescent="0.25">
      <c r="A5714" t="s">
        <v>10687</v>
      </c>
      <c r="B5714" t="s">
        <v>10689</v>
      </c>
    </row>
    <row r="5715" spans="1:2" ht="112" hidden="1" customHeight="1" x14ac:dyDescent="0.25">
      <c r="A5715" t="s">
        <v>10688</v>
      </c>
      <c r="B5715" t="s">
        <v>10690</v>
      </c>
    </row>
    <row r="5716" spans="1:2" ht="112" hidden="1" customHeight="1" x14ac:dyDescent="0.25">
      <c r="A5716" t="s">
        <v>10691</v>
      </c>
      <c r="B5716" t="s">
        <v>10692</v>
      </c>
    </row>
    <row r="5717" spans="1:2" ht="112" hidden="1" customHeight="1" x14ac:dyDescent="0.25">
      <c r="A5717" t="s">
        <v>10693</v>
      </c>
      <c r="B5717" s="56" t="s">
        <v>10700</v>
      </c>
    </row>
    <row r="5718" spans="1:2" ht="112" hidden="1" customHeight="1" x14ac:dyDescent="0.25">
      <c r="A5718" t="s">
        <v>10694</v>
      </c>
      <c r="B5718" t="s">
        <v>10697</v>
      </c>
    </row>
    <row r="5719" spans="1:2" ht="112" hidden="1" customHeight="1" x14ac:dyDescent="0.25">
      <c r="A5719" t="s">
        <v>10695</v>
      </c>
      <c r="B5719" t="s">
        <v>10698</v>
      </c>
    </row>
    <row r="5720" spans="1:2" ht="112" hidden="1" customHeight="1" x14ac:dyDescent="0.25">
      <c r="A5720" t="s">
        <v>10696</v>
      </c>
      <c r="B5720" t="s">
        <v>10699</v>
      </c>
    </row>
    <row r="5721" spans="1:2" ht="112" hidden="1" customHeight="1" x14ac:dyDescent="0.25">
      <c r="A5721" t="s">
        <v>10701</v>
      </c>
      <c r="B5721" t="s">
        <v>10703</v>
      </c>
    </row>
    <row r="5722" spans="1:2" ht="112" hidden="1" customHeight="1" x14ac:dyDescent="0.25">
      <c r="A5722" t="s">
        <v>10702</v>
      </c>
      <c r="B5722" s="56" t="s">
        <v>10704</v>
      </c>
    </row>
    <row r="5723" spans="1:2" ht="112" hidden="1" customHeight="1" x14ac:dyDescent="0.25">
      <c r="A5723" t="s">
        <v>9980</v>
      </c>
      <c r="B5723" t="s">
        <v>10705</v>
      </c>
    </row>
    <row r="5724" spans="1:2" ht="112" hidden="1" customHeight="1" x14ac:dyDescent="0.25">
      <c r="A5724" t="s">
        <v>10706</v>
      </c>
      <c r="B5724" t="s">
        <v>10707</v>
      </c>
    </row>
    <row r="5725" spans="1:2" ht="112" hidden="1" customHeight="1" x14ac:dyDescent="0.25">
      <c r="A5725" t="s">
        <v>10708</v>
      </c>
      <c r="B5725" t="s">
        <v>10710</v>
      </c>
    </row>
    <row r="5726" spans="1:2" ht="112" hidden="1" customHeight="1" x14ac:dyDescent="0.25">
      <c r="A5726" t="s">
        <v>10709</v>
      </c>
      <c r="B5726" t="s">
        <v>10711</v>
      </c>
    </row>
    <row r="5727" spans="1:2" ht="112" hidden="1" customHeight="1" x14ac:dyDescent="0.25">
      <c r="A5727" t="s">
        <v>10712</v>
      </c>
      <c r="B5727" t="s">
        <v>10713</v>
      </c>
    </row>
    <row r="5728" spans="1:2" ht="112" hidden="1" customHeight="1" x14ac:dyDescent="0.25">
      <c r="A5728" t="s">
        <v>10714</v>
      </c>
      <c r="B5728" t="s">
        <v>10715</v>
      </c>
    </row>
    <row r="5729" spans="1:2" ht="112" hidden="1" customHeight="1" x14ac:dyDescent="0.25">
      <c r="A5729" t="s">
        <v>10716</v>
      </c>
      <c r="B5729" t="s">
        <v>10717</v>
      </c>
    </row>
    <row r="5730" spans="1:2" ht="112" hidden="1" customHeight="1" x14ac:dyDescent="0.25">
      <c r="A5730" t="s">
        <v>10718</v>
      </c>
      <c r="B5730" t="s">
        <v>10719</v>
      </c>
    </row>
    <row r="5731" spans="1:2" ht="112" hidden="1" customHeight="1" x14ac:dyDescent="0.25">
      <c r="A5731" t="s">
        <v>10720</v>
      </c>
      <c r="B5731" t="s">
        <v>10734</v>
      </c>
    </row>
    <row r="5732" spans="1:2" ht="112" hidden="1" customHeight="1" x14ac:dyDescent="0.25">
      <c r="A5732" t="s">
        <v>10721</v>
      </c>
      <c r="B5732" t="s">
        <v>10735</v>
      </c>
    </row>
    <row r="5733" spans="1:2" ht="112" hidden="1" customHeight="1" x14ac:dyDescent="0.25">
      <c r="A5733" t="s">
        <v>10722</v>
      </c>
      <c r="B5733" s="56" t="s">
        <v>11226</v>
      </c>
    </row>
    <row r="5734" spans="1:2" ht="112" hidden="1" customHeight="1" x14ac:dyDescent="0.25">
      <c r="A5734" t="s">
        <v>10723</v>
      </c>
      <c r="B5734" t="s">
        <v>10736</v>
      </c>
    </row>
    <row r="5735" spans="1:2" ht="112" hidden="1" customHeight="1" x14ac:dyDescent="0.25">
      <c r="A5735" t="s">
        <v>10724</v>
      </c>
      <c r="B5735" t="s">
        <v>10737</v>
      </c>
    </row>
    <row r="5736" spans="1:2" ht="112" hidden="1" customHeight="1" x14ac:dyDescent="0.25">
      <c r="A5736" t="s">
        <v>10725</v>
      </c>
      <c r="B5736" t="s">
        <v>10738</v>
      </c>
    </row>
    <row r="5737" spans="1:2" ht="112" hidden="1" customHeight="1" x14ac:dyDescent="0.25">
      <c r="A5737" t="s">
        <v>10726</v>
      </c>
      <c r="B5737" t="s">
        <v>10739</v>
      </c>
    </row>
    <row r="5738" spans="1:2" ht="112" hidden="1" customHeight="1" x14ac:dyDescent="0.25">
      <c r="A5738" t="s">
        <v>10727</v>
      </c>
      <c r="B5738" s="56" t="s">
        <v>11202</v>
      </c>
    </row>
    <row r="5739" spans="1:2" ht="112" hidden="1" customHeight="1" x14ac:dyDescent="0.25">
      <c r="A5739" t="s">
        <v>10728</v>
      </c>
      <c r="B5739" s="56" t="s">
        <v>11203</v>
      </c>
    </row>
    <row r="5740" spans="1:2" ht="112" hidden="1" customHeight="1" x14ac:dyDescent="0.25">
      <c r="A5740" t="s">
        <v>10729</v>
      </c>
      <c r="B5740" t="s">
        <v>10740</v>
      </c>
    </row>
    <row r="5741" spans="1:2" ht="112" hidden="1" customHeight="1" x14ac:dyDescent="0.25">
      <c r="A5741" t="s">
        <v>10730</v>
      </c>
      <c r="B5741" t="s">
        <v>10741</v>
      </c>
    </row>
    <row r="5742" spans="1:2" ht="112" hidden="1" customHeight="1" x14ac:dyDescent="0.25">
      <c r="A5742" t="s">
        <v>10731</v>
      </c>
      <c r="B5742" t="s">
        <v>10742</v>
      </c>
    </row>
    <row r="5743" spans="1:2" ht="112" hidden="1" customHeight="1" x14ac:dyDescent="0.25">
      <c r="A5743" t="s">
        <v>10732</v>
      </c>
      <c r="B5743" t="s">
        <v>10743</v>
      </c>
    </row>
    <row r="5744" spans="1:2" ht="112" hidden="1" customHeight="1" x14ac:dyDescent="0.25">
      <c r="A5744" t="s">
        <v>10733</v>
      </c>
      <c r="B5744" t="s">
        <v>10744</v>
      </c>
    </row>
    <row r="5745" spans="1:2" ht="112" hidden="1" customHeight="1" x14ac:dyDescent="0.25">
      <c r="A5745" t="s">
        <v>10748</v>
      </c>
      <c r="B5745" t="s">
        <v>10749</v>
      </c>
    </row>
    <row r="5746" spans="1:2" ht="112" hidden="1" customHeight="1" x14ac:dyDescent="0.25">
      <c r="A5746" t="s">
        <v>10745</v>
      </c>
      <c r="B5746" t="s">
        <v>10750</v>
      </c>
    </row>
    <row r="5747" spans="1:2" ht="112" hidden="1" customHeight="1" x14ac:dyDescent="0.25">
      <c r="A5747" t="s">
        <v>10746</v>
      </c>
      <c r="B5747" s="56" t="s">
        <v>10990</v>
      </c>
    </row>
    <row r="5748" spans="1:2" ht="112" hidden="1" customHeight="1" x14ac:dyDescent="0.25">
      <c r="A5748" t="s">
        <v>10747</v>
      </c>
      <c r="B5748" t="s">
        <v>10751</v>
      </c>
    </row>
    <row r="5749" spans="1:2" ht="112" hidden="1" customHeight="1" x14ac:dyDescent="0.25">
      <c r="A5749" t="s">
        <v>10752</v>
      </c>
      <c r="B5749" s="56" t="s">
        <v>12408</v>
      </c>
    </row>
    <row r="5750" spans="1:2" ht="112" hidden="1" customHeight="1" x14ac:dyDescent="0.25">
      <c r="A5750" t="s">
        <v>10753</v>
      </c>
      <c r="B5750" t="s">
        <v>10754</v>
      </c>
    </row>
    <row r="5751" spans="1:2" ht="112" hidden="1" customHeight="1" x14ac:dyDescent="0.25">
      <c r="A5751" t="s">
        <v>10755</v>
      </c>
      <c r="B5751" t="s">
        <v>10758</v>
      </c>
    </row>
    <row r="5752" spans="1:2" ht="112" hidden="1" customHeight="1" x14ac:dyDescent="0.25">
      <c r="A5752" t="s">
        <v>10756</v>
      </c>
      <c r="B5752" t="s">
        <v>10759</v>
      </c>
    </row>
    <row r="5753" spans="1:2" ht="112" hidden="1" customHeight="1" x14ac:dyDescent="0.25">
      <c r="A5753" t="s">
        <v>10757</v>
      </c>
      <c r="B5753" t="s">
        <v>10760</v>
      </c>
    </row>
    <row r="5754" spans="1:2" ht="112" hidden="1" customHeight="1" x14ac:dyDescent="0.25">
      <c r="A5754" t="s">
        <v>10762</v>
      </c>
      <c r="B5754" s="56" t="s">
        <v>10994</v>
      </c>
    </row>
    <row r="5755" spans="1:2" ht="112" hidden="1" customHeight="1" x14ac:dyDescent="0.25">
      <c r="A5755" t="s">
        <v>10766</v>
      </c>
      <c r="B5755" t="s">
        <v>10767</v>
      </c>
    </row>
    <row r="5756" spans="1:2" ht="112" hidden="1" customHeight="1" x14ac:dyDescent="0.25">
      <c r="A5756" t="s">
        <v>10763</v>
      </c>
      <c r="B5756" t="s">
        <v>10768</v>
      </c>
    </row>
    <row r="5757" spans="1:2" ht="112" hidden="1" customHeight="1" x14ac:dyDescent="0.25">
      <c r="A5757" t="s">
        <v>10764</v>
      </c>
      <c r="B5757" t="s">
        <v>10769</v>
      </c>
    </row>
    <row r="5758" spans="1:2" ht="112" hidden="1" customHeight="1" x14ac:dyDescent="0.25">
      <c r="A5758" t="s">
        <v>10765</v>
      </c>
      <c r="B5758" t="s">
        <v>10770</v>
      </c>
    </row>
    <row r="5759" spans="1:2" ht="112" hidden="1" customHeight="1" x14ac:dyDescent="0.25">
      <c r="A5759" t="s">
        <v>10771</v>
      </c>
      <c r="B5759" t="s">
        <v>10772</v>
      </c>
    </row>
    <row r="5760" spans="1:2" ht="112" hidden="1" customHeight="1" x14ac:dyDescent="0.25">
      <c r="A5760" t="s">
        <v>10775</v>
      </c>
      <c r="B5760" t="s">
        <v>10776</v>
      </c>
    </row>
    <row r="5761" spans="1:2" ht="112" hidden="1" customHeight="1" x14ac:dyDescent="0.25">
      <c r="A5761" t="s">
        <v>10777</v>
      </c>
      <c r="B5761" t="s">
        <v>10784</v>
      </c>
    </row>
    <row r="5762" spans="1:2" ht="112" hidden="1" customHeight="1" x14ac:dyDescent="0.25">
      <c r="A5762" t="s">
        <v>10778</v>
      </c>
      <c r="B5762" t="s">
        <v>10785</v>
      </c>
    </row>
    <row r="5763" spans="1:2" ht="112" hidden="1" customHeight="1" x14ac:dyDescent="0.25">
      <c r="A5763" t="s">
        <v>10779</v>
      </c>
      <c r="B5763" t="s">
        <v>10786</v>
      </c>
    </row>
    <row r="5764" spans="1:2" ht="112" hidden="1" customHeight="1" x14ac:dyDescent="0.25">
      <c r="A5764" t="s">
        <v>10780</v>
      </c>
      <c r="B5764" t="s">
        <v>10787</v>
      </c>
    </row>
    <row r="5765" spans="1:2" ht="112" hidden="1" customHeight="1" x14ac:dyDescent="0.25">
      <c r="A5765" t="s">
        <v>10781</v>
      </c>
      <c r="B5765" t="s">
        <v>10788</v>
      </c>
    </row>
    <row r="5766" spans="1:2" ht="112" hidden="1" customHeight="1" x14ac:dyDescent="0.25">
      <c r="A5766" t="s">
        <v>10782</v>
      </c>
      <c r="B5766" t="s">
        <v>10789</v>
      </c>
    </row>
    <row r="5767" spans="1:2" ht="112" hidden="1" customHeight="1" x14ac:dyDescent="0.25">
      <c r="A5767" t="s">
        <v>10783</v>
      </c>
      <c r="B5767" t="s">
        <v>10790</v>
      </c>
    </row>
    <row r="5768" spans="1:2" ht="112" hidden="1" customHeight="1" x14ac:dyDescent="0.25">
      <c r="A5768" t="s">
        <v>10791</v>
      </c>
      <c r="B5768" t="s">
        <v>10792</v>
      </c>
    </row>
    <row r="5769" spans="1:2" ht="112" hidden="1" customHeight="1" x14ac:dyDescent="0.25">
      <c r="A5769" t="s">
        <v>10793</v>
      </c>
      <c r="B5769" t="s">
        <v>10794</v>
      </c>
    </row>
    <row r="5770" spans="1:2" ht="112" hidden="1" customHeight="1" x14ac:dyDescent="0.25">
      <c r="A5770" t="s">
        <v>10795</v>
      </c>
      <c r="B5770" t="s">
        <v>10796</v>
      </c>
    </row>
    <row r="5771" spans="1:2" ht="112" hidden="1" customHeight="1" x14ac:dyDescent="0.25">
      <c r="A5771" t="s">
        <v>10799</v>
      </c>
      <c r="B5771" s="56" t="s">
        <v>10800</v>
      </c>
    </row>
    <row r="5772" spans="1:2" ht="112" hidden="1" customHeight="1" x14ac:dyDescent="0.25">
      <c r="A5772" t="s">
        <v>10805</v>
      </c>
      <c r="B5772" t="s">
        <v>10807</v>
      </c>
    </row>
    <row r="5773" spans="1:2" ht="112" hidden="1" customHeight="1" x14ac:dyDescent="0.25">
      <c r="A5773" t="s">
        <v>10806</v>
      </c>
      <c r="B5773" t="s">
        <v>10808</v>
      </c>
    </row>
    <row r="5774" spans="1:2" ht="112" hidden="1" customHeight="1" x14ac:dyDescent="0.25">
      <c r="A5774" t="s">
        <v>10801</v>
      </c>
      <c r="B5774" t="s">
        <v>10809</v>
      </c>
    </row>
    <row r="5775" spans="1:2" ht="112" hidden="1" customHeight="1" x14ac:dyDescent="0.25">
      <c r="A5775" t="s">
        <v>10802</v>
      </c>
      <c r="B5775" t="s">
        <v>10810</v>
      </c>
    </row>
    <row r="5776" spans="1:2" ht="112" hidden="1" customHeight="1" x14ac:dyDescent="0.25">
      <c r="A5776" t="s">
        <v>10803</v>
      </c>
      <c r="B5776" t="s">
        <v>10811</v>
      </c>
    </row>
    <row r="5777" spans="1:2" ht="112" hidden="1" customHeight="1" x14ac:dyDescent="0.25">
      <c r="A5777" t="s">
        <v>10804</v>
      </c>
      <c r="B5777" t="s">
        <v>10812</v>
      </c>
    </row>
    <row r="5778" spans="1:2" ht="112" hidden="1" customHeight="1" x14ac:dyDescent="0.25">
      <c r="A5778" t="s">
        <v>10813</v>
      </c>
      <c r="B5778" t="s">
        <v>10815</v>
      </c>
    </row>
    <row r="5779" spans="1:2" ht="112" hidden="1" customHeight="1" x14ac:dyDescent="0.25">
      <c r="A5779" t="s">
        <v>10814</v>
      </c>
      <c r="B5779" t="s">
        <v>10816</v>
      </c>
    </row>
    <row r="5780" spans="1:2" ht="112" hidden="1" customHeight="1" x14ac:dyDescent="0.25">
      <c r="A5780" t="s">
        <v>10817</v>
      </c>
      <c r="B5780" t="s">
        <v>10818</v>
      </c>
    </row>
    <row r="5781" spans="1:2" ht="112" hidden="1" customHeight="1" x14ac:dyDescent="0.25">
      <c r="A5781" t="s">
        <v>9333</v>
      </c>
      <c r="B5781" t="s">
        <v>9339</v>
      </c>
    </row>
    <row r="5782" spans="1:2" ht="112" hidden="1" customHeight="1" x14ac:dyDescent="0.25">
      <c r="A5782" t="s">
        <v>9334</v>
      </c>
      <c r="B5782" t="s">
        <v>9340</v>
      </c>
    </row>
    <row r="5783" spans="1:2" ht="112" hidden="1" customHeight="1" x14ac:dyDescent="0.25">
      <c r="A5783" t="s">
        <v>9335</v>
      </c>
      <c r="B5783" t="s">
        <v>9341</v>
      </c>
    </row>
    <row r="5784" spans="1:2" ht="112" hidden="1" customHeight="1" x14ac:dyDescent="0.25">
      <c r="A5784" t="s">
        <v>10821</v>
      </c>
      <c r="B5784" t="s">
        <v>10824</v>
      </c>
    </row>
    <row r="5785" spans="1:2" ht="112" hidden="1" customHeight="1" x14ac:dyDescent="0.25">
      <c r="A5785" t="s">
        <v>10822</v>
      </c>
      <c r="B5785" t="s">
        <v>10825</v>
      </c>
    </row>
    <row r="5786" spans="1:2" ht="112" hidden="1" customHeight="1" x14ac:dyDescent="0.25">
      <c r="A5786" t="s">
        <v>10823</v>
      </c>
      <c r="B5786" t="s">
        <v>10826</v>
      </c>
    </row>
    <row r="5787" spans="1:2" ht="112" hidden="1" customHeight="1" x14ac:dyDescent="0.25">
      <c r="A5787" t="s">
        <v>10827</v>
      </c>
      <c r="B5787" t="s">
        <v>10830</v>
      </c>
    </row>
    <row r="5788" spans="1:2" ht="112" hidden="1" customHeight="1" x14ac:dyDescent="0.25">
      <c r="A5788" t="s">
        <v>10828</v>
      </c>
      <c r="B5788" t="s">
        <v>10831</v>
      </c>
    </row>
    <row r="5789" spans="1:2" ht="112" hidden="1" customHeight="1" x14ac:dyDescent="0.25">
      <c r="A5789" t="s">
        <v>10829</v>
      </c>
      <c r="B5789" t="s">
        <v>10832</v>
      </c>
    </row>
    <row r="5790" spans="1:2" ht="112" hidden="1" customHeight="1" x14ac:dyDescent="0.25">
      <c r="A5790" t="s">
        <v>10833</v>
      </c>
      <c r="B5790" t="s">
        <v>10835</v>
      </c>
    </row>
    <row r="5791" spans="1:2" ht="112" hidden="1" customHeight="1" x14ac:dyDescent="0.25">
      <c r="A5791" t="s">
        <v>10834</v>
      </c>
      <c r="B5791" t="s">
        <v>10836</v>
      </c>
    </row>
    <row r="5792" spans="1:2" ht="112" hidden="1" customHeight="1" x14ac:dyDescent="0.25">
      <c r="A5792" t="s">
        <v>10837</v>
      </c>
      <c r="B5792" t="s">
        <v>10841</v>
      </c>
    </row>
    <row r="5793" spans="1:2" ht="112" hidden="1" customHeight="1" x14ac:dyDescent="0.25">
      <c r="A5793" t="s">
        <v>10838</v>
      </c>
      <c r="B5793" t="s">
        <v>10842</v>
      </c>
    </row>
    <row r="5794" spans="1:2" ht="112" hidden="1" customHeight="1" x14ac:dyDescent="0.25">
      <c r="A5794" t="s">
        <v>10839</v>
      </c>
      <c r="B5794" t="s">
        <v>10843</v>
      </c>
    </row>
    <row r="5795" spans="1:2" ht="112" hidden="1" customHeight="1" x14ac:dyDescent="0.25">
      <c r="A5795" t="s">
        <v>10840</v>
      </c>
      <c r="B5795" t="s">
        <v>10844</v>
      </c>
    </row>
    <row r="5796" spans="1:2" ht="112" hidden="1" customHeight="1" x14ac:dyDescent="0.25">
      <c r="A5796" t="s">
        <v>10845</v>
      </c>
      <c r="B5796" t="s">
        <v>10846</v>
      </c>
    </row>
    <row r="5797" spans="1:2" ht="112" hidden="1" customHeight="1" x14ac:dyDescent="0.25">
      <c r="A5797" t="s">
        <v>10847</v>
      </c>
      <c r="B5797" t="s">
        <v>10849</v>
      </c>
    </row>
    <row r="5798" spans="1:2" ht="112" hidden="1" customHeight="1" x14ac:dyDescent="0.25">
      <c r="A5798" t="s">
        <v>10848</v>
      </c>
      <c r="B5798" t="s">
        <v>10850</v>
      </c>
    </row>
    <row r="5799" spans="1:2" ht="112" hidden="1" customHeight="1" x14ac:dyDescent="0.25">
      <c r="A5799" t="s">
        <v>10851</v>
      </c>
      <c r="B5799" t="s">
        <v>10858</v>
      </c>
    </row>
    <row r="5800" spans="1:2" ht="112" hidden="1" customHeight="1" x14ac:dyDescent="0.25">
      <c r="A5800" t="s">
        <v>10852</v>
      </c>
      <c r="B5800" t="s">
        <v>10859</v>
      </c>
    </row>
    <row r="5801" spans="1:2" ht="112" hidden="1" customHeight="1" x14ac:dyDescent="0.25">
      <c r="A5801" t="s">
        <v>10853</v>
      </c>
      <c r="B5801" t="s">
        <v>10860</v>
      </c>
    </row>
    <row r="5802" spans="1:2" ht="112" hidden="1" customHeight="1" x14ac:dyDescent="0.25">
      <c r="A5802" t="s">
        <v>10854</v>
      </c>
      <c r="B5802" t="s">
        <v>10861</v>
      </c>
    </row>
    <row r="5803" spans="1:2" ht="112" hidden="1" customHeight="1" x14ac:dyDescent="0.25">
      <c r="A5803" t="s">
        <v>10855</v>
      </c>
      <c r="B5803" t="s">
        <v>10862</v>
      </c>
    </row>
    <row r="5804" spans="1:2" ht="112" hidden="1" customHeight="1" x14ac:dyDescent="0.25">
      <c r="A5804" t="s">
        <v>10856</v>
      </c>
      <c r="B5804" t="s">
        <v>10863</v>
      </c>
    </row>
    <row r="5805" spans="1:2" ht="112" hidden="1" customHeight="1" x14ac:dyDescent="0.25">
      <c r="A5805" t="s">
        <v>10857</v>
      </c>
      <c r="B5805" t="s">
        <v>10864</v>
      </c>
    </row>
    <row r="5806" spans="1:2" ht="112" hidden="1" customHeight="1" x14ac:dyDescent="0.25">
      <c r="A5806" t="s">
        <v>10821</v>
      </c>
      <c r="B5806" t="s">
        <v>10824</v>
      </c>
    </row>
    <row r="5807" spans="1:2" ht="112" hidden="1" customHeight="1" x14ac:dyDescent="0.25">
      <c r="A5807" t="s">
        <v>10822</v>
      </c>
      <c r="B5807" t="s">
        <v>10825</v>
      </c>
    </row>
    <row r="5808" spans="1:2" ht="112" hidden="1" customHeight="1" x14ac:dyDescent="0.25">
      <c r="A5808" t="s">
        <v>10823</v>
      </c>
      <c r="B5808" t="s">
        <v>10826</v>
      </c>
    </row>
    <row r="5809" spans="1:2" ht="112" hidden="1" customHeight="1" x14ac:dyDescent="0.25">
      <c r="A5809" t="s">
        <v>10865</v>
      </c>
      <c r="B5809" t="s">
        <v>10909</v>
      </c>
    </row>
    <row r="5810" spans="1:2" ht="112" hidden="1" customHeight="1" x14ac:dyDescent="0.25">
      <c r="A5810" t="s">
        <v>10866</v>
      </c>
      <c r="B5810" t="s">
        <v>10910</v>
      </c>
    </row>
    <row r="5811" spans="1:2" ht="112" hidden="1" customHeight="1" x14ac:dyDescent="0.25">
      <c r="A5811" t="s">
        <v>10867</v>
      </c>
      <c r="B5811" t="s">
        <v>10911</v>
      </c>
    </row>
    <row r="5812" spans="1:2" ht="112" hidden="1" customHeight="1" x14ac:dyDescent="0.25">
      <c r="A5812" t="s">
        <v>10868</v>
      </c>
      <c r="B5812" t="s">
        <v>10912</v>
      </c>
    </row>
    <row r="5813" spans="1:2" ht="112" hidden="1" customHeight="1" x14ac:dyDescent="0.25">
      <c r="A5813" t="s">
        <v>10869</v>
      </c>
      <c r="B5813" t="s">
        <v>10913</v>
      </c>
    </row>
    <row r="5814" spans="1:2" ht="112" hidden="1" customHeight="1" x14ac:dyDescent="0.25">
      <c r="A5814" t="s">
        <v>10870</v>
      </c>
      <c r="B5814" t="s">
        <v>10914</v>
      </c>
    </row>
    <row r="5815" spans="1:2" ht="112" hidden="1" customHeight="1" x14ac:dyDescent="0.25">
      <c r="A5815" t="s">
        <v>10871</v>
      </c>
      <c r="B5815" t="s">
        <v>10915</v>
      </c>
    </row>
    <row r="5816" spans="1:2" ht="112" hidden="1" customHeight="1" x14ac:dyDescent="0.25">
      <c r="A5816" t="s">
        <v>10872</v>
      </c>
      <c r="B5816" t="s">
        <v>10916</v>
      </c>
    </row>
    <row r="5817" spans="1:2" ht="112" hidden="1" customHeight="1" x14ac:dyDescent="0.25">
      <c r="A5817" t="s">
        <v>10873</v>
      </c>
      <c r="B5817" t="s">
        <v>10917</v>
      </c>
    </row>
    <row r="5818" spans="1:2" ht="112" hidden="1" customHeight="1" x14ac:dyDescent="0.25">
      <c r="A5818" t="s">
        <v>10874</v>
      </c>
      <c r="B5818" s="56" t="s">
        <v>11204</v>
      </c>
    </row>
    <row r="5819" spans="1:2" ht="112" hidden="1" customHeight="1" x14ac:dyDescent="0.25">
      <c r="A5819" t="s">
        <v>10875</v>
      </c>
      <c r="B5819" s="56" t="s">
        <v>11205</v>
      </c>
    </row>
    <row r="5820" spans="1:2" ht="112" hidden="1" customHeight="1" x14ac:dyDescent="0.25">
      <c r="A5820" t="s">
        <v>10876</v>
      </c>
      <c r="B5820" s="56" t="s">
        <v>11206</v>
      </c>
    </row>
    <row r="5821" spans="1:2" ht="112" hidden="1" customHeight="1" x14ac:dyDescent="0.25">
      <c r="A5821" t="s">
        <v>10877</v>
      </c>
      <c r="B5821" s="56" t="s">
        <v>11207</v>
      </c>
    </row>
    <row r="5822" spans="1:2" ht="112" hidden="1" customHeight="1" x14ac:dyDescent="0.25">
      <c r="A5822" t="s">
        <v>10878</v>
      </c>
      <c r="B5822" s="56" t="s">
        <v>11208</v>
      </c>
    </row>
    <row r="5823" spans="1:2" ht="112" hidden="1" customHeight="1" x14ac:dyDescent="0.25">
      <c r="A5823" t="s">
        <v>10879</v>
      </c>
      <c r="B5823" s="56" t="s">
        <v>11209</v>
      </c>
    </row>
    <row r="5824" spans="1:2" ht="112" hidden="1" customHeight="1" x14ac:dyDescent="0.25">
      <c r="A5824" t="s">
        <v>10880</v>
      </c>
      <c r="B5824" s="56" t="s">
        <v>11210</v>
      </c>
    </row>
    <row r="5825" spans="1:2" ht="112" hidden="1" customHeight="1" x14ac:dyDescent="0.25">
      <c r="A5825" t="s">
        <v>10881</v>
      </c>
      <c r="B5825" s="56" t="s">
        <v>11211</v>
      </c>
    </row>
    <row r="5826" spans="1:2" ht="112" hidden="1" customHeight="1" x14ac:dyDescent="0.25">
      <c r="A5826" t="s">
        <v>10882</v>
      </c>
      <c r="B5826" s="56" t="s">
        <v>11212</v>
      </c>
    </row>
    <row r="5827" spans="1:2" ht="112" hidden="1" customHeight="1" x14ac:dyDescent="0.25">
      <c r="A5827" t="s">
        <v>10883</v>
      </c>
      <c r="B5827" s="56" t="s">
        <v>11213</v>
      </c>
    </row>
    <row r="5828" spans="1:2" ht="112" hidden="1" customHeight="1" x14ac:dyDescent="0.25">
      <c r="A5828" t="s">
        <v>10884</v>
      </c>
      <c r="B5828" s="56" t="s">
        <v>11214</v>
      </c>
    </row>
    <row r="5829" spans="1:2" ht="112" hidden="1" customHeight="1" x14ac:dyDescent="0.25">
      <c r="A5829" t="s">
        <v>10885</v>
      </c>
      <c r="B5829" s="56" t="s">
        <v>11215</v>
      </c>
    </row>
    <row r="5830" spans="1:2" ht="112" hidden="1" customHeight="1" x14ac:dyDescent="0.25">
      <c r="A5830" t="s">
        <v>10886</v>
      </c>
      <c r="B5830" s="56" t="s">
        <v>11216</v>
      </c>
    </row>
    <row r="5831" spans="1:2" ht="112" hidden="1" customHeight="1" x14ac:dyDescent="0.25">
      <c r="A5831" t="s">
        <v>10887</v>
      </c>
      <c r="B5831" s="56" t="s">
        <v>11217</v>
      </c>
    </row>
    <row r="5832" spans="1:2" ht="112" hidden="1" customHeight="1" x14ac:dyDescent="0.25">
      <c r="A5832" t="s">
        <v>10888</v>
      </c>
      <c r="B5832" s="56" t="s">
        <v>11218</v>
      </c>
    </row>
    <row r="5833" spans="1:2" ht="112" hidden="1" customHeight="1" x14ac:dyDescent="0.25">
      <c r="A5833" t="s">
        <v>10889</v>
      </c>
      <c r="B5833" t="s">
        <v>10918</v>
      </c>
    </row>
    <row r="5834" spans="1:2" ht="112" hidden="1" customHeight="1" x14ac:dyDescent="0.25">
      <c r="A5834" t="s">
        <v>10890</v>
      </c>
      <c r="B5834" t="s">
        <v>10919</v>
      </c>
    </row>
    <row r="5835" spans="1:2" ht="112" hidden="1" customHeight="1" x14ac:dyDescent="0.25">
      <c r="A5835" t="s">
        <v>10891</v>
      </c>
      <c r="B5835" t="s">
        <v>10920</v>
      </c>
    </row>
    <row r="5836" spans="1:2" ht="112" hidden="1" customHeight="1" x14ac:dyDescent="0.25">
      <c r="A5836" t="s">
        <v>10892</v>
      </c>
      <c r="B5836" t="s">
        <v>10921</v>
      </c>
    </row>
    <row r="5837" spans="1:2" ht="112" hidden="1" customHeight="1" x14ac:dyDescent="0.25">
      <c r="A5837" t="s">
        <v>10893</v>
      </c>
      <c r="B5837" t="s">
        <v>10922</v>
      </c>
    </row>
    <row r="5838" spans="1:2" ht="112" hidden="1" customHeight="1" x14ac:dyDescent="0.25">
      <c r="A5838" t="s">
        <v>10894</v>
      </c>
      <c r="B5838" t="s">
        <v>10923</v>
      </c>
    </row>
    <row r="5839" spans="1:2" ht="112" hidden="1" customHeight="1" x14ac:dyDescent="0.25">
      <c r="A5839" t="s">
        <v>10895</v>
      </c>
      <c r="B5839" t="s">
        <v>10924</v>
      </c>
    </row>
    <row r="5840" spans="1:2" ht="112" hidden="1" customHeight="1" x14ac:dyDescent="0.25">
      <c r="A5840" t="s">
        <v>10896</v>
      </c>
      <c r="B5840" t="s">
        <v>10925</v>
      </c>
    </row>
    <row r="5841" spans="1:2" ht="112" hidden="1" customHeight="1" x14ac:dyDescent="0.25">
      <c r="A5841" t="s">
        <v>10897</v>
      </c>
      <c r="B5841" t="s">
        <v>10926</v>
      </c>
    </row>
    <row r="5842" spans="1:2" ht="112" hidden="1" customHeight="1" x14ac:dyDescent="0.25">
      <c r="A5842" t="s">
        <v>10898</v>
      </c>
      <c r="B5842" t="s">
        <v>10927</v>
      </c>
    </row>
    <row r="5843" spans="1:2" ht="112" hidden="1" customHeight="1" x14ac:dyDescent="0.25">
      <c r="A5843" t="s">
        <v>10899</v>
      </c>
      <c r="B5843" t="s">
        <v>10928</v>
      </c>
    </row>
    <row r="5844" spans="1:2" ht="112" hidden="1" customHeight="1" x14ac:dyDescent="0.25">
      <c r="A5844" t="s">
        <v>10900</v>
      </c>
      <c r="B5844" t="s">
        <v>10929</v>
      </c>
    </row>
    <row r="5845" spans="1:2" ht="112" hidden="1" customHeight="1" x14ac:dyDescent="0.25">
      <c r="A5845" t="s">
        <v>10901</v>
      </c>
      <c r="B5845" t="s">
        <v>10930</v>
      </c>
    </row>
    <row r="5846" spans="1:2" ht="112" hidden="1" customHeight="1" x14ac:dyDescent="0.25">
      <c r="A5846" t="s">
        <v>10902</v>
      </c>
      <c r="B5846" t="s">
        <v>10931</v>
      </c>
    </row>
    <row r="5847" spans="1:2" ht="112" hidden="1" customHeight="1" x14ac:dyDescent="0.25">
      <c r="A5847" t="s">
        <v>10903</v>
      </c>
      <c r="B5847" t="s">
        <v>10932</v>
      </c>
    </row>
    <row r="5848" spans="1:2" ht="112" hidden="1" customHeight="1" x14ac:dyDescent="0.25">
      <c r="A5848" t="s">
        <v>10904</v>
      </c>
      <c r="B5848" t="s">
        <v>10933</v>
      </c>
    </row>
    <row r="5849" spans="1:2" ht="112" hidden="1" customHeight="1" x14ac:dyDescent="0.25">
      <c r="A5849" t="s">
        <v>10905</v>
      </c>
      <c r="B5849" t="s">
        <v>10934</v>
      </c>
    </row>
    <row r="5850" spans="1:2" ht="112" hidden="1" customHeight="1" x14ac:dyDescent="0.25">
      <c r="A5850" t="s">
        <v>10906</v>
      </c>
      <c r="B5850" t="s">
        <v>10935</v>
      </c>
    </row>
    <row r="5851" spans="1:2" ht="112" hidden="1" customHeight="1" x14ac:dyDescent="0.25">
      <c r="A5851" t="s">
        <v>10907</v>
      </c>
      <c r="B5851" t="s">
        <v>10936</v>
      </c>
    </row>
    <row r="5852" spans="1:2" ht="112" hidden="1" customHeight="1" x14ac:dyDescent="0.25">
      <c r="A5852" t="s">
        <v>10908</v>
      </c>
      <c r="B5852" t="s">
        <v>10937</v>
      </c>
    </row>
    <row r="5853" spans="1:2" ht="112" hidden="1" customHeight="1" x14ac:dyDescent="0.25">
      <c r="A5853" t="s">
        <v>10938</v>
      </c>
      <c r="B5853" t="s">
        <v>10939</v>
      </c>
    </row>
    <row r="5854" spans="1:2" ht="112" hidden="1" customHeight="1" x14ac:dyDescent="0.25">
      <c r="A5854" t="s">
        <v>10940</v>
      </c>
      <c r="B5854" s="56" t="s">
        <v>10949</v>
      </c>
    </row>
    <row r="5855" spans="1:2" ht="112" hidden="1" customHeight="1" x14ac:dyDescent="0.25">
      <c r="A5855" t="s">
        <v>10941</v>
      </c>
      <c r="B5855" s="56" t="s">
        <v>10948</v>
      </c>
    </row>
    <row r="5856" spans="1:2" ht="112" hidden="1" customHeight="1" x14ac:dyDescent="0.25">
      <c r="A5856" t="s">
        <v>10946</v>
      </c>
      <c r="B5856" s="56" t="s">
        <v>10947</v>
      </c>
    </row>
    <row r="5857" spans="1:2" ht="112" hidden="1" customHeight="1" x14ac:dyDescent="0.25">
      <c r="A5857" t="s">
        <v>10942</v>
      </c>
      <c r="B5857" t="s">
        <v>10944</v>
      </c>
    </row>
    <row r="5858" spans="1:2" ht="112" hidden="1" customHeight="1" x14ac:dyDescent="0.25">
      <c r="A5858" t="s">
        <v>10943</v>
      </c>
      <c r="B5858" t="s">
        <v>10945</v>
      </c>
    </row>
    <row r="5859" spans="1:2" ht="112" hidden="1" customHeight="1" x14ac:dyDescent="0.25">
      <c r="A5859" t="s">
        <v>10950</v>
      </c>
      <c r="B5859" t="s">
        <v>10956</v>
      </c>
    </row>
    <row r="5860" spans="1:2" ht="112" hidden="1" customHeight="1" x14ac:dyDescent="0.25">
      <c r="A5860" t="s">
        <v>10951</v>
      </c>
      <c r="B5860" t="s">
        <v>10957</v>
      </c>
    </row>
    <row r="5861" spans="1:2" ht="112" hidden="1" customHeight="1" x14ac:dyDescent="0.25">
      <c r="A5861" t="s">
        <v>10952</v>
      </c>
      <c r="B5861" t="s">
        <v>10958</v>
      </c>
    </row>
    <row r="5862" spans="1:2" ht="112" hidden="1" customHeight="1" x14ac:dyDescent="0.25">
      <c r="A5862" t="s">
        <v>10953</v>
      </c>
      <c r="B5862" t="s">
        <v>10959</v>
      </c>
    </row>
    <row r="5863" spans="1:2" ht="112" hidden="1" customHeight="1" x14ac:dyDescent="0.25">
      <c r="A5863" t="s">
        <v>10960</v>
      </c>
      <c r="B5863" t="s">
        <v>10961</v>
      </c>
    </row>
    <row r="5864" spans="1:2" ht="112" hidden="1" customHeight="1" x14ac:dyDescent="0.25">
      <c r="A5864" t="s">
        <v>10954</v>
      </c>
      <c r="B5864" t="s">
        <v>10962</v>
      </c>
    </row>
    <row r="5865" spans="1:2" ht="112" hidden="1" customHeight="1" x14ac:dyDescent="0.25">
      <c r="A5865" t="s">
        <v>10955</v>
      </c>
      <c r="B5865" t="s">
        <v>10963</v>
      </c>
    </row>
    <row r="5866" spans="1:2" ht="112" hidden="1" customHeight="1" x14ac:dyDescent="0.25">
      <c r="A5866" t="s">
        <v>10964</v>
      </c>
      <c r="B5866" t="s">
        <v>10965</v>
      </c>
    </row>
    <row r="5867" spans="1:2" ht="112" hidden="1" customHeight="1" x14ac:dyDescent="0.25">
      <c r="A5867" t="s">
        <v>10966</v>
      </c>
      <c r="B5867" t="s">
        <v>10968</v>
      </c>
    </row>
    <row r="5868" spans="1:2" ht="112" hidden="1" customHeight="1" x14ac:dyDescent="0.25">
      <c r="A5868" t="s">
        <v>10967</v>
      </c>
      <c r="B5868" t="s">
        <v>10969</v>
      </c>
    </row>
    <row r="5869" spans="1:2" ht="112" hidden="1" customHeight="1" x14ac:dyDescent="0.25">
      <c r="A5869" t="s">
        <v>10970</v>
      </c>
      <c r="B5869" t="s">
        <v>10971</v>
      </c>
    </row>
    <row r="5870" spans="1:2" ht="112" hidden="1" customHeight="1" x14ac:dyDescent="0.25">
      <c r="A5870" t="s">
        <v>10972</v>
      </c>
      <c r="B5870" t="s">
        <v>10973</v>
      </c>
    </row>
    <row r="5871" spans="1:2" ht="112" hidden="1" customHeight="1" x14ac:dyDescent="0.25">
      <c r="A5871" t="s">
        <v>10974</v>
      </c>
      <c r="B5871" t="s">
        <v>10975</v>
      </c>
    </row>
    <row r="5872" spans="1:2" ht="112" hidden="1" customHeight="1" x14ac:dyDescent="0.25">
      <c r="A5872" t="s">
        <v>10972</v>
      </c>
      <c r="B5872" t="s">
        <v>10973</v>
      </c>
    </row>
    <row r="5873" spans="1:2" ht="112" hidden="1" customHeight="1" x14ac:dyDescent="0.25">
      <c r="A5873" t="s">
        <v>10974</v>
      </c>
      <c r="B5873" t="s">
        <v>10975</v>
      </c>
    </row>
    <row r="5874" spans="1:2" ht="112" hidden="1" customHeight="1" x14ac:dyDescent="0.25">
      <c r="A5874" t="s">
        <v>10976</v>
      </c>
      <c r="B5874" t="s">
        <v>10980</v>
      </c>
    </row>
    <row r="5875" spans="1:2" ht="112" hidden="1" customHeight="1" x14ac:dyDescent="0.25">
      <c r="A5875" t="s">
        <v>10977</v>
      </c>
      <c r="B5875" t="s">
        <v>10981</v>
      </c>
    </row>
    <row r="5876" spans="1:2" ht="112" hidden="1" customHeight="1" x14ac:dyDescent="0.25">
      <c r="A5876" t="s">
        <v>10978</v>
      </c>
      <c r="B5876" t="s">
        <v>10982</v>
      </c>
    </row>
    <row r="5877" spans="1:2" ht="112" hidden="1" customHeight="1" x14ac:dyDescent="0.25">
      <c r="A5877" t="s">
        <v>10979</v>
      </c>
      <c r="B5877" t="s">
        <v>10983</v>
      </c>
    </row>
    <row r="5878" spans="1:2" ht="112" hidden="1" customHeight="1" x14ac:dyDescent="0.25">
      <c r="A5878" t="s">
        <v>10984</v>
      </c>
      <c r="B5878" t="s">
        <v>10986</v>
      </c>
    </row>
    <row r="5879" spans="1:2" ht="112" hidden="1" customHeight="1" x14ac:dyDescent="0.25">
      <c r="A5879" t="s">
        <v>10985</v>
      </c>
      <c r="B5879" t="s">
        <v>10987</v>
      </c>
    </row>
    <row r="5880" spans="1:2" ht="112" hidden="1" customHeight="1" x14ac:dyDescent="0.25">
      <c r="A5880" t="s">
        <v>10988</v>
      </c>
      <c r="B5880" t="s">
        <v>10989</v>
      </c>
    </row>
    <row r="5881" spans="1:2" ht="112" hidden="1" customHeight="1" x14ac:dyDescent="0.25">
      <c r="A5881" t="s">
        <v>10991</v>
      </c>
      <c r="B5881" t="s">
        <v>10992</v>
      </c>
    </row>
    <row r="5882" spans="1:2" ht="112" hidden="1" customHeight="1" x14ac:dyDescent="0.25">
      <c r="A5882" t="s">
        <v>10993</v>
      </c>
      <c r="B5882" s="56" t="s">
        <v>11152</v>
      </c>
    </row>
    <row r="5883" spans="1:2" ht="112" hidden="1" customHeight="1" x14ac:dyDescent="0.25">
      <c r="A5883" t="s">
        <v>10996</v>
      </c>
      <c r="B5883" t="s">
        <v>10997</v>
      </c>
    </row>
    <row r="5884" spans="1:2" ht="112" hidden="1" customHeight="1" x14ac:dyDescent="0.25">
      <c r="A5884" t="s">
        <v>10998</v>
      </c>
      <c r="B5884" t="s">
        <v>11006</v>
      </c>
    </row>
    <row r="5885" spans="1:2" ht="112" hidden="1" customHeight="1" x14ac:dyDescent="0.25">
      <c r="A5885" t="s">
        <v>10999</v>
      </c>
      <c r="B5885" s="56" t="s">
        <v>11219</v>
      </c>
    </row>
    <row r="5886" spans="1:2" ht="112" hidden="1" customHeight="1" x14ac:dyDescent="0.25">
      <c r="A5886" t="s">
        <v>11000</v>
      </c>
      <c r="B5886" t="s">
        <v>11007</v>
      </c>
    </row>
    <row r="5887" spans="1:2" ht="112" hidden="1" customHeight="1" x14ac:dyDescent="0.25">
      <c r="A5887" t="s">
        <v>11001</v>
      </c>
      <c r="B5887" t="s">
        <v>11008</v>
      </c>
    </row>
    <row r="5888" spans="1:2" ht="112" hidden="1" customHeight="1" x14ac:dyDescent="0.25">
      <c r="A5888" t="s">
        <v>11002</v>
      </c>
      <c r="B5888" t="s">
        <v>11009</v>
      </c>
    </row>
    <row r="5889" spans="1:2" ht="112" hidden="1" customHeight="1" x14ac:dyDescent="0.25">
      <c r="A5889" t="s">
        <v>11003</v>
      </c>
      <c r="B5889" t="s">
        <v>11010</v>
      </c>
    </row>
    <row r="5890" spans="1:2" ht="112" hidden="1" customHeight="1" x14ac:dyDescent="0.25">
      <c r="A5890" t="s">
        <v>11004</v>
      </c>
      <c r="B5890" t="s">
        <v>11011</v>
      </c>
    </row>
    <row r="5891" spans="1:2" ht="112" hidden="1" customHeight="1" x14ac:dyDescent="0.25">
      <c r="A5891" t="s">
        <v>11005</v>
      </c>
      <c r="B5891" t="s">
        <v>11012</v>
      </c>
    </row>
    <row r="5892" spans="1:2" ht="112" hidden="1" customHeight="1" x14ac:dyDescent="0.25">
      <c r="A5892" t="s">
        <v>11014</v>
      </c>
      <c r="B5892" t="s">
        <v>11015</v>
      </c>
    </row>
    <row r="5893" spans="1:2" ht="112" hidden="1" customHeight="1" x14ac:dyDescent="0.25">
      <c r="A5893" t="s">
        <v>11018</v>
      </c>
      <c r="B5893" t="s">
        <v>11020</v>
      </c>
    </row>
    <row r="5894" spans="1:2" ht="112" hidden="1" customHeight="1" x14ac:dyDescent="0.25">
      <c r="A5894" t="s">
        <v>11019</v>
      </c>
      <c r="B5894" t="s">
        <v>11021</v>
      </c>
    </row>
    <row r="5895" spans="1:2" ht="112" hidden="1" customHeight="1" x14ac:dyDescent="0.25">
      <c r="A5895" t="s">
        <v>11016</v>
      </c>
      <c r="B5895" t="s">
        <v>11022</v>
      </c>
    </row>
    <row r="5896" spans="1:2" ht="112" hidden="1" customHeight="1" x14ac:dyDescent="0.25">
      <c r="A5896" t="s">
        <v>11017</v>
      </c>
      <c r="B5896" t="s">
        <v>11023</v>
      </c>
    </row>
    <row r="5897" spans="1:2" ht="112" hidden="1" customHeight="1" x14ac:dyDescent="0.25">
      <c r="A5897" t="s">
        <v>11025</v>
      </c>
      <c r="B5897" t="s">
        <v>11027</v>
      </c>
    </row>
    <row r="5898" spans="1:2" ht="112" hidden="1" customHeight="1" x14ac:dyDescent="0.25">
      <c r="A5898" t="s">
        <v>11026</v>
      </c>
      <c r="B5898" t="s">
        <v>11028</v>
      </c>
    </row>
    <row r="5899" spans="1:2" ht="112" hidden="1" customHeight="1" x14ac:dyDescent="0.25">
      <c r="A5899" t="s">
        <v>11030</v>
      </c>
      <c r="B5899" t="s">
        <v>11031</v>
      </c>
    </row>
    <row r="5900" spans="1:2" ht="112" hidden="1" customHeight="1" x14ac:dyDescent="0.25">
      <c r="A5900" t="s">
        <v>11032</v>
      </c>
      <c r="B5900" t="s">
        <v>11038</v>
      </c>
    </row>
    <row r="5901" spans="1:2" ht="112" hidden="1" customHeight="1" x14ac:dyDescent="0.25">
      <c r="A5901" t="s">
        <v>11033</v>
      </c>
      <c r="B5901" t="s">
        <v>11039</v>
      </c>
    </row>
    <row r="5902" spans="1:2" ht="112" hidden="1" customHeight="1" x14ac:dyDescent="0.25">
      <c r="A5902" t="s">
        <v>11034</v>
      </c>
      <c r="B5902" t="s">
        <v>11040</v>
      </c>
    </row>
    <row r="5903" spans="1:2" ht="112" hidden="1" customHeight="1" x14ac:dyDescent="0.25">
      <c r="A5903" t="s">
        <v>11035</v>
      </c>
      <c r="B5903" t="s">
        <v>11041</v>
      </c>
    </row>
    <row r="5904" spans="1:2" ht="112" hidden="1" customHeight="1" x14ac:dyDescent="0.25">
      <c r="A5904" t="s">
        <v>11036</v>
      </c>
      <c r="B5904" s="56" t="s">
        <v>11043</v>
      </c>
    </row>
    <row r="5905" spans="1:2" ht="112" hidden="1" customHeight="1" x14ac:dyDescent="0.25">
      <c r="A5905" t="s">
        <v>11037</v>
      </c>
      <c r="B5905" t="s">
        <v>11042</v>
      </c>
    </row>
    <row r="5906" spans="1:2" ht="112" hidden="1" customHeight="1" x14ac:dyDescent="0.25">
      <c r="A5906" t="s">
        <v>11044</v>
      </c>
      <c r="B5906" t="s">
        <v>11045</v>
      </c>
    </row>
    <row r="5907" spans="1:2" ht="112" hidden="1" customHeight="1" x14ac:dyDescent="0.25">
      <c r="A5907" t="s">
        <v>11046</v>
      </c>
      <c r="B5907" s="56" t="s">
        <v>11047</v>
      </c>
    </row>
    <row r="5908" spans="1:2" ht="112" hidden="1" customHeight="1" x14ac:dyDescent="0.25">
      <c r="A5908" t="s">
        <v>11049</v>
      </c>
      <c r="B5908" t="s">
        <v>11052</v>
      </c>
    </row>
    <row r="5909" spans="1:2" ht="112" hidden="1" customHeight="1" x14ac:dyDescent="0.25">
      <c r="A5909" t="s">
        <v>11050</v>
      </c>
      <c r="B5909" s="56" t="s">
        <v>11121</v>
      </c>
    </row>
    <row r="5910" spans="1:2" ht="112" hidden="1" customHeight="1" x14ac:dyDescent="0.25">
      <c r="A5910" t="s">
        <v>11051</v>
      </c>
      <c r="B5910" t="s">
        <v>11053</v>
      </c>
    </row>
    <row r="5911" spans="1:2" ht="112" hidden="1" customHeight="1" x14ac:dyDescent="0.25">
      <c r="A5911" t="s">
        <v>9589</v>
      </c>
      <c r="B5911" s="56" t="s">
        <v>11056</v>
      </c>
    </row>
    <row r="5912" spans="1:2" ht="112" hidden="1" customHeight="1" x14ac:dyDescent="0.25">
      <c r="A5912" t="s">
        <v>11057</v>
      </c>
      <c r="B5912" t="s">
        <v>11058</v>
      </c>
    </row>
    <row r="5913" spans="1:2" ht="112" hidden="1" customHeight="1" x14ac:dyDescent="0.25">
      <c r="A5913" t="s">
        <v>11063</v>
      </c>
      <c r="B5913" t="s">
        <v>11064</v>
      </c>
    </row>
    <row r="5914" spans="1:2" ht="112" hidden="1" customHeight="1" x14ac:dyDescent="0.25">
      <c r="A5914" t="s">
        <v>11065</v>
      </c>
      <c r="B5914" t="s">
        <v>11066</v>
      </c>
    </row>
    <row r="5915" spans="1:2" ht="112" hidden="1" customHeight="1" x14ac:dyDescent="0.25">
      <c r="A5915" t="s">
        <v>5521</v>
      </c>
      <c r="B5915" t="s">
        <v>11067</v>
      </c>
    </row>
    <row r="5916" spans="1:2" ht="112" hidden="1" customHeight="1" x14ac:dyDescent="0.25">
      <c r="A5916" t="s">
        <v>11070</v>
      </c>
      <c r="B5916" t="s">
        <v>11071</v>
      </c>
    </row>
    <row r="5917" spans="1:2" ht="112" hidden="1" customHeight="1" x14ac:dyDescent="0.25">
      <c r="A5917" t="s">
        <v>11068</v>
      </c>
      <c r="B5917" t="s">
        <v>11072</v>
      </c>
    </row>
    <row r="5918" spans="1:2" ht="112" hidden="1" customHeight="1" x14ac:dyDescent="0.25">
      <c r="A5918" t="s">
        <v>11069</v>
      </c>
      <c r="B5918" t="s">
        <v>11073</v>
      </c>
    </row>
    <row r="5919" spans="1:2" ht="112" hidden="1" customHeight="1" x14ac:dyDescent="0.25">
      <c r="A5919" t="s">
        <v>11074</v>
      </c>
      <c r="B5919" t="s">
        <v>11079</v>
      </c>
    </row>
    <row r="5920" spans="1:2" ht="112" hidden="1" customHeight="1" x14ac:dyDescent="0.25">
      <c r="A5920" t="s">
        <v>11075</v>
      </c>
      <c r="B5920" t="s">
        <v>11080</v>
      </c>
    </row>
    <row r="5921" spans="1:2" ht="112" hidden="1" customHeight="1" x14ac:dyDescent="0.25">
      <c r="A5921" t="s">
        <v>11076</v>
      </c>
      <c r="B5921" t="s">
        <v>11081</v>
      </c>
    </row>
    <row r="5922" spans="1:2" ht="112" hidden="1" customHeight="1" x14ac:dyDescent="0.25">
      <c r="A5922" t="s">
        <v>11077</v>
      </c>
      <c r="B5922" t="s">
        <v>11082</v>
      </c>
    </row>
    <row r="5923" spans="1:2" ht="112" hidden="1" customHeight="1" x14ac:dyDescent="0.25">
      <c r="A5923" t="s">
        <v>11078</v>
      </c>
      <c r="B5923" t="s">
        <v>11083</v>
      </c>
    </row>
    <row r="5924" spans="1:2" ht="112" hidden="1" customHeight="1" x14ac:dyDescent="0.25">
      <c r="A5924" t="s">
        <v>11084</v>
      </c>
      <c r="B5924" t="s">
        <v>11086</v>
      </c>
    </row>
    <row r="5925" spans="1:2" ht="112" hidden="1" customHeight="1" x14ac:dyDescent="0.25">
      <c r="A5925" t="s">
        <v>11085</v>
      </c>
      <c r="B5925" t="s">
        <v>11087</v>
      </c>
    </row>
    <row r="5926" spans="1:2" ht="112" hidden="1" customHeight="1" x14ac:dyDescent="0.25">
      <c r="A5926" t="s">
        <v>12463</v>
      </c>
      <c r="B5926" s="89" t="s">
        <v>12464</v>
      </c>
    </row>
    <row r="5927" spans="1:2" ht="112" hidden="1" customHeight="1" x14ac:dyDescent="0.25">
      <c r="A5927" t="s">
        <v>11088</v>
      </c>
      <c r="B5927" s="56" t="s">
        <v>11122</v>
      </c>
    </row>
    <row r="5928" spans="1:2" ht="112" hidden="1" customHeight="1" x14ac:dyDescent="0.25">
      <c r="A5928" t="s">
        <v>11089</v>
      </c>
      <c r="B5928" t="s">
        <v>11092</v>
      </c>
    </row>
    <row r="5929" spans="1:2" ht="112" hidden="1" customHeight="1" x14ac:dyDescent="0.25">
      <c r="A5929" t="s">
        <v>11090</v>
      </c>
      <c r="B5929" t="s">
        <v>11093</v>
      </c>
    </row>
    <row r="5930" spans="1:2" ht="112" hidden="1" customHeight="1" x14ac:dyDescent="0.25">
      <c r="A5930" t="s">
        <v>11091</v>
      </c>
      <c r="B5930" t="s">
        <v>11094</v>
      </c>
    </row>
    <row r="5931" spans="1:2" ht="112" hidden="1" customHeight="1" x14ac:dyDescent="0.25">
      <c r="A5931" t="s">
        <v>11095</v>
      </c>
      <c r="B5931" t="s">
        <v>11104</v>
      </c>
    </row>
    <row r="5932" spans="1:2" ht="112" hidden="1" customHeight="1" x14ac:dyDescent="0.25">
      <c r="A5932" t="s">
        <v>11096</v>
      </c>
      <c r="B5932" t="s">
        <v>11105</v>
      </c>
    </row>
    <row r="5933" spans="1:2" ht="112" hidden="1" customHeight="1" x14ac:dyDescent="0.25">
      <c r="A5933" t="s">
        <v>11097</v>
      </c>
      <c r="B5933" t="s">
        <v>11106</v>
      </c>
    </row>
    <row r="5934" spans="1:2" ht="112" hidden="1" customHeight="1" x14ac:dyDescent="0.25">
      <c r="A5934" t="s">
        <v>11098</v>
      </c>
      <c r="B5934" t="s">
        <v>11107</v>
      </c>
    </row>
    <row r="5935" spans="1:2" ht="112" hidden="1" customHeight="1" x14ac:dyDescent="0.25">
      <c r="A5935" t="s">
        <v>11099</v>
      </c>
      <c r="B5935" t="s">
        <v>11108</v>
      </c>
    </row>
    <row r="5936" spans="1:2" ht="112" hidden="1" customHeight="1" x14ac:dyDescent="0.25">
      <c r="A5936" t="s">
        <v>11100</v>
      </c>
      <c r="B5936" t="s">
        <v>11109</v>
      </c>
    </row>
    <row r="5937" spans="1:2" ht="112" hidden="1" customHeight="1" x14ac:dyDescent="0.25">
      <c r="A5937" t="s">
        <v>11101</v>
      </c>
      <c r="B5937" t="s">
        <v>11110</v>
      </c>
    </row>
    <row r="5938" spans="1:2" ht="112" hidden="1" customHeight="1" x14ac:dyDescent="0.25">
      <c r="A5938" t="s">
        <v>11111</v>
      </c>
      <c r="B5938" t="s">
        <v>11112</v>
      </c>
    </row>
    <row r="5939" spans="1:2" ht="112" hidden="1" customHeight="1" x14ac:dyDescent="0.25">
      <c r="A5939" t="s">
        <v>11113</v>
      </c>
      <c r="B5939" t="s">
        <v>11114</v>
      </c>
    </row>
    <row r="5940" spans="1:2" ht="112" hidden="1" customHeight="1" x14ac:dyDescent="0.25">
      <c r="A5940" t="s">
        <v>11102</v>
      </c>
      <c r="B5940" t="s">
        <v>11115</v>
      </c>
    </row>
    <row r="5941" spans="1:2" ht="112" hidden="1" customHeight="1" x14ac:dyDescent="0.25">
      <c r="A5941" t="s">
        <v>11103</v>
      </c>
      <c r="B5941" t="s">
        <v>11116</v>
      </c>
    </row>
    <row r="5942" spans="1:2" ht="112" hidden="1" customHeight="1" x14ac:dyDescent="0.25">
      <c r="A5942" t="s">
        <v>11117</v>
      </c>
      <c r="B5942" s="56" t="s">
        <v>11133</v>
      </c>
    </row>
    <row r="5943" spans="1:2" ht="112" hidden="1" customHeight="1" x14ac:dyDescent="0.25">
      <c r="A5943" t="s">
        <v>11118</v>
      </c>
      <c r="B5943" t="s">
        <v>11119</v>
      </c>
    </row>
    <row r="5944" spans="1:2" ht="112" hidden="1" customHeight="1" x14ac:dyDescent="0.25">
      <c r="A5944" t="s">
        <v>11124</v>
      </c>
      <c r="B5944" t="s">
        <v>11128</v>
      </c>
    </row>
    <row r="5945" spans="1:2" ht="112" hidden="1" customHeight="1" x14ac:dyDescent="0.25">
      <c r="A5945" t="s">
        <v>11125</v>
      </c>
      <c r="B5945" t="s">
        <v>11129</v>
      </c>
    </row>
    <row r="5946" spans="1:2" ht="112" hidden="1" customHeight="1" x14ac:dyDescent="0.25">
      <c r="A5946" t="s">
        <v>11126</v>
      </c>
      <c r="B5946" t="s">
        <v>11130</v>
      </c>
    </row>
    <row r="5947" spans="1:2" ht="112" hidden="1" customHeight="1" x14ac:dyDescent="0.25">
      <c r="A5947" t="s">
        <v>11127</v>
      </c>
      <c r="B5947" t="s">
        <v>11131</v>
      </c>
    </row>
    <row r="5948" spans="1:2" ht="112" hidden="1" customHeight="1" x14ac:dyDescent="0.25">
      <c r="A5948" t="s">
        <v>11117</v>
      </c>
      <c r="B5948" s="56" t="s">
        <v>11132</v>
      </c>
    </row>
    <row r="5949" spans="1:2" ht="112" hidden="1" customHeight="1" x14ac:dyDescent="0.25">
      <c r="A5949" t="s">
        <v>11134</v>
      </c>
      <c r="B5949" t="s">
        <v>11143</v>
      </c>
    </row>
    <row r="5950" spans="1:2" ht="112" hidden="1" customHeight="1" x14ac:dyDescent="0.25">
      <c r="A5950" t="s">
        <v>11135</v>
      </c>
      <c r="B5950" t="s">
        <v>11144</v>
      </c>
    </row>
    <row r="5951" spans="1:2" ht="112" hidden="1" customHeight="1" x14ac:dyDescent="0.25">
      <c r="A5951" t="s">
        <v>11136</v>
      </c>
      <c r="B5951" t="s">
        <v>11145</v>
      </c>
    </row>
    <row r="5952" spans="1:2" ht="112" hidden="1" customHeight="1" x14ac:dyDescent="0.25">
      <c r="A5952" t="s">
        <v>11137</v>
      </c>
      <c r="B5952" t="s">
        <v>11146</v>
      </c>
    </row>
    <row r="5953" spans="1:2" ht="112" hidden="1" customHeight="1" x14ac:dyDescent="0.25">
      <c r="A5953" t="s">
        <v>11138</v>
      </c>
      <c r="B5953" t="s">
        <v>11147</v>
      </c>
    </row>
    <row r="5954" spans="1:2" ht="112" hidden="1" customHeight="1" x14ac:dyDescent="0.25">
      <c r="A5954" t="s">
        <v>11139</v>
      </c>
      <c r="B5954" t="s">
        <v>11148</v>
      </c>
    </row>
    <row r="5955" spans="1:2" ht="112" hidden="1" customHeight="1" x14ac:dyDescent="0.25">
      <c r="A5955" t="s">
        <v>11140</v>
      </c>
      <c r="B5955" t="s">
        <v>11149</v>
      </c>
    </row>
    <row r="5956" spans="1:2" ht="112" hidden="1" customHeight="1" x14ac:dyDescent="0.25">
      <c r="A5956" t="s">
        <v>11141</v>
      </c>
      <c r="B5956" t="s">
        <v>11150</v>
      </c>
    </row>
    <row r="5957" spans="1:2" ht="112" hidden="1" customHeight="1" x14ac:dyDescent="0.25">
      <c r="A5957" t="s">
        <v>11142</v>
      </c>
      <c r="B5957" t="s">
        <v>11151</v>
      </c>
    </row>
    <row r="5958" spans="1:2" ht="112" hidden="1" customHeight="1" x14ac:dyDescent="0.25">
      <c r="A5958" t="s">
        <v>11153</v>
      </c>
      <c r="B5958" t="s">
        <v>11158</v>
      </c>
    </row>
    <row r="5959" spans="1:2" ht="112" hidden="1" customHeight="1" x14ac:dyDescent="0.25">
      <c r="A5959" t="s">
        <v>11154</v>
      </c>
      <c r="B5959" t="s">
        <v>11159</v>
      </c>
    </row>
    <row r="5960" spans="1:2" ht="112" hidden="1" customHeight="1" x14ac:dyDescent="0.25">
      <c r="A5960" t="s">
        <v>11155</v>
      </c>
      <c r="B5960" t="s">
        <v>11160</v>
      </c>
    </row>
    <row r="5961" spans="1:2" ht="112" hidden="1" customHeight="1" x14ac:dyDescent="0.25">
      <c r="A5961" t="s">
        <v>11156</v>
      </c>
      <c r="B5961" t="s">
        <v>11161</v>
      </c>
    </row>
    <row r="5962" spans="1:2" ht="112" hidden="1" customHeight="1" x14ac:dyDescent="0.25">
      <c r="A5962" t="s">
        <v>11157</v>
      </c>
      <c r="B5962" t="s">
        <v>11162</v>
      </c>
    </row>
    <row r="5963" spans="1:2" ht="112" hidden="1" customHeight="1" x14ac:dyDescent="0.25">
      <c r="A5963" t="s">
        <v>11165</v>
      </c>
      <c r="B5963" s="56" t="s">
        <v>11645</v>
      </c>
    </row>
    <row r="5964" spans="1:2" ht="112" hidden="1" customHeight="1" x14ac:dyDescent="0.25">
      <c r="A5964" t="s">
        <v>11166</v>
      </c>
      <c r="B5964" t="s">
        <v>11167</v>
      </c>
    </row>
    <row r="5965" spans="1:2" ht="112" hidden="1" customHeight="1" x14ac:dyDescent="0.25">
      <c r="A5965" t="s">
        <v>11168</v>
      </c>
      <c r="B5965" t="s">
        <v>11169</v>
      </c>
    </row>
    <row r="5966" spans="1:2" ht="112" hidden="1" customHeight="1" x14ac:dyDescent="0.25">
      <c r="A5966" t="s">
        <v>11170</v>
      </c>
      <c r="B5966" s="56" t="s">
        <v>11174</v>
      </c>
    </row>
    <row r="5967" spans="1:2" ht="112" hidden="1" customHeight="1" x14ac:dyDescent="0.25">
      <c r="A5967" t="s">
        <v>11171</v>
      </c>
      <c r="B5967" s="56" t="s">
        <v>11175</v>
      </c>
    </row>
    <row r="5968" spans="1:2" ht="112" hidden="1" customHeight="1" x14ac:dyDescent="0.25">
      <c r="A5968" t="s">
        <v>11172</v>
      </c>
      <c r="B5968" t="s">
        <v>11173</v>
      </c>
    </row>
    <row r="5969" spans="1:2" ht="112" hidden="1" customHeight="1" x14ac:dyDescent="0.25">
      <c r="A5969" t="s">
        <v>9980</v>
      </c>
      <c r="B5969" t="s">
        <v>11176</v>
      </c>
    </row>
    <row r="5970" spans="1:2" ht="112" hidden="1" customHeight="1" x14ac:dyDescent="0.25">
      <c r="A5970" t="s">
        <v>11177</v>
      </c>
      <c r="B5970" t="s">
        <v>11182</v>
      </c>
    </row>
    <row r="5971" spans="1:2" ht="112" hidden="1" customHeight="1" x14ac:dyDescent="0.25">
      <c r="A5971" t="s">
        <v>11178</v>
      </c>
      <c r="B5971" s="56" t="s">
        <v>11223</v>
      </c>
    </row>
    <row r="5972" spans="1:2" ht="112" hidden="1" customHeight="1" x14ac:dyDescent="0.25">
      <c r="A5972" t="s">
        <v>11179</v>
      </c>
      <c r="B5972" s="56" t="s">
        <v>11224</v>
      </c>
    </row>
    <row r="5973" spans="1:2" ht="112" hidden="1" customHeight="1" x14ac:dyDescent="0.25">
      <c r="A5973" t="s">
        <v>11180</v>
      </c>
      <c r="B5973" s="56" t="s">
        <v>11225</v>
      </c>
    </row>
    <row r="5974" spans="1:2" ht="112" hidden="1" customHeight="1" x14ac:dyDescent="0.25">
      <c r="A5974" t="s">
        <v>11181</v>
      </c>
      <c r="B5974" s="56" t="s">
        <v>11222</v>
      </c>
    </row>
    <row r="5975" spans="1:2" ht="112" hidden="1" customHeight="1" x14ac:dyDescent="0.25">
      <c r="A5975" t="s">
        <v>9980</v>
      </c>
      <c r="B5975" t="s">
        <v>11176</v>
      </c>
    </row>
    <row r="5976" spans="1:2" ht="112" hidden="1" customHeight="1" x14ac:dyDescent="0.25">
      <c r="A5976" t="s">
        <v>11183</v>
      </c>
      <c r="B5976" t="s">
        <v>11184</v>
      </c>
    </row>
    <row r="5977" spans="1:2" ht="112" hidden="1" customHeight="1" x14ac:dyDescent="0.25">
      <c r="A5977" t="s">
        <v>11188</v>
      </c>
      <c r="B5977" t="s">
        <v>11189</v>
      </c>
    </row>
    <row r="5978" spans="1:2" ht="112" hidden="1" customHeight="1" x14ac:dyDescent="0.25">
      <c r="A5978" t="s">
        <v>11190</v>
      </c>
      <c r="B5978" t="s">
        <v>11192</v>
      </c>
    </row>
    <row r="5979" spans="1:2" ht="112" hidden="1" customHeight="1" x14ac:dyDescent="0.25">
      <c r="A5979" t="s">
        <v>11191</v>
      </c>
      <c r="B5979" t="s">
        <v>11193</v>
      </c>
    </row>
    <row r="5980" spans="1:2" ht="112" hidden="1" customHeight="1" x14ac:dyDescent="0.25">
      <c r="A5980" t="s">
        <v>11196</v>
      </c>
      <c r="B5980" t="s">
        <v>11199</v>
      </c>
    </row>
    <row r="5981" spans="1:2" ht="112" hidden="1" customHeight="1" x14ac:dyDescent="0.25">
      <c r="A5981" t="s">
        <v>11195</v>
      </c>
      <c r="B5981" s="56" t="s">
        <v>12948</v>
      </c>
    </row>
    <row r="5982" spans="1:2" ht="112" hidden="1" customHeight="1" x14ac:dyDescent="0.25">
      <c r="A5982" t="s">
        <v>11197</v>
      </c>
      <c r="B5982" s="56" t="s">
        <v>12949</v>
      </c>
    </row>
    <row r="5983" spans="1:2" ht="112" hidden="1" customHeight="1" x14ac:dyDescent="0.25">
      <c r="A5983" t="s">
        <v>11198</v>
      </c>
      <c r="B5983" s="56" t="s">
        <v>12950</v>
      </c>
    </row>
    <row r="5984" spans="1:2" ht="112" hidden="1" customHeight="1" x14ac:dyDescent="0.25">
      <c r="A5984" t="s">
        <v>11200</v>
      </c>
      <c r="B5984" t="s">
        <v>11201</v>
      </c>
    </row>
    <row r="5985" spans="1:2" ht="112" hidden="1" customHeight="1" x14ac:dyDescent="0.25">
      <c r="A5985" t="s">
        <v>11228</v>
      </c>
      <c r="B5985" t="s">
        <v>11229</v>
      </c>
    </row>
    <row r="5986" spans="1:2" ht="112" hidden="1" customHeight="1" x14ac:dyDescent="0.25">
      <c r="A5986" t="s">
        <v>11230</v>
      </c>
      <c r="B5986" t="s">
        <v>11233</v>
      </c>
    </row>
    <row r="5987" spans="1:2" ht="112" hidden="1" customHeight="1" x14ac:dyDescent="0.25">
      <c r="A5987" t="s">
        <v>11234</v>
      </c>
      <c r="B5987" t="s">
        <v>11235</v>
      </c>
    </row>
    <row r="5988" spans="1:2" ht="112" hidden="1" customHeight="1" x14ac:dyDescent="0.25">
      <c r="A5988" t="s">
        <v>11231</v>
      </c>
      <c r="B5988" t="s">
        <v>11236</v>
      </c>
    </row>
    <row r="5989" spans="1:2" ht="112" hidden="1" customHeight="1" x14ac:dyDescent="0.25">
      <c r="A5989" t="s">
        <v>11232</v>
      </c>
      <c r="B5989" t="s">
        <v>11237</v>
      </c>
    </row>
    <row r="5990" spans="1:2" ht="112" hidden="1" customHeight="1" x14ac:dyDescent="0.25">
      <c r="A5990" t="s">
        <v>11239</v>
      </c>
      <c r="B5990" t="s">
        <v>11240</v>
      </c>
    </row>
    <row r="5991" spans="1:2" ht="112" hidden="1" customHeight="1" x14ac:dyDescent="0.25">
      <c r="A5991" t="s">
        <v>11257</v>
      </c>
      <c r="B5991" t="s">
        <v>11264</v>
      </c>
    </row>
    <row r="5992" spans="1:2" ht="112" hidden="1" customHeight="1" x14ac:dyDescent="0.25">
      <c r="A5992" t="s">
        <v>11258</v>
      </c>
      <c r="B5992" t="s">
        <v>11265</v>
      </c>
    </row>
    <row r="5993" spans="1:2" ht="112" hidden="1" customHeight="1" x14ac:dyDescent="0.25">
      <c r="A5993" t="s">
        <v>11259</v>
      </c>
      <c r="B5993" t="s">
        <v>11266</v>
      </c>
    </row>
    <row r="5994" spans="1:2" ht="112" hidden="1" customHeight="1" x14ac:dyDescent="0.25">
      <c r="A5994" t="s">
        <v>11260</v>
      </c>
      <c r="B5994" t="s">
        <v>11267</v>
      </c>
    </row>
    <row r="5995" spans="1:2" ht="112" hidden="1" customHeight="1" x14ac:dyDescent="0.25">
      <c r="A5995" t="s">
        <v>11261</v>
      </c>
      <c r="B5995" t="s">
        <v>11268</v>
      </c>
    </row>
    <row r="5996" spans="1:2" ht="112" hidden="1" customHeight="1" x14ac:dyDescent="0.25">
      <c r="A5996" t="s">
        <v>11262</v>
      </c>
      <c r="B5996" t="s">
        <v>11269</v>
      </c>
    </row>
    <row r="5997" spans="1:2" ht="112" hidden="1" customHeight="1" x14ac:dyDescent="0.25">
      <c r="A5997" t="s">
        <v>11263</v>
      </c>
      <c r="B5997" t="s">
        <v>11270</v>
      </c>
    </row>
    <row r="5998" spans="1:2" ht="112" hidden="1" customHeight="1" x14ac:dyDescent="0.25">
      <c r="A5998" t="s">
        <v>11271</v>
      </c>
      <c r="B5998" t="s">
        <v>11279</v>
      </c>
    </row>
    <row r="5999" spans="1:2" ht="112" hidden="1" customHeight="1" x14ac:dyDescent="0.25">
      <c r="A5999" t="s">
        <v>11272</v>
      </c>
      <c r="B5999" t="s">
        <v>11280</v>
      </c>
    </row>
    <row r="6000" spans="1:2" ht="112" hidden="1" customHeight="1" x14ac:dyDescent="0.25">
      <c r="A6000" t="s">
        <v>11273</v>
      </c>
      <c r="B6000" t="s">
        <v>11281</v>
      </c>
    </row>
    <row r="6001" spans="1:2" ht="112" hidden="1" customHeight="1" x14ac:dyDescent="0.25">
      <c r="A6001" t="s">
        <v>11274</v>
      </c>
      <c r="B6001" t="s">
        <v>11282</v>
      </c>
    </row>
    <row r="6002" spans="1:2" ht="112" hidden="1" customHeight="1" x14ac:dyDescent="0.25">
      <c r="A6002" t="s">
        <v>11275</v>
      </c>
      <c r="B6002" t="s">
        <v>11283</v>
      </c>
    </row>
    <row r="6003" spans="1:2" ht="112" hidden="1" customHeight="1" x14ac:dyDescent="0.25">
      <c r="A6003" t="s">
        <v>11276</v>
      </c>
      <c r="B6003" t="s">
        <v>11284</v>
      </c>
    </row>
    <row r="6004" spans="1:2" ht="112" hidden="1" customHeight="1" x14ac:dyDescent="0.25">
      <c r="A6004" t="s">
        <v>11277</v>
      </c>
      <c r="B6004" t="s">
        <v>11285</v>
      </c>
    </row>
    <row r="6005" spans="1:2" ht="112" hidden="1" customHeight="1" x14ac:dyDescent="0.25">
      <c r="A6005" t="s">
        <v>11278</v>
      </c>
      <c r="B6005" t="s">
        <v>11286</v>
      </c>
    </row>
    <row r="6006" spans="1:2" ht="112" hidden="1" customHeight="1" x14ac:dyDescent="0.25">
      <c r="A6006" t="s">
        <v>11288</v>
      </c>
      <c r="B6006" s="56" t="s">
        <v>13181</v>
      </c>
    </row>
    <row r="6007" spans="1:2" ht="112" hidden="1" customHeight="1" x14ac:dyDescent="0.25">
      <c r="A6007" t="s">
        <v>11287</v>
      </c>
      <c r="B6007" t="s">
        <v>11289</v>
      </c>
    </row>
    <row r="6008" spans="1:2" ht="112" hidden="1" customHeight="1" x14ac:dyDescent="0.25">
      <c r="A6008" t="s">
        <v>11290</v>
      </c>
      <c r="B6008" t="s">
        <v>11291</v>
      </c>
    </row>
    <row r="6009" spans="1:2" ht="112" hidden="1" customHeight="1" x14ac:dyDescent="0.25">
      <c r="A6009" t="s">
        <v>12667</v>
      </c>
      <c r="B6009" t="s">
        <v>12672</v>
      </c>
    </row>
    <row r="6010" spans="1:2" ht="112" hidden="1" customHeight="1" x14ac:dyDescent="0.25">
      <c r="A6010" t="s">
        <v>12668</v>
      </c>
      <c r="B6010" t="s">
        <v>12673</v>
      </c>
    </row>
    <row r="6011" spans="1:2" ht="112" hidden="1" customHeight="1" x14ac:dyDescent="0.25">
      <c r="A6011" t="s">
        <v>12669</v>
      </c>
      <c r="B6011" t="s">
        <v>12674</v>
      </c>
    </row>
    <row r="6012" spans="1:2" ht="112" hidden="1" customHeight="1" x14ac:dyDescent="0.25">
      <c r="A6012" t="s">
        <v>12670</v>
      </c>
      <c r="B6012" t="s">
        <v>12675</v>
      </c>
    </row>
    <row r="6013" spans="1:2" ht="112" hidden="1" customHeight="1" x14ac:dyDescent="0.25">
      <c r="A6013" t="s">
        <v>12671</v>
      </c>
      <c r="B6013" t="s">
        <v>12676</v>
      </c>
    </row>
    <row r="6014" spans="1:2" ht="112" hidden="1" customHeight="1" x14ac:dyDescent="0.25">
      <c r="A6014" t="s">
        <v>12663</v>
      </c>
      <c r="B6014" t="s">
        <v>12677</v>
      </c>
    </row>
    <row r="6015" spans="1:2" ht="112" hidden="1" customHeight="1" x14ac:dyDescent="0.25">
      <c r="A6015" t="s">
        <v>12664</v>
      </c>
      <c r="B6015" t="s">
        <v>12678</v>
      </c>
    </row>
    <row r="6016" spans="1:2" ht="112" hidden="1" customHeight="1" x14ac:dyDescent="0.25">
      <c r="A6016" t="s">
        <v>12665</v>
      </c>
      <c r="B6016" t="s">
        <v>12679</v>
      </c>
    </row>
    <row r="6017" spans="1:2" ht="112" hidden="1" customHeight="1" x14ac:dyDescent="0.25">
      <c r="A6017" t="s">
        <v>12666</v>
      </c>
      <c r="B6017" t="s">
        <v>12680</v>
      </c>
    </row>
    <row r="6018" spans="1:2" ht="112" hidden="1" customHeight="1" x14ac:dyDescent="0.25">
      <c r="A6018" t="s">
        <v>11293</v>
      </c>
      <c r="B6018" t="s">
        <v>11295</v>
      </c>
    </row>
    <row r="6019" spans="1:2" ht="112" hidden="1" customHeight="1" x14ac:dyDescent="0.25">
      <c r="A6019" t="s">
        <v>11294</v>
      </c>
      <c r="B6019" t="s">
        <v>11296</v>
      </c>
    </row>
    <row r="6020" spans="1:2" ht="112" hidden="1" customHeight="1" x14ac:dyDescent="0.25">
      <c r="A6020" t="s">
        <v>11297</v>
      </c>
      <c r="B6020" s="56" t="s">
        <v>13389</v>
      </c>
    </row>
    <row r="6021" spans="1:2" ht="112" hidden="1" customHeight="1" x14ac:dyDescent="0.25">
      <c r="A6021" t="s">
        <v>11298</v>
      </c>
      <c r="B6021" s="56" t="s">
        <v>13180</v>
      </c>
    </row>
    <row r="6022" spans="1:2" ht="112" hidden="1" customHeight="1" x14ac:dyDescent="0.25">
      <c r="A6022" s="89" t="s">
        <v>12668</v>
      </c>
      <c r="B6022" s="95" t="s">
        <v>12673</v>
      </c>
    </row>
    <row r="6023" spans="1:2" ht="112" hidden="1" customHeight="1" x14ac:dyDescent="0.25">
      <c r="A6023" t="s">
        <v>12668</v>
      </c>
      <c r="B6023" t="s">
        <v>12673</v>
      </c>
    </row>
    <row r="6024" spans="1:2" ht="112" hidden="1" customHeight="1" x14ac:dyDescent="0.25">
      <c r="A6024" t="s">
        <v>12669</v>
      </c>
      <c r="B6024" t="s">
        <v>12674</v>
      </c>
    </row>
    <row r="6025" spans="1:2" ht="112" hidden="1" customHeight="1" x14ac:dyDescent="0.25">
      <c r="A6025" t="s">
        <v>12670</v>
      </c>
      <c r="B6025" t="s">
        <v>12675</v>
      </c>
    </row>
    <row r="6026" spans="1:2" ht="112" hidden="1" customHeight="1" x14ac:dyDescent="0.25">
      <c r="A6026" t="s">
        <v>12671</v>
      </c>
      <c r="B6026" t="s">
        <v>12676</v>
      </c>
    </row>
    <row r="6027" spans="1:2" ht="112" hidden="1" customHeight="1" x14ac:dyDescent="0.25">
      <c r="A6027" t="s">
        <v>12663</v>
      </c>
      <c r="B6027" t="s">
        <v>12677</v>
      </c>
    </row>
    <row r="6028" spans="1:2" ht="112" hidden="1" customHeight="1" x14ac:dyDescent="0.25">
      <c r="A6028" t="s">
        <v>12664</v>
      </c>
      <c r="B6028" t="s">
        <v>12678</v>
      </c>
    </row>
    <row r="6029" spans="1:2" ht="112" hidden="1" customHeight="1" x14ac:dyDescent="0.25">
      <c r="A6029" t="s">
        <v>12665</v>
      </c>
      <c r="B6029" t="s">
        <v>12679</v>
      </c>
    </row>
    <row r="6030" spans="1:2" ht="112" hidden="1" customHeight="1" x14ac:dyDescent="0.25">
      <c r="A6030" t="s">
        <v>12666</v>
      </c>
      <c r="B6030" t="s">
        <v>12680</v>
      </c>
    </row>
    <row r="6031" spans="1:2" ht="112" hidden="1" customHeight="1" x14ac:dyDescent="0.25">
      <c r="A6031" t="s">
        <v>11302</v>
      </c>
      <c r="B6031" t="s">
        <v>11303</v>
      </c>
    </row>
    <row r="6032" spans="1:2" ht="112" hidden="1" customHeight="1" x14ac:dyDescent="0.25">
      <c r="A6032" t="s">
        <v>11300</v>
      </c>
      <c r="B6032" t="s">
        <v>11301</v>
      </c>
    </row>
    <row r="6033" spans="1:2" ht="112" hidden="1" customHeight="1" x14ac:dyDescent="0.25">
      <c r="A6033" t="s">
        <v>11304</v>
      </c>
      <c r="B6033" t="s">
        <v>11369</v>
      </c>
    </row>
    <row r="6034" spans="1:2" ht="112" hidden="1" customHeight="1" x14ac:dyDescent="0.25">
      <c r="A6034" t="s">
        <v>11305</v>
      </c>
      <c r="B6034" t="s">
        <v>11370</v>
      </c>
    </row>
    <row r="6035" spans="1:2" ht="112" hidden="1" customHeight="1" x14ac:dyDescent="0.25">
      <c r="A6035" t="s">
        <v>11306</v>
      </c>
      <c r="B6035" t="s">
        <v>11371</v>
      </c>
    </row>
    <row r="6036" spans="1:2" ht="112" hidden="1" customHeight="1" x14ac:dyDescent="0.25">
      <c r="A6036" t="s">
        <v>11307</v>
      </c>
      <c r="B6036" t="s">
        <v>11372</v>
      </c>
    </row>
    <row r="6037" spans="1:2" ht="112" hidden="1" customHeight="1" x14ac:dyDescent="0.25">
      <c r="A6037" t="s">
        <v>11308</v>
      </c>
      <c r="B6037" t="s">
        <v>11373</v>
      </c>
    </row>
    <row r="6038" spans="1:2" ht="112" hidden="1" customHeight="1" x14ac:dyDescent="0.25">
      <c r="A6038" t="s">
        <v>11309</v>
      </c>
      <c r="B6038" t="s">
        <v>11374</v>
      </c>
    </row>
    <row r="6039" spans="1:2" ht="112" hidden="1" customHeight="1" x14ac:dyDescent="0.25">
      <c r="A6039" t="s">
        <v>11310</v>
      </c>
      <c r="B6039" t="s">
        <v>11375</v>
      </c>
    </row>
    <row r="6040" spans="1:2" ht="112" hidden="1" customHeight="1" x14ac:dyDescent="0.25">
      <c r="A6040" t="s">
        <v>11311</v>
      </c>
      <c r="B6040" t="s">
        <v>11376</v>
      </c>
    </row>
    <row r="6041" spans="1:2" ht="112" hidden="1" customHeight="1" x14ac:dyDescent="0.25">
      <c r="A6041" t="s">
        <v>11312</v>
      </c>
      <c r="B6041" t="s">
        <v>11377</v>
      </c>
    </row>
    <row r="6042" spans="1:2" ht="112" hidden="1" customHeight="1" x14ac:dyDescent="0.25">
      <c r="A6042" t="s">
        <v>11313</v>
      </c>
      <c r="B6042" t="s">
        <v>11378</v>
      </c>
    </row>
    <row r="6043" spans="1:2" ht="112" hidden="1" customHeight="1" x14ac:dyDescent="0.25">
      <c r="A6043" t="s">
        <v>11314</v>
      </c>
      <c r="B6043" t="s">
        <v>11379</v>
      </c>
    </row>
    <row r="6044" spans="1:2" ht="112" hidden="1" customHeight="1" x14ac:dyDescent="0.25">
      <c r="A6044" t="s">
        <v>11315</v>
      </c>
      <c r="B6044" t="s">
        <v>11380</v>
      </c>
    </row>
    <row r="6045" spans="1:2" ht="112" hidden="1" customHeight="1" x14ac:dyDescent="0.25">
      <c r="A6045" t="s">
        <v>11316</v>
      </c>
      <c r="B6045" t="s">
        <v>11381</v>
      </c>
    </row>
    <row r="6046" spans="1:2" ht="112" hidden="1" customHeight="1" x14ac:dyDescent="0.25">
      <c r="A6046" t="s">
        <v>11317</v>
      </c>
      <c r="B6046" t="s">
        <v>11382</v>
      </c>
    </row>
    <row r="6047" spans="1:2" ht="112" hidden="1" customHeight="1" x14ac:dyDescent="0.25">
      <c r="A6047" t="s">
        <v>11318</v>
      </c>
      <c r="B6047" t="s">
        <v>11383</v>
      </c>
    </row>
    <row r="6048" spans="1:2" ht="112" hidden="1" customHeight="1" x14ac:dyDescent="0.25">
      <c r="A6048" t="s">
        <v>11319</v>
      </c>
      <c r="B6048" t="s">
        <v>11384</v>
      </c>
    </row>
    <row r="6049" spans="1:2" ht="112" hidden="1" customHeight="1" x14ac:dyDescent="0.25">
      <c r="A6049" t="s">
        <v>11320</v>
      </c>
      <c r="B6049" t="s">
        <v>11385</v>
      </c>
    </row>
    <row r="6050" spans="1:2" ht="112" hidden="1" customHeight="1" x14ac:dyDescent="0.25">
      <c r="A6050" t="s">
        <v>11321</v>
      </c>
      <c r="B6050" t="s">
        <v>11386</v>
      </c>
    </row>
    <row r="6051" spans="1:2" ht="112" hidden="1" customHeight="1" x14ac:dyDescent="0.25">
      <c r="A6051" t="s">
        <v>11322</v>
      </c>
      <c r="B6051" t="s">
        <v>11387</v>
      </c>
    </row>
    <row r="6052" spans="1:2" ht="112" hidden="1" customHeight="1" x14ac:dyDescent="0.25">
      <c r="A6052" t="s">
        <v>11323</v>
      </c>
      <c r="B6052" t="s">
        <v>11388</v>
      </c>
    </row>
    <row r="6053" spans="1:2" ht="112" hidden="1" customHeight="1" x14ac:dyDescent="0.25">
      <c r="A6053" t="s">
        <v>11324</v>
      </c>
      <c r="B6053" t="s">
        <v>11389</v>
      </c>
    </row>
    <row r="6054" spans="1:2" ht="112" hidden="1" customHeight="1" x14ac:dyDescent="0.25">
      <c r="A6054" t="s">
        <v>11325</v>
      </c>
      <c r="B6054" t="s">
        <v>11390</v>
      </c>
    </row>
    <row r="6055" spans="1:2" ht="112" hidden="1" customHeight="1" x14ac:dyDescent="0.25">
      <c r="A6055" t="s">
        <v>11326</v>
      </c>
      <c r="B6055" t="s">
        <v>11391</v>
      </c>
    </row>
    <row r="6056" spans="1:2" ht="112" hidden="1" customHeight="1" x14ac:dyDescent="0.25">
      <c r="A6056" t="s">
        <v>11327</v>
      </c>
      <c r="B6056" t="s">
        <v>11392</v>
      </c>
    </row>
    <row r="6057" spans="1:2" ht="112" hidden="1" customHeight="1" x14ac:dyDescent="0.25">
      <c r="A6057" t="s">
        <v>11328</v>
      </c>
      <c r="B6057" t="s">
        <v>11393</v>
      </c>
    </row>
    <row r="6058" spans="1:2" ht="112" hidden="1" customHeight="1" x14ac:dyDescent="0.25">
      <c r="A6058" t="s">
        <v>11329</v>
      </c>
      <c r="B6058" t="s">
        <v>11394</v>
      </c>
    </row>
    <row r="6059" spans="1:2" ht="112" hidden="1" customHeight="1" x14ac:dyDescent="0.25">
      <c r="A6059" t="s">
        <v>11330</v>
      </c>
      <c r="B6059" t="s">
        <v>11395</v>
      </c>
    </row>
    <row r="6060" spans="1:2" ht="112" hidden="1" customHeight="1" x14ac:dyDescent="0.25">
      <c r="A6060" t="s">
        <v>11331</v>
      </c>
      <c r="B6060" t="s">
        <v>11396</v>
      </c>
    </row>
    <row r="6061" spans="1:2" ht="112" hidden="1" customHeight="1" x14ac:dyDescent="0.25">
      <c r="A6061" t="s">
        <v>11332</v>
      </c>
      <c r="B6061" t="s">
        <v>11397</v>
      </c>
    </row>
    <row r="6062" spans="1:2" ht="112" hidden="1" customHeight="1" x14ac:dyDescent="0.25">
      <c r="A6062" t="s">
        <v>11333</v>
      </c>
      <c r="B6062" t="s">
        <v>11398</v>
      </c>
    </row>
    <row r="6063" spans="1:2" ht="112" hidden="1" customHeight="1" x14ac:dyDescent="0.25">
      <c r="A6063" t="s">
        <v>11334</v>
      </c>
      <c r="B6063" t="s">
        <v>11399</v>
      </c>
    </row>
    <row r="6064" spans="1:2" ht="112" hidden="1" customHeight="1" x14ac:dyDescent="0.25">
      <c r="A6064" t="s">
        <v>11335</v>
      </c>
      <c r="B6064" t="s">
        <v>11400</v>
      </c>
    </row>
    <row r="6065" spans="1:2" ht="112" hidden="1" customHeight="1" x14ac:dyDescent="0.25">
      <c r="A6065" t="s">
        <v>11336</v>
      </c>
      <c r="B6065" t="s">
        <v>11401</v>
      </c>
    </row>
    <row r="6066" spans="1:2" ht="112" hidden="1" customHeight="1" x14ac:dyDescent="0.25">
      <c r="A6066" t="s">
        <v>11337</v>
      </c>
      <c r="B6066" t="s">
        <v>11402</v>
      </c>
    </row>
    <row r="6067" spans="1:2" ht="112" hidden="1" customHeight="1" x14ac:dyDescent="0.25">
      <c r="A6067" t="s">
        <v>11338</v>
      </c>
      <c r="B6067" t="s">
        <v>11403</v>
      </c>
    </row>
    <row r="6068" spans="1:2" ht="112" hidden="1" customHeight="1" x14ac:dyDescent="0.25">
      <c r="A6068" t="s">
        <v>11339</v>
      </c>
      <c r="B6068" t="s">
        <v>11404</v>
      </c>
    </row>
    <row r="6069" spans="1:2" ht="112" hidden="1" customHeight="1" x14ac:dyDescent="0.25">
      <c r="A6069" t="s">
        <v>11340</v>
      </c>
      <c r="B6069" t="s">
        <v>11405</v>
      </c>
    </row>
    <row r="6070" spans="1:2" ht="112" hidden="1" customHeight="1" x14ac:dyDescent="0.25">
      <c r="A6070" t="s">
        <v>11341</v>
      </c>
      <c r="B6070" t="s">
        <v>11406</v>
      </c>
    </row>
    <row r="6071" spans="1:2" ht="112" hidden="1" customHeight="1" x14ac:dyDescent="0.25">
      <c r="A6071" t="s">
        <v>11342</v>
      </c>
      <c r="B6071" t="s">
        <v>11407</v>
      </c>
    </row>
    <row r="6072" spans="1:2" ht="112" hidden="1" customHeight="1" x14ac:dyDescent="0.25">
      <c r="A6072" t="s">
        <v>11343</v>
      </c>
      <c r="B6072" t="s">
        <v>11408</v>
      </c>
    </row>
    <row r="6073" spans="1:2" ht="112" hidden="1" customHeight="1" x14ac:dyDescent="0.25">
      <c r="A6073" t="s">
        <v>11344</v>
      </c>
      <c r="B6073" t="s">
        <v>11409</v>
      </c>
    </row>
    <row r="6074" spans="1:2" ht="112" hidden="1" customHeight="1" x14ac:dyDescent="0.25">
      <c r="A6074" t="s">
        <v>11345</v>
      </c>
      <c r="B6074" t="s">
        <v>11410</v>
      </c>
    </row>
    <row r="6075" spans="1:2" ht="112" hidden="1" customHeight="1" x14ac:dyDescent="0.25">
      <c r="A6075" t="s">
        <v>11346</v>
      </c>
      <c r="B6075" t="s">
        <v>11411</v>
      </c>
    </row>
    <row r="6076" spans="1:2" ht="112" hidden="1" customHeight="1" x14ac:dyDescent="0.25">
      <c r="A6076" t="s">
        <v>11347</v>
      </c>
      <c r="B6076" t="s">
        <v>11412</v>
      </c>
    </row>
    <row r="6077" spans="1:2" ht="112" hidden="1" customHeight="1" x14ac:dyDescent="0.25">
      <c r="A6077" t="s">
        <v>11348</v>
      </c>
      <c r="B6077" t="s">
        <v>11413</v>
      </c>
    </row>
    <row r="6078" spans="1:2" ht="112" hidden="1" customHeight="1" x14ac:dyDescent="0.25">
      <c r="A6078" t="s">
        <v>11349</v>
      </c>
      <c r="B6078" t="s">
        <v>11414</v>
      </c>
    </row>
    <row r="6079" spans="1:2" ht="112" hidden="1" customHeight="1" x14ac:dyDescent="0.25">
      <c r="A6079" t="s">
        <v>11350</v>
      </c>
      <c r="B6079" t="s">
        <v>11415</v>
      </c>
    </row>
    <row r="6080" spans="1:2" ht="112" hidden="1" customHeight="1" x14ac:dyDescent="0.25">
      <c r="A6080" t="s">
        <v>11351</v>
      </c>
      <c r="B6080" t="s">
        <v>11416</v>
      </c>
    </row>
    <row r="6081" spans="1:2" ht="112" hidden="1" customHeight="1" x14ac:dyDescent="0.25">
      <c r="A6081" t="s">
        <v>11352</v>
      </c>
      <c r="B6081" t="s">
        <v>11417</v>
      </c>
    </row>
    <row r="6082" spans="1:2" ht="112" hidden="1" customHeight="1" x14ac:dyDescent="0.25">
      <c r="A6082" t="s">
        <v>11353</v>
      </c>
      <c r="B6082" t="s">
        <v>11418</v>
      </c>
    </row>
    <row r="6083" spans="1:2" ht="112" hidden="1" customHeight="1" x14ac:dyDescent="0.25">
      <c r="A6083" t="s">
        <v>11354</v>
      </c>
      <c r="B6083" t="s">
        <v>11419</v>
      </c>
    </row>
    <row r="6084" spans="1:2" ht="112" hidden="1" customHeight="1" x14ac:dyDescent="0.25">
      <c r="A6084" t="s">
        <v>11355</v>
      </c>
      <c r="B6084" t="s">
        <v>11420</v>
      </c>
    </row>
    <row r="6085" spans="1:2" ht="112" hidden="1" customHeight="1" x14ac:dyDescent="0.25">
      <c r="A6085" t="s">
        <v>11354</v>
      </c>
      <c r="B6085" t="s">
        <v>11419</v>
      </c>
    </row>
    <row r="6086" spans="1:2" ht="112" hidden="1" customHeight="1" x14ac:dyDescent="0.25">
      <c r="A6086" t="s">
        <v>11356</v>
      </c>
      <c r="B6086" t="s">
        <v>11421</v>
      </c>
    </row>
    <row r="6087" spans="1:2" ht="112" hidden="1" customHeight="1" x14ac:dyDescent="0.25">
      <c r="A6087" t="s">
        <v>11357</v>
      </c>
      <c r="B6087" t="s">
        <v>11422</v>
      </c>
    </row>
    <row r="6088" spans="1:2" ht="112" hidden="1" customHeight="1" x14ac:dyDescent="0.25">
      <c r="A6088" t="s">
        <v>11358</v>
      </c>
      <c r="B6088" t="s">
        <v>11423</v>
      </c>
    </row>
    <row r="6089" spans="1:2" ht="112" hidden="1" customHeight="1" x14ac:dyDescent="0.25">
      <c r="A6089" t="s">
        <v>11359</v>
      </c>
      <c r="B6089" t="s">
        <v>11424</v>
      </c>
    </row>
    <row r="6090" spans="1:2" ht="112" hidden="1" customHeight="1" x14ac:dyDescent="0.25">
      <c r="A6090" t="s">
        <v>11360</v>
      </c>
      <c r="B6090" t="s">
        <v>11425</v>
      </c>
    </row>
    <row r="6091" spans="1:2" ht="112" hidden="1" customHeight="1" x14ac:dyDescent="0.25">
      <c r="A6091" t="s">
        <v>11361</v>
      </c>
      <c r="B6091" t="s">
        <v>11426</v>
      </c>
    </row>
    <row r="6092" spans="1:2" ht="112" hidden="1" customHeight="1" x14ac:dyDescent="0.25">
      <c r="A6092" t="s">
        <v>11362</v>
      </c>
      <c r="B6092" t="s">
        <v>11427</v>
      </c>
    </row>
    <row r="6093" spans="1:2" ht="112" hidden="1" customHeight="1" x14ac:dyDescent="0.25">
      <c r="A6093" t="s">
        <v>11363</v>
      </c>
      <c r="B6093" t="s">
        <v>11428</v>
      </c>
    </row>
    <row r="6094" spans="1:2" ht="112" hidden="1" customHeight="1" x14ac:dyDescent="0.25">
      <c r="A6094" t="s">
        <v>11364</v>
      </c>
      <c r="B6094" t="s">
        <v>11429</v>
      </c>
    </row>
    <row r="6095" spans="1:2" ht="112" hidden="1" customHeight="1" x14ac:dyDescent="0.25">
      <c r="A6095" t="s">
        <v>11365</v>
      </c>
      <c r="B6095" t="s">
        <v>11430</v>
      </c>
    </row>
    <row r="6096" spans="1:2" ht="112" hidden="1" customHeight="1" x14ac:dyDescent="0.25">
      <c r="A6096" t="s">
        <v>11366</v>
      </c>
      <c r="B6096" t="s">
        <v>11431</v>
      </c>
    </row>
    <row r="6097" spans="1:2" ht="112" hidden="1" customHeight="1" x14ac:dyDescent="0.25">
      <c r="A6097" t="s">
        <v>11367</v>
      </c>
      <c r="B6097" t="s">
        <v>11432</v>
      </c>
    </row>
    <row r="6098" spans="1:2" ht="112" hidden="1" customHeight="1" x14ac:dyDescent="0.25">
      <c r="A6098" t="s">
        <v>11368</v>
      </c>
      <c r="B6098" t="s">
        <v>11433</v>
      </c>
    </row>
    <row r="6099" spans="1:2" ht="112" hidden="1" customHeight="1" x14ac:dyDescent="0.25">
      <c r="A6099" t="s">
        <v>11434</v>
      </c>
      <c r="B6099" t="s">
        <v>11443</v>
      </c>
    </row>
    <row r="6100" spans="1:2" ht="112" hidden="1" customHeight="1" x14ac:dyDescent="0.25">
      <c r="A6100" t="s">
        <v>11435</v>
      </c>
      <c r="B6100" t="s">
        <v>11444</v>
      </c>
    </row>
    <row r="6101" spans="1:2" ht="112" hidden="1" customHeight="1" x14ac:dyDescent="0.25">
      <c r="A6101" t="s">
        <v>11436</v>
      </c>
      <c r="B6101" t="s">
        <v>11445</v>
      </c>
    </row>
    <row r="6102" spans="1:2" ht="112" hidden="1" customHeight="1" x14ac:dyDescent="0.25">
      <c r="A6102" t="s">
        <v>11437</v>
      </c>
      <c r="B6102" t="s">
        <v>11446</v>
      </c>
    </row>
    <row r="6103" spans="1:2" ht="112" hidden="1" customHeight="1" x14ac:dyDescent="0.25">
      <c r="A6103" t="s">
        <v>11438</v>
      </c>
      <c r="B6103" t="s">
        <v>11447</v>
      </c>
    </row>
    <row r="6104" spans="1:2" ht="112" hidden="1" customHeight="1" x14ac:dyDescent="0.25">
      <c r="A6104" t="s">
        <v>11439</v>
      </c>
      <c r="B6104" t="s">
        <v>11448</v>
      </c>
    </row>
    <row r="6105" spans="1:2" ht="112" hidden="1" customHeight="1" x14ac:dyDescent="0.25">
      <c r="A6105" t="s">
        <v>11440</v>
      </c>
      <c r="B6105" t="s">
        <v>11449</v>
      </c>
    </row>
    <row r="6106" spans="1:2" ht="112" hidden="1" customHeight="1" x14ac:dyDescent="0.25">
      <c r="A6106" t="s">
        <v>11441</v>
      </c>
      <c r="B6106" t="s">
        <v>11450</v>
      </c>
    </row>
    <row r="6107" spans="1:2" ht="112" hidden="1" customHeight="1" x14ac:dyDescent="0.25">
      <c r="A6107" t="s">
        <v>11442</v>
      </c>
      <c r="B6107" t="s">
        <v>11451</v>
      </c>
    </row>
    <row r="6108" spans="1:2" ht="112" hidden="1" customHeight="1" x14ac:dyDescent="0.25">
      <c r="A6108" t="s">
        <v>11452</v>
      </c>
      <c r="B6108" t="s">
        <v>11456</v>
      </c>
    </row>
    <row r="6109" spans="1:2" ht="112" hidden="1" customHeight="1" x14ac:dyDescent="0.25">
      <c r="A6109" t="s">
        <v>11453</v>
      </c>
      <c r="B6109" t="s">
        <v>11457</v>
      </c>
    </row>
    <row r="6110" spans="1:2" ht="112" hidden="1" customHeight="1" x14ac:dyDescent="0.25">
      <c r="A6110" t="s">
        <v>11454</v>
      </c>
      <c r="B6110" t="s">
        <v>11458</v>
      </c>
    </row>
    <row r="6111" spans="1:2" ht="112" hidden="1" customHeight="1" x14ac:dyDescent="0.25">
      <c r="A6111" t="s">
        <v>11455</v>
      </c>
      <c r="B6111" t="s">
        <v>11459</v>
      </c>
    </row>
    <row r="6112" spans="1:2" ht="112" hidden="1" customHeight="1" x14ac:dyDescent="0.25">
      <c r="A6112" t="s">
        <v>11460</v>
      </c>
      <c r="B6112" t="s">
        <v>11463</v>
      </c>
    </row>
    <row r="6113" spans="1:2" ht="112" hidden="1" customHeight="1" x14ac:dyDescent="0.25">
      <c r="A6113" t="s">
        <v>11461</v>
      </c>
      <c r="B6113" t="s">
        <v>11464</v>
      </c>
    </row>
    <row r="6114" spans="1:2" ht="112" hidden="1" customHeight="1" x14ac:dyDescent="0.25">
      <c r="A6114" t="s">
        <v>11462</v>
      </c>
      <c r="B6114" t="s">
        <v>11465</v>
      </c>
    </row>
    <row r="6115" spans="1:2" ht="112" hidden="1" customHeight="1" x14ac:dyDescent="0.25">
      <c r="A6115" t="s">
        <v>11466</v>
      </c>
      <c r="B6115" t="s">
        <v>11468</v>
      </c>
    </row>
    <row r="6116" spans="1:2" ht="112" hidden="1" customHeight="1" x14ac:dyDescent="0.25">
      <c r="A6116" t="s">
        <v>11467</v>
      </c>
      <c r="B6116" t="s">
        <v>11469</v>
      </c>
    </row>
    <row r="6117" spans="1:2" ht="112" hidden="1" customHeight="1" x14ac:dyDescent="0.25">
      <c r="A6117" t="s">
        <v>11470</v>
      </c>
      <c r="B6117" t="s">
        <v>11471</v>
      </c>
    </row>
    <row r="6118" spans="1:2" ht="112" hidden="1" customHeight="1" x14ac:dyDescent="0.25">
      <c r="A6118" t="s">
        <v>11472</v>
      </c>
      <c r="B6118" t="s">
        <v>11488</v>
      </c>
    </row>
    <row r="6119" spans="1:2" ht="112" hidden="1" customHeight="1" x14ac:dyDescent="0.25">
      <c r="A6119" t="s">
        <v>11473</v>
      </c>
      <c r="B6119" t="s">
        <v>11489</v>
      </c>
    </row>
    <row r="6120" spans="1:2" ht="112" hidden="1" customHeight="1" x14ac:dyDescent="0.25">
      <c r="A6120" t="s">
        <v>11474</v>
      </c>
      <c r="B6120" s="56" t="s">
        <v>11646</v>
      </c>
    </row>
    <row r="6121" spans="1:2" ht="112" hidden="1" customHeight="1" x14ac:dyDescent="0.25">
      <c r="A6121" t="s">
        <v>11475</v>
      </c>
      <c r="B6121" t="s">
        <v>11490</v>
      </c>
    </row>
    <row r="6122" spans="1:2" ht="112" hidden="1" customHeight="1" x14ac:dyDescent="0.25">
      <c r="A6122" t="s">
        <v>11476</v>
      </c>
      <c r="B6122" t="s">
        <v>11491</v>
      </c>
    </row>
    <row r="6123" spans="1:2" ht="112" hidden="1" customHeight="1" x14ac:dyDescent="0.25">
      <c r="A6123" t="s">
        <v>11477</v>
      </c>
      <c r="B6123" t="s">
        <v>11492</v>
      </c>
    </row>
    <row r="6124" spans="1:2" ht="112" hidden="1" customHeight="1" x14ac:dyDescent="0.25">
      <c r="A6124" t="s">
        <v>11478</v>
      </c>
      <c r="B6124" t="s">
        <v>11493</v>
      </c>
    </row>
    <row r="6125" spans="1:2" ht="112" hidden="1" customHeight="1" x14ac:dyDescent="0.25">
      <c r="A6125" t="s">
        <v>11479</v>
      </c>
      <c r="B6125" t="s">
        <v>11494</v>
      </c>
    </row>
    <row r="6126" spans="1:2" ht="112" hidden="1" customHeight="1" x14ac:dyDescent="0.25">
      <c r="A6126" t="s">
        <v>11480</v>
      </c>
      <c r="B6126" t="s">
        <v>11495</v>
      </c>
    </row>
    <row r="6127" spans="1:2" ht="112" hidden="1" customHeight="1" x14ac:dyDescent="0.25">
      <c r="A6127" t="s">
        <v>11481</v>
      </c>
      <c r="B6127" t="s">
        <v>11496</v>
      </c>
    </row>
    <row r="6128" spans="1:2" ht="112" hidden="1" customHeight="1" x14ac:dyDescent="0.25">
      <c r="A6128" t="s">
        <v>11482</v>
      </c>
      <c r="B6128" t="s">
        <v>11497</v>
      </c>
    </row>
    <row r="6129" spans="1:2" ht="112" hidden="1" customHeight="1" x14ac:dyDescent="0.25">
      <c r="A6129" t="s">
        <v>11483</v>
      </c>
      <c r="B6129" t="s">
        <v>11498</v>
      </c>
    </row>
    <row r="6130" spans="1:2" ht="112" hidden="1" customHeight="1" x14ac:dyDescent="0.25">
      <c r="A6130" t="s">
        <v>11484</v>
      </c>
      <c r="B6130" t="s">
        <v>11499</v>
      </c>
    </row>
    <row r="6131" spans="1:2" ht="112" hidden="1" customHeight="1" x14ac:dyDescent="0.25">
      <c r="A6131" t="s">
        <v>11485</v>
      </c>
      <c r="B6131" t="s">
        <v>11500</v>
      </c>
    </row>
    <row r="6132" spans="1:2" ht="112" hidden="1" customHeight="1" x14ac:dyDescent="0.25">
      <c r="A6132" t="s">
        <v>11486</v>
      </c>
      <c r="B6132" t="s">
        <v>11501</v>
      </c>
    </row>
    <row r="6133" spans="1:2" ht="112" hidden="1" customHeight="1" x14ac:dyDescent="0.25">
      <c r="A6133" t="s">
        <v>11487</v>
      </c>
      <c r="B6133" s="56" t="s">
        <v>12108</v>
      </c>
    </row>
    <row r="6134" spans="1:2" ht="112" hidden="1" customHeight="1" x14ac:dyDescent="0.25">
      <c r="A6134" t="s">
        <v>11504</v>
      </c>
      <c r="B6134" t="s">
        <v>11526</v>
      </c>
    </row>
    <row r="6135" spans="1:2" ht="112" hidden="1" customHeight="1" x14ac:dyDescent="0.25">
      <c r="A6135" t="s">
        <v>11505</v>
      </c>
      <c r="B6135" t="s">
        <v>11527</v>
      </c>
    </row>
    <row r="6136" spans="1:2" ht="112" hidden="1" customHeight="1" x14ac:dyDescent="0.25">
      <c r="A6136" t="s">
        <v>11506</v>
      </c>
      <c r="B6136" s="56" t="s">
        <v>13027</v>
      </c>
    </row>
    <row r="6137" spans="1:2" ht="112" hidden="1" customHeight="1" x14ac:dyDescent="0.25">
      <c r="A6137" t="s">
        <v>11507</v>
      </c>
      <c r="B6137" t="s">
        <v>11528</v>
      </c>
    </row>
    <row r="6138" spans="1:2" ht="112" hidden="1" customHeight="1" x14ac:dyDescent="0.25">
      <c r="A6138" t="s">
        <v>11508</v>
      </c>
      <c r="B6138" t="s">
        <v>11529</v>
      </c>
    </row>
    <row r="6139" spans="1:2" ht="112" hidden="1" customHeight="1" x14ac:dyDescent="0.25">
      <c r="A6139" t="s">
        <v>11509</v>
      </c>
      <c r="B6139" t="s">
        <v>11530</v>
      </c>
    </row>
    <row r="6140" spans="1:2" ht="112" hidden="1" customHeight="1" x14ac:dyDescent="0.25">
      <c r="A6140" t="s">
        <v>11510</v>
      </c>
      <c r="B6140" t="s">
        <v>11531</v>
      </c>
    </row>
    <row r="6141" spans="1:2" ht="112" hidden="1" customHeight="1" x14ac:dyDescent="0.25">
      <c r="A6141" t="s">
        <v>11511</v>
      </c>
      <c r="B6141" t="s">
        <v>11532</v>
      </c>
    </row>
    <row r="6142" spans="1:2" ht="112" hidden="1" customHeight="1" x14ac:dyDescent="0.25">
      <c r="A6142" t="s">
        <v>11512</v>
      </c>
      <c r="B6142" t="s">
        <v>11533</v>
      </c>
    </row>
    <row r="6143" spans="1:2" ht="112" hidden="1" customHeight="1" x14ac:dyDescent="0.25">
      <c r="A6143" t="s">
        <v>11513</v>
      </c>
      <c r="B6143" t="s">
        <v>11534</v>
      </c>
    </row>
    <row r="6144" spans="1:2" ht="112" hidden="1" customHeight="1" x14ac:dyDescent="0.25">
      <c r="A6144" t="s">
        <v>11514</v>
      </c>
      <c r="B6144" t="s">
        <v>11535</v>
      </c>
    </row>
    <row r="6145" spans="1:2" ht="112" hidden="1" customHeight="1" x14ac:dyDescent="0.25">
      <c r="A6145" t="s">
        <v>11515</v>
      </c>
      <c r="B6145" t="s">
        <v>11536</v>
      </c>
    </row>
    <row r="6146" spans="1:2" ht="112" hidden="1" customHeight="1" x14ac:dyDescent="0.25">
      <c r="A6146" t="s">
        <v>11516</v>
      </c>
      <c r="B6146" t="s">
        <v>11537</v>
      </c>
    </row>
    <row r="6147" spans="1:2" ht="112" hidden="1" customHeight="1" x14ac:dyDescent="0.25">
      <c r="A6147" t="s">
        <v>11517</v>
      </c>
      <c r="B6147" t="s">
        <v>11538</v>
      </c>
    </row>
    <row r="6148" spans="1:2" ht="112" hidden="1" customHeight="1" x14ac:dyDescent="0.25">
      <c r="A6148" t="s">
        <v>11518</v>
      </c>
      <c r="B6148" t="s">
        <v>11539</v>
      </c>
    </row>
    <row r="6149" spans="1:2" ht="112" hidden="1" customHeight="1" x14ac:dyDescent="0.25">
      <c r="A6149" t="s">
        <v>11519</v>
      </c>
      <c r="B6149" t="s">
        <v>11540</v>
      </c>
    </row>
    <row r="6150" spans="1:2" ht="112" hidden="1" customHeight="1" x14ac:dyDescent="0.25">
      <c r="A6150" t="s">
        <v>11520</v>
      </c>
      <c r="B6150" t="s">
        <v>11541</v>
      </c>
    </row>
    <row r="6151" spans="1:2" ht="112" hidden="1" customHeight="1" x14ac:dyDescent="0.25">
      <c r="A6151" t="s">
        <v>11521</v>
      </c>
      <c r="B6151" t="s">
        <v>11542</v>
      </c>
    </row>
    <row r="6152" spans="1:2" ht="112" hidden="1" customHeight="1" x14ac:dyDescent="0.25">
      <c r="A6152" t="s">
        <v>11522</v>
      </c>
      <c r="B6152" t="s">
        <v>11543</v>
      </c>
    </row>
    <row r="6153" spans="1:2" ht="112" hidden="1" customHeight="1" x14ac:dyDescent="0.25">
      <c r="A6153" t="s">
        <v>11523</v>
      </c>
      <c r="B6153" t="s">
        <v>11544</v>
      </c>
    </row>
    <row r="6154" spans="1:2" ht="112" hidden="1" customHeight="1" x14ac:dyDescent="0.25">
      <c r="A6154" t="s">
        <v>11524</v>
      </c>
      <c r="B6154" t="s">
        <v>11545</v>
      </c>
    </row>
    <row r="6155" spans="1:2" ht="112" hidden="1" customHeight="1" x14ac:dyDescent="0.25">
      <c r="A6155" t="s">
        <v>11525</v>
      </c>
      <c r="B6155" t="s">
        <v>11546</v>
      </c>
    </row>
    <row r="6156" spans="1:2" ht="112" hidden="1" customHeight="1" x14ac:dyDescent="0.25">
      <c r="A6156" t="s">
        <v>11504</v>
      </c>
      <c r="B6156" t="s">
        <v>11526</v>
      </c>
    </row>
    <row r="6157" spans="1:2" ht="112" hidden="1" customHeight="1" x14ac:dyDescent="0.25">
      <c r="A6157" t="s">
        <v>11547</v>
      </c>
      <c r="B6157" t="s">
        <v>11593</v>
      </c>
    </row>
    <row r="6158" spans="1:2" ht="112" hidden="1" customHeight="1" x14ac:dyDescent="0.25">
      <c r="A6158" t="s">
        <v>11548</v>
      </c>
      <c r="B6158" t="s">
        <v>11594</v>
      </c>
    </row>
    <row r="6159" spans="1:2" ht="112" hidden="1" customHeight="1" x14ac:dyDescent="0.25">
      <c r="A6159" t="s">
        <v>11549</v>
      </c>
      <c r="B6159" t="s">
        <v>11595</v>
      </c>
    </row>
    <row r="6160" spans="1:2" ht="112" hidden="1" customHeight="1" x14ac:dyDescent="0.25">
      <c r="A6160" t="s">
        <v>11550</v>
      </c>
      <c r="B6160" t="s">
        <v>11596</v>
      </c>
    </row>
    <row r="6161" spans="1:2" ht="112" hidden="1" customHeight="1" x14ac:dyDescent="0.25">
      <c r="A6161" t="s">
        <v>11551</v>
      </c>
      <c r="B6161" t="s">
        <v>11597</v>
      </c>
    </row>
    <row r="6162" spans="1:2" ht="112" hidden="1" customHeight="1" x14ac:dyDescent="0.25">
      <c r="A6162" t="s">
        <v>11552</v>
      </c>
      <c r="B6162" t="s">
        <v>11598</v>
      </c>
    </row>
    <row r="6163" spans="1:2" ht="112" hidden="1" customHeight="1" x14ac:dyDescent="0.25">
      <c r="A6163" t="s">
        <v>11553</v>
      </c>
      <c r="B6163" t="s">
        <v>11599</v>
      </c>
    </row>
    <row r="6164" spans="1:2" ht="112" hidden="1" customHeight="1" x14ac:dyDescent="0.25">
      <c r="A6164" t="s">
        <v>11554</v>
      </c>
      <c r="B6164" t="s">
        <v>11600</v>
      </c>
    </row>
    <row r="6165" spans="1:2" ht="112" hidden="1" customHeight="1" x14ac:dyDescent="0.25">
      <c r="A6165" t="s">
        <v>11555</v>
      </c>
      <c r="B6165" t="s">
        <v>11601</v>
      </c>
    </row>
    <row r="6166" spans="1:2" ht="112" hidden="1" customHeight="1" x14ac:dyDescent="0.25">
      <c r="A6166" t="s">
        <v>11556</v>
      </c>
      <c r="B6166" t="s">
        <v>11602</v>
      </c>
    </row>
    <row r="6167" spans="1:2" ht="112" hidden="1" customHeight="1" x14ac:dyDescent="0.25">
      <c r="A6167" t="s">
        <v>11557</v>
      </c>
      <c r="B6167" t="s">
        <v>11603</v>
      </c>
    </row>
    <row r="6168" spans="1:2" ht="112" hidden="1" customHeight="1" x14ac:dyDescent="0.25">
      <c r="A6168" t="s">
        <v>11558</v>
      </c>
      <c r="B6168" t="s">
        <v>11604</v>
      </c>
    </row>
    <row r="6169" spans="1:2" ht="112" hidden="1" customHeight="1" x14ac:dyDescent="0.25">
      <c r="A6169" t="s">
        <v>11559</v>
      </c>
      <c r="B6169" t="s">
        <v>11605</v>
      </c>
    </row>
    <row r="6170" spans="1:2" ht="112" hidden="1" customHeight="1" x14ac:dyDescent="0.25">
      <c r="A6170" t="s">
        <v>11560</v>
      </c>
      <c r="B6170" t="s">
        <v>11606</v>
      </c>
    </row>
    <row r="6171" spans="1:2" ht="112" hidden="1" customHeight="1" x14ac:dyDescent="0.25">
      <c r="A6171" t="s">
        <v>11561</v>
      </c>
      <c r="B6171" t="s">
        <v>11607</v>
      </c>
    </row>
    <row r="6172" spans="1:2" ht="112" hidden="1" customHeight="1" x14ac:dyDescent="0.25">
      <c r="A6172" t="s">
        <v>11562</v>
      </c>
      <c r="B6172" t="s">
        <v>11608</v>
      </c>
    </row>
    <row r="6173" spans="1:2" ht="112" hidden="1" customHeight="1" x14ac:dyDescent="0.25">
      <c r="A6173" t="s">
        <v>11563</v>
      </c>
      <c r="B6173" t="s">
        <v>11609</v>
      </c>
    </row>
    <row r="6174" spans="1:2" ht="112" hidden="1" customHeight="1" x14ac:dyDescent="0.25">
      <c r="A6174" t="s">
        <v>11564</v>
      </c>
      <c r="B6174" t="s">
        <v>11610</v>
      </c>
    </row>
    <row r="6175" spans="1:2" ht="112" hidden="1" customHeight="1" x14ac:dyDescent="0.25">
      <c r="A6175" t="s">
        <v>11565</v>
      </c>
      <c r="B6175" t="s">
        <v>11611</v>
      </c>
    </row>
    <row r="6176" spans="1:2" ht="112" hidden="1" customHeight="1" x14ac:dyDescent="0.25">
      <c r="A6176" t="s">
        <v>11566</v>
      </c>
      <c r="B6176" t="s">
        <v>11612</v>
      </c>
    </row>
    <row r="6177" spans="1:2" ht="112" hidden="1" customHeight="1" x14ac:dyDescent="0.25">
      <c r="A6177" t="s">
        <v>11567</v>
      </c>
      <c r="B6177" t="s">
        <v>11613</v>
      </c>
    </row>
    <row r="6178" spans="1:2" ht="112" hidden="1" customHeight="1" x14ac:dyDescent="0.25">
      <c r="A6178" t="s">
        <v>11568</v>
      </c>
      <c r="B6178" t="s">
        <v>11614</v>
      </c>
    </row>
    <row r="6179" spans="1:2" ht="112" hidden="1" customHeight="1" x14ac:dyDescent="0.25">
      <c r="A6179" t="s">
        <v>11569</v>
      </c>
      <c r="B6179" t="s">
        <v>11615</v>
      </c>
    </row>
    <row r="6180" spans="1:2" ht="112" hidden="1" customHeight="1" x14ac:dyDescent="0.25">
      <c r="A6180" t="s">
        <v>11570</v>
      </c>
      <c r="B6180" t="s">
        <v>11616</v>
      </c>
    </row>
    <row r="6181" spans="1:2" ht="112" hidden="1" customHeight="1" x14ac:dyDescent="0.25">
      <c r="A6181" t="s">
        <v>11571</v>
      </c>
      <c r="B6181" t="s">
        <v>11617</v>
      </c>
    </row>
    <row r="6182" spans="1:2" ht="112" hidden="1" customHeight="1" x14ac:dyDescent="0.25">
      <c r="A6182" t="s">
        <v>11572</v>
      </c>
      <c r="B6182" t="s">
        <v>11618</v>
      </c>
    </row>
    <row r="6183" spans="1:2" ht="112" hidden="1" customHeight="1" x14ac:dyDescent="0.25">
      <c r="A6183" t="s">
        <v>11573</v>
      </c>
      <c r="B6183" t="s">
        <v>11619</v>
      </c>
    </row>
    <row r="6184" spans="1:2" ht="112" hidden="1" customHeight="1" x14ac:dyDescent="0.25">
      <c r="A6184" t="s">
        <v>11574</v>
      </c>
      <c r="B6184" t="s">
        <v>11620</v>
      </c>
    </row>
    <row r="6185" spans="1:2" ht="112" hidden="1" customHeight="1" x14ac:dyDescent="0.25">
      <c r="A6185" t="s">
        <v>11575</v>
      </c>
      <c r="B6185" t="s">
        <v>11621</v>
      </c>
    </row>
    <row r="6186" spans="1:2" ht="112" hidden="1" customHeight="1" x14ac:dyDescent="0.25">
      <c r="A6186" t="s">
        <v>11576</v>
      </c>
      <c r="B6186" t="s">
        <v>11622</v>
      </c>
    </row>
    <row r="6187" spans="1:2" ht="112" hidden="1" customHeight="1" x14ac:dyDescent="0.25">
      <c r="A6187" t="s">
        <v>11577</v>
      </c>
      <c r="B6187" t="s">
        <v>11623</v>
      </c>
    </row>
    <row r="6188" spans="1:2" ht="112" hidden="1" customHeight="1" x14ac:dyDescent="0.25">
      <c r="A6188" t="s">
        <v>11578</v>
      </c>
      <c r="B6188" t="s">
        <v>11624</v>
      </c>
    </row>
    <row r="6189" spans="1:2" ht="112" hidden="1" customHeight="1" x14ac:dyDescent="0.25">
      <c r="A6189" t="s">
        <v>11579</v>
      </c>
      <c r="B6189" t="s">
        <v>11625</v>
      </c>
    </row>
    <row r="6190" spans="1:2" ht="112" hidden="1" customHeight="1" x14ac:dyDescent="0.25">
      <c r="A6190" t="s">
        <v>11580</v>
      </c>
      <c r="B6190" t="s">
        <v>11626</v>
      </c>
    </row>
    <row r="6191" spans="1:2" ht="112" hidden="1" customHeight="1" x14ac:dyDescent="0.25">
      <c r="A6191" t="s">
        <v>11581</v>
      </c>
      <c r="B6191" t="s">
        <v>11627</v>
      </c>
    </row>
    <row r="6192" spans="1:2" ht="112" hidden="1" customHeight="1" x14ac:dyDescent="0.25">
      <c r="A6192" t="s">
        <v>11582</v>
      </c>
      <c r="B6192" t="s">
        <v>11628</v>
      </c>
    </row>
    <row r="6193" spans="1:2" ht="112" hidden="1" customHeight="1" x14ac:dyDescent="0.25">
      <c r="A6193" t="s">
        <v>11583</v>
      </c>
      <c r="B6193" t="s">
        <v>11629</v>
      </c>
    </row>
    <row r="6194" spans="1:2" ht="112" hidden="1" customHeight="1" x14ac:dyDescent="0.25">
      <c r="A6194" t="s">
        <v>11584</v>
      </c>
      <c r="B6194" t="s">
        <v>11630</v>
      </c>
    </row>
    <row r="6195" spans="1:2" ht="112" hidden="1" customHeight="1" x14ac:dyDescent="0.25">
      <c r="A6195" t="s">
        <v>11585</v>
      </c>
      <c r="B6195" t="s">
        <v>11631</v>
      </c>
    </row>
    <row r="6196" spans="1:2" ht="112" hidden="1" customHeight="1" x14ac:dyDescent="0.25">
      <c r="A6196" t="s">
        <v>11586</v>
      </c>
      <c r="B6196" t="s">
        <v>11632</v>
      </c>
    </row>
    <row r="6197" spans="1:2" ht="112" hidden="1" customHeight="1" x14ac:dyDescent="0.25">
      <c r="A6197" t="s">
        <v>11587</v>
      </c>
      <c r="B6197" t="s">
        <v>11633</v>
      </c>
    </row>
    <row r="6198" spans="1:2" ht="112" hidden="1" customHeight="1" x14ac:dyDescent="0.25">
      <c r="A6198" t="s">
        <v>11588</v>
      </c>
      <c r="B6198" t="s">
        <v>11634</v>
      </c>
    </row>
    <row r="6199" spans="1:2" ht="112" hidden="1" customHeight="1" x14ac:dyDescent="0.25">
      <c r="A6199" t="s">
        <v>11589</v>
      </c>
      <c r="B6199" t="s">
        <v>11635</v>
      </c>
    </row>
    <row r="6200" spans="1:2" ht="112" hidden="1" customHeight="1" x14ac:dyDescent="0.25">
      <c r="A6200" t="s">
        <v>11590</v>
      </c>
      <c r="B6200" t="s">
        <v>11636</v>
      </c>
    </row>
    <row r="6201" spans="1:2" ht="112" hidden="1" customHeight="1" x14ac:dyDescent="0.25">
      <c r="A6201" t="s">
        <v>11591</v>
      </c>
      <c r="B6201" t="s">
        <v>11637</v>
      </c>
    </row>
    <row r="6202" spans="1:2" ht="112" hidden="1" customHeight="1" x14ac:dyDescent="0.25">
      <c r="A6202" t="s">
        <v>11592</v>
      </c>
      <c r="B6202" t="s">
        <v>11638</v>
      </c>
    </row>
    <row r="6203" spans="1:2" ht="112" hidden="1" customHeight="1" x14ac:dyDescent="0.25">
      <c r="A6203" t="s">
        <v>11564</v>
      </c>
      <c r="B6203" t="s">
        <v>11610</v>
      </c>
    </row>
    <row r="6204" spans="1:2" ht="112" hidden="1" customHeight="1" x14ac:dyDescent="0.25">
      <c r="A6204" t="s">
        <v>11565</v>
      </c>
      <c r="B6204" t="s">
        <v>11611</v>
      </c>
    </row>
    <row r="6205" spans="1:2" ht="112" hidden="1" customHeight="1" x14ac:dyDescent="0.25">
      <c r="A6205" t="s">
        <v>11566</v>
      </c>
      <c r="B6205" t="s">
        <v>11612</v>
      </c>
    </row>
    <row r="6206" spans="1:2" ht="112" hidden="1" customHeight="1" x14ac:dyDescent="0.25">
      <c r="A6206" t="s">
        <v>11567</v>
      </c>
      <c r="B6206" t="s">
        <v>11613</v>
      </c>
    </row>
    <row r="6207" spans="1:2" ht="112" hidden="1" customHeight="1" x14ac:dyDescent="0.25">
      <c r="A6207" t="s">
        <v>11568</v>
      </c>
      <c r="B6207" t="s">
        <v>11614</v>
      </c>
    </row>
    <row r="6208" spans="1:2" ht="112" hidden="1" customHeight="1" x14ac:dyDescent="0.25">
      <c r="A6208" t="s">
        <v>11569</v>
      </c>
      <c r="B6208" t="s">
        <v>11615</v>
      </c>
    </row>
    <row r="6209" spans="1:2" ht="112" hidden="1" customHeight="1" x14ac:dyDescent="0.25">
      <c r="A6209" t="s">
        <v>11570</v>
      </c>
      <c r="B6209" t="s">
        <v>11616</v>
      </c>
    </row>
    <row r="6210" spans="1:2" ht="112" hidden="1" customHeight="1" x14ac:dyDescent="0.25">
      <c r="A6210" t="s">
        <v>11571</v>
      </c>
      <c r="B6210" t="s">
        <v>11617</v>
      </c>
    </row>
    <row r="6211" spans="1:2" ht="112" hidden="1" customHeight="1" x14ac:dyDescent="0.25">
      <c r="A6211" t="s">
        <v>11572</v>
      </c>
      <c r="B6211" t="s">
        <v>11618</v>
      </c>
    </row>
    <row r="6212" spans="1:2" ht="112" hidden="1" customHeight="1" x14ac:dyDescent="0.25">
      <c r="A6212" t="s">
        <v>11573</v>
      </c>
      <c r="B6212" t="s">
        <v>11619</v>
      </c>
    </row>
    <row r="6213" spans="1:2" ht="112" hidden="1" customHeight="1" x14ac:dyDescent="0.25">
      <c r="A6213" t="s">
        <v>11574</v>
      </c>
      <c r="B6213" t="s">
        <v>11620</v>
      </c>
    </row>
    <row r="6214" spans="1:2" ht="112" hidden="1" customHeight="1" x14ac:dyDescent="0.25">
      <c r="A6214" t="s">
        <v>11575</v>
      </c>
      <c r="B6214" t="s">
        <v>11621</v>
      </c>
    </row>
    <row r="6215" spans="1:2" ht="112" hidden="1" customHeight="1" x14ac:dyDescent="0.25">
      <c r="A6215" t="s">
        <v>11576</v>
      </c>
      <c r="B6215" t="s">
        <v>11622</v>
      </c>
    </row>
    <row r="6216" spans="1:2" ht="112" hidden="1" customHeight="1" x14ac:dyDescent="0.25">
      <c r="A6216" t="s">
        <v>11577</v>
      </c>
      <c r="B6216" t="s">
        <v>11623</v>
      </c>
    </row>
    <row r="6217" spans="1:2" ht="112" hidden="1" customHeight="1" x14ac:dyDescent="0.25">
      <c r="A6217" t="s">
        <v>11578</v>
      </c>
      <c r="B6217" t="s">
        <v>11624</v>
      </c>
    </row>
    <row r="6218" spans="1:2" ht="112" hidden="1" customHeight="1" x14ac:dyDescent="0.25">
      <c r="A6218" t="s">
        <v>11579</v>
      </c>
      <c r="B6218" t="s">
        <v>11625</v>
      </c>
    </row>
    <row r="6219" spans="1:2" ht="112" hidden="1" customHeight="1" x14ac:dyDescent="0.25">
      <c r="A6219" t="s">
        <v>11580</v>
      </c>
      <c r="B6219" t="s">
        <v>11626</v>
      </c>
    </row>
    <row r="6220" spans="1:2" ht="112" hidden="1" customHeight="1" x14ac:dyDescent="0.25">
      <c r="A6220" t="s">
        <v>11581</v>
      </c>
      <c r="B6220" t="s">
        <v>11627</v>
      </c>
    </row>
    <row r="6221" spans="1:2" ht="112" hidden="1" customHeight="1" x14ac:dyDescent="0.25">
      <c r="A6221" t="s">
        <v>11582</v>
      </c>
      <c r="B6221" t="s">
        <v>11628</v>
      </c>
    </row>
    <row r="6222" spans="1:2" ht="112" hidden="1" customHeight="1" x14ac:dyDescent="0.25">
      <c r="A6222" t="s">
        <v>11583</v>
      </c>
      <c r="B6222" t="s">
        <v>11629</v>
      </c>
    </row>
    <row r="6223" spans="1:2" ht="112" hidden="1" customHeight="1" x14ac:dyDescent="0.25">
      <c r="A6223" t="s">
        <v>11584</v>
      </c>
      <c r="B6223" t="s">
        <v>11630</v>
      </c>
    </row>
    <row r="6224" spans="1:2" ht="112" hidden="1" customHeight="1" x14ac:dyDescent="0.25">
      <c r="A6224" t="s">
        <v>11585</v>
      </c>
      <c r="B6224" t="s">
        <v>11631</v>
      </c>
    </row>
    <row r="6225" spans="1:2" ht="112" hidden="1" customHeight="1" x14ac:dyDescent="0.25">
      <c r="A6225" t="s">
        <v>11586</v>
      </c>
      <c r="B6225" t="s">
        <v>11632</v>
      </c>
    </row>
    <row r="6226" spans="1:2" ht="112" hidden="1" customHeight="1" x14ac:dyDescent="0.25">
      <c r="A6226" t="s">
        <v>11587</v>
      </c>
      <c r="B6226" t="s">
        <v>11633</v>
      </c>
    </row>
    <row r="6227" spans="1:2" ht="112" hidden="1" customHeight="1" x14ac:dyDescent="0.25">
      <c r="A6227" t="s">
        <v>11588</v>
      </c>
      <c r="B6227" t="s">
        <v>11634</v>
      </c>
    </row>
    <row r="6228" spans="1:2" ht="112" hidden="1" customHeight="1" x14ac:dyDescent="0.25">
      <c r="A6228" t="s">
        <v>11589</v>
      </c>
      <c r="B6228" t="s">
        <v>11635</v>
      </c>
    </row>
    <row r="6229" spans="1:2" ht="112" hidden="1" customHeight="1" x14ac:dyDescent="0.25">
      <c r="A6229" t="s">
        <v>11590</v>
      </c>
      <c r="B6229" t="s">
        <v>11636</v>
      </c>
    </row>
    <row r="6230" spans="1:2" ht="112" hidden="1" customHeight="1" x14ac:dyDescent="0.25">
      <c r="A6230" t="s">
        <v>11591</v>
      </c>
      <c r="B6230" t="s">
        <v>11637</v>
      </c>
    </row>
    <row r="6231" spans="1:2" ht="112" hidden="1" customHeight="1" x14ac:dyDescent="0.25">
      <c r="A6231" t="s">
        <v>11592</v>
      </c>
      <c r="B6231" t="s">
        <v>11638</v>
      </c>
    </row>
    <row r="6232" spans="1:2" ht="112" hidden="1" customHeight="1" x14ac:dyDescent="0.25">
      <c r="A6232" t="s">
        <v>11573</v>
      </c>
      <c r="B6232" t="s">
        <v>11639</v>
      </c>
    </row>
    <row r="6233" spans="1:2" ht="112" hidden="1" customHeight="1" x14ac:dyDescent="0.25">
      <c r="A6233" t="s">
        <v>11586</v>
      </c>
      <c r="B6233" t="s">
        <v>11640</v>
      </c>
    </row>
    <row r="6234" spans="1:2" ht="112" hidden="1" customHeight="1" x14ac:dyDescent="0.25">
      <c r="A6234" t="s">
        <v>11641</v>
      </c>
      <c r="B6234" t="s">
        <v>11643</v>
      </c>
    </row>
    <row r="6235" spans="1:2" ht="112" hidden="1" customHeight="1" x14ac:dyDescent="0.25">
      <c r="A6235" t="s">
        <v>11642</v>
      </c>
      <c r="B6235" s="56" t="s">
        <v>11644</v>
      </c>
    </row>
    <row r="6236" spans="1:2" ht="112" hidden="1" customHeight="1" x14ac:dyDescent="0.25">
      <c r="A6236" t="s">
        <v>11647</v>
      </c>
      <c r="B6236" t="s">
        <v>11650</v>
      </c>
    </row>
    <row r="6237" spans="1:2" ht="112" hidden="1" customHeight="1" x14ac:dyDescent="0.25">
      <c r="A6237" t="s">
        <v>11648</v>
      </c>
      <c r="B6237" t="s">
        <v>11651</v>
      </c>
    </row>
    <row r="6238" spans="1:2" ht="112" hidden="1" customHeight="1" x14ac:dyDescent="0.25">
      <c r="A6238" t="s">
        <v>11649</v>
      </c>
      <c r="B6238" t="s">
        <v>11652</v>
      </c>
    </row>
    <row r="6239" spans="1:2" ht="112" hidden="1" customHeight="1" x14ac:dyDescent="0.25">
      <c r="A6239" t="s">
        <v>11653</v>
      </c>
      <c r="B6239" t="s">
        <v>11659</v>
      </c>
    </row>
    <row r="6240" spans="1:2" ht="112" hidden="1" customHeight="1" x14ac:dyDescent="0.25">
      <c r="A6240" t="s">
        <v>11654</v>
      </c>
      <c r="B6240" t="s">
        <v>11660</v>
      </c>
    </row>
    <row r="6241" spans="1:2" ht="112" hidden="1" customHeight="1" x14ac:dyDescent="0.25">
      <c r="A6241" t="s">
        <v>11655</v>
      </c>
      <c r="B6241" t="s">
        <v>11661</v>
      </c>
    </row>
    <row r="6242" spans="1:2" ht="112" hidden="1" customHeight="1" x14ac:dyDescent="0.25">
      <c r="A6242" t="s">
        <v>11656</v>
      </c>
      <c r="B6242" t="s">
        <v>11662</v>
      </c>
    </row>
    <row r="6243" spans="1:2" ht="112" hidden="1" customHeight="1" x14ac:dyDescent="0.25">
      <c r="A6243" t="s">
        <v>11657</v>
      </c>
      <c r="B6243" t="s">
        <v>11663</v>
      </c>
    </row>
    <row r="6244" spans="1:2" ht="112" hidden="1" customHeight="1" x14ac:dyDescent="0.25">
      <c r="A6244" t="s">
        <v>11658</v>
      </c>
      <c r="B6244" t="s">
        <v>11664</v>
      </c>
    </row>
    <row r="6245" spans="1:2" ht="112" hidden="1" customHeight="1" x14ac:dyDescent="0.25">
      <c r="A6245" t="s">
        <v>11665</v>
      </c>
      <c r="B6245" t="s">
        <v>11666</v>
      </c>
    </row>
    <row r="6246" spans="1:2" ht="112" hidden="1" customHeight="1" x14ac:dyDescent="0.25">
      <c r="A6246" t="s">
        <v>11518</v>
      </c>
      <c r="B6246" t="s">
        <v>11539</v>
      </c>
    </row>
    <row r="6247" spans="1:2" ht="112" hidden="1" customHeight="1" x14ac:dyDescent="0.25">
      <c r="A6247" t="s">
        <v>11667</v>
      </c>
      <c r="B6247" t="s">
        <v>11679</v>
      </c>
    </row>
    <row r="6248" spans="1:2" ht="112" hidden="1" customHeight="1" x14ac:dyDescent="0.25">
      <c r="A6248" t="s">
        <v>11668</v>
      </c>
      <c r="B6248" t="s">
        <v>11680</v>
      </c>
    </row>
    <row r="6249" spans="1:2" ht="112" hidden="1" customHeight="1" x14ac:dyDescent="0.25">
      <c r="A6249" t="s">
        <v>11669</v>
      </c>
      <c r="B6249" t="s">
        <v>11681</v>
      </c>
    </row>
    <row r="6250" spans="1:2" ht="112" hidden="1" customHeight="1" x14ac:dyDescent="0.25">
      <c r="A6250" t="s">
        <v>11670</v>
      </c>
      <c r="B6250" t="s">
        <v>11682</v>
      </c>
    </row>
    <row r="6251" spans="1:2" ht="112" hidden="1" customHeight="1" x14ac:dyDescent="0.25">
      <c r="A6251" t="s">
        <v>11671</v>
      </c>
      <c r="B6251" t="s">
        <v>11683</v>
      </c>
    </row>
    <row r="6252" spans="1:2" ht="112" hidden="1" customHeight="1" x14ac:dyDescent="0.25">
      <c r="A6252" t="s">
        <v>11672</v>
      </c>
      <c r="B6252" t="s">
        <v>11684</v>
      </c>
    </row>
    <row r="6253" spans="1:2" ht="112" hidden="1" customHeight="1" x14ac:dyDescent="0.25">
      <c r="A6253" t="s">
        <v>11673</v>
      </c>
      <c r="B6253" t="s">
        <v>11685</v>
      </c>
    </row>
    <row r="6254" spans="1:2" ht="112" hidden="1" customHeight="1" x14ac:dyDescent="0.25">
      <c r="A6254" t="s">
        <v>11674</v>
      </c>
      <c r="B6254" t="s">
        <v>11686</v>
      </c>
    </row>
    <row r="6255" spans="1:2" ht="112" hidden="1" customHeight="1" x14ac:dyDescent="0.25">
      <c r="A6255" t="s">
        <v>11675</v>
      </c>
      <c r="B6255" t="s">
        <v>11687</v>
      </c>
    </row>
    <row r="6256" spans="1:2" ht="112" hidden="1" customHeight="1" x14ac:dyDescent="0.25">
      <c r="A6256" t="s">
        <v>11676</v>
      </c>
      <c r="B6256" t="s">
        <v>11688</v>
      </c>
    </row>
    <row r="6257" spans="1:2" ht="112" hidden="1" customHeight="1" x14ac:dyDescent="0.25">
      <c r="A6257" t="s">
        <v>11677</v>
      </c>
      <c r="B6257" s="56" t="s">
        <v>12710</v>
      </c>
    </row>
    <row r="6258" spans="1:2" ht="112" hidden="1" customHeight="1" x14ac:dyDescent="0.25">
      <c r="A6258" t="s">
        <v>11689</v>
      </c>
      <c r="B6258" s="56" t="s">
        <v>13026</v>
      </c>
    </row>
    <row r="6259" spans="1:2" ht="112" hidden="1" customHeight="1" x14ac:dyDescent="0.25">
      <c r="A6259" t="s">
        <v>11678</v>
      </c>
      <c r="B6259" s="56" t="s">
        <v>12711</v>
      </c>
    </row>
    <row r="6260" spans="1:2" ht="112" hidden="1" customHeight="1" x14ac:dyDescent="0.25">
      <c r="A6260" t="s">
        <v>11690</v>
      </c>
      <c r="B6260" t="s">
        <v>11691</v>
      </c>
    </row>
    <row r="6261" spans="1:2" ht="112" hidden="1" customHeight="1" x14ac:dyDescent="0.25">
      <c r="A6261" t="s">
        <v>11692</v>
      </c>
      <c r="B6261" t="s">
        <v>11746</v>
      </c>
    </row>
    <row r="6262" spans="1:2" ht="112" hidden="1" customHeight="1" x14ac:dyDescent="0.25">
      <c r="A6262" t="s">
        <v>11693</v>
      </c>
      <c r="B6262" t="s">
        <v>11747</v>
      </c>
    </row>
    <row r="6263" spans="1:2" ht="112" hidden="1" customHeight="1" x14ac:dyDescent="0.25">
      <c r="A6263" t="s">
        <v>11694</v>
      </c>
      <c r="B6263" t="s">
        <v>11748</v>
      </c>
    </row>
    <row r="6264" spans="1:2" ht="112" hidden="1" customHeight="1" x14ac:dyDescent="0.25">
      <c r="A6264" t="s">
        <v>11695</v>
      </c>
      <c r="B6264" t="s">
        <v>11749</v>
      </c>
    </row>
    <row r="6265" spans="1:2" ht="112" hidden="1" customHeight="1" x14ac:dyDescent="0.25">
      <c r="A6265" t="s">
        <v>11696</v>
      </c>
      <c r="B6265" t="s">
        <v>11750</v>
      </c>
    </row>
    <row r="6266" spans="1:2" ht="112" hidden="1" customHeight="1" x14ac:dyDescent="0.25">
      <c r="A6266" t="s">
        <v>11697</v>
      </c>
      <c r="B6266" t="s">
        <v>11751</v>
      </c>
    </row>
    <row r="6267" spans="1:2" ht="112" hidden="1" customHeight="1" x14ac:dyDescent="0.25">
      <c r="A6267" t="s">
        <v>11698</v>
      </c>
      <c r="B6267" t="s">
        <v>11752</v>
      </c>
    </row>
    <row r="6268" spans="1:2" ht="112" hidden="1" customHeight="1" x14ac:dyDescent="0.25">
      <c r="A6268" t="s">
        <v>11699</v>
      </c>
      <c r="B6268" t="s">
        <v>11753</v>
      </c>
    </row>
    <row r="6269" spans="1:2" ht="112" hidden="1" customHeight="1" x14ac:dyDescent="0.25">
      <c r="A6269" t="s">
        <v>11700</v>
      </c>
      <c r="B6269" t="s">
        <v>11754</v>
      </c>
    </row>
    <row r="6270" spans="1:2" ht="112" hidden="1" customHeight="1" x14ac:dyDescent="0.25">
      <c r="A6270" t="s">
        <v>11701</v>
      </c>
      <c r="B6270" t="s">
        <v>11755</v>
      </c>
    </row>
    <row r="6271" spans="1:2" ht="112" hidden="1" customHeight="1" x14ac:dyDescent="0.25">
      <c r="A6271" t="s">
        <v>11702</v>
      </c>
      <c r="B6271" t="s">
        <v>11756</v>
      </c>
    </row>
    <row r="6272" spans="1:2" ht="112" hidden="1" customHeight="1" x14ac:dyDescent="0.25">
      <c r="A6272" t="s">
        <v>11703</v>
      </c>
      <c r="B6272" t="s">
        <v>11757</v>
      </c>
    </row>
    <row r="6273" spans="1:2" ht="112" hidden="1" customHeight="1" x14ac:dyDescent="0.25">
      <c r="A6273" t="s">
        <v>11704</v>
      </c>
      <c r="B6273" t="s">
        <v>11758</v>
      </c>
    </row>
    <row r="6274" spans="1:2" ht="112" hidden="1" customHeight="1" x14ac:dyDescent="0.25">
      <c r="A6274" t="s">
        <v>11705</v>
      </c>
      <c r="B6274" t="s">
        <v>11759</v>
      </c>
    </row>
    <row r="6275" spans="1:2" ht="112" hidden="1" customHeight="1" x14ac:dyDescent="0.25">
      <c r="A6275" t="s">
        <v>11706</v>
      </c>
      <c r="B6275" t="s">
        <v>11760</v>
      </c>
    </row>
    <row r="6276" spans="1:2" ht="112" hidden="1" customHeight="1" x14ac:dyDescent="0.25">
      <c r="A6276" t="s">
        <v>11707</v>
      </c>
      <c r="B6276" t="s">
        <v>11761</v>
      </c>
    </row>
    <row r="6277" spans="1:2" ht="112" hidden="1" customHeight="1" x14ac:dyDescent="0.25">
      <c r="A6277" t="s">
        <v>11708</v>
      </c>
      <c r="B6277" t="s">
        <v>11762</v>
      </c>
    </row>
    <row r="6278" spans="1:2" ht="112" hidden="1" customHeight="1" x14ac:dyDescent="0.25">
      <c r="A6278" t="s">
        <v>11709</v>
      </c>
      <c r="B6278" t="s">
        <v>11763</v>
      </c>
    </row>
    <row r="6279" spans="1:2" ht="112" hidden="1" customHeight="1" x14ac:dyDescent="0.25">
      <c r="A6279" t="s">
        <v>11710</v>
      </c>
      <c r="B6279" t="s">
        <v>11764</v>
      </c>
    </row>
    <row r="6280" spans="1:2" ht="112" hidden="1" customHeight="1" x14ac:dyDescent="0.25">
      <c r="A6280" t="s">
        <v>11711</v>
      </c>
      <c r="B6280" t="s">
        <v>11765</v>
      </c>
    </row>
    <row r="6281" spans="1:2" ht="112" hidden="1" customHeight="1" x14ac:dyDescent="0.25">
      <c r="A6281" t="s">
        <v>11712</v>
      </c>
      <c r="B6281" t="s">
        <v>11766</v>
      </c>
    </row>
    <row r="6282" spans="1:2" ht="112" hidden="1" customHeight="1" x14ac:dyDescent="0.25">
      <c r="A6282" t="s">
        <v>11713</v>
      </c>
      <c r="B6282" t="s">
        <v>11767</v>
      </c>
    </row>
    <row r="6283" spans="1:2" ht="112" hidden="1" customHeight="1" x14ac:dyDescent="0.25">
      <c r="A6283" t="s">
        <v>11714</v>
      </c>
      <c r="B6283" t="s">
        <v>11768</v>
      </c>
    </row>
    <row r="6284" spans="1:2" ht="112" hidden="1" customHeight="1" x14ac:dyDescent="0.25">
      <c r="A6284" t="s">
        <v>11715</v>
      </c>
      <c r="B6284" t="s">
        <v>11769</v>
      </c>
    </row>
    <row r="6285" spans="1:2" ht="112" hidden="1" customHeight="1" x14ac:dyDescent="0.25">
      <c r="A6285" t="s">
        <v>11716</v>
      </c>
      <c r="B6285" t="s">
        <v>11770</v>
      </c>
    </row>
    <row r="6286" spans="1:2" ht="112" hidden="1" customHeight="1" x14ac:dyDescent="0.25">
      <c r="A6286" t="s">
        <v>11717</v>
      </c>
      <c r="B6286" t="s">
        <v>11771</v>
      </c>
    </row>
    <row r="6287" spans="1:2" ht="112" hidden="1" customHeight="1" x14ac:dyDescent="0.25">
      <c r="A6287" t="s">
        <v>11718</v>
      </c>
      <c r="B6287" t="s">
        <v>11772</v>
      </c>
    </row>
    <row r="6288" spans="1:2" ht="112" hidden="1" customHeight="1" x14ac:dyDescent="0.25">
      <c r="A6288" t="s">
        <v>11719</v>
      </c>
      <c r="B6288" t="s">
        <v>11773</v>
      </c>
    </row>
    <row r="6289" spans="1:2" ht="112" hidden="1" customHeight="1" x14ac:dyDescent="0.25">
      <c r="A6289" t="s">
        <v>11720</v>
      </c>
      <c r="B6289" t="s">
        <v>11774</v>
      </c>
    </row>
    <row r="6290" spans="1:2" ht="112" hidden="1" customHeight="1" x14ac:dyDescent="0.25">
      <c r="A6290" t="s">
        <v>11721</v>
      </c>
      <c r="B6290" t="s">
        <v>11775</v>
      </c>
    </row>
    <row r="6291" spans="1:2" ht="112" hidden="1" customHeight="1" x14ac:dyDescent="0.25">
      <c r="A6291" t="s">
        <v>11722</v>
      </c>
      <c r="B6291" t="s">
        <v>11776</v>
      </c>
    </row>
    <row r="6292" spans="1:2" ht="112" hidden="1" customHeight="1" x14ac:dyDescent="0.25">
      <c r="A6292" t="s">
        <v>11723</v>
      </c>
      <c r="B6292" t="s">
        <v>11777</v>
      </c>
    </row>
    <row r="6293" spans="1:2" ht="112" hidden="1" customHeight="1" x14ac:dyDescent="0.25">
      <c r="A6293" t="s">
        <v>11724</v>
      </c>
      <c r="B6293" t="s">
        <v>11778</v>
      </c>
    </row>
    <row r="6294" spans="1:2" ht="112" hidden="1" customHeight="1" x14ac:dyDescent="0.25">
      <c r="A6294" t="s">
        <v>11725</v>
      </c>
      <c r="B6294" t="s">
        <v>11779</v>
      </c>
    </row>
    <row r="6295" spans="1:2" ht="112" hidden="1" customHeight="1" x14ac:dyDescent="0.25">
      <c r="A6295" t="s">
        <v>11726</v>
      </c>
      <c r="B6295" t="s">
        <v>11780</v>
      </c>
    </row>
    <row r="6296" spans="1:2" ht="112" hidden="1" customHeight="1" x14ac:dyDescent="0.25">
      <c r="A6296" t="s">
        <v>11727</v>
      </c>
      <c r="B6296" t="s">
        <v>11781</v>
      </c>
    </row>
    <row r="6297" spans="1:2" ht="112" hidden="1" customHeight="1" x14ac:dyDescent="0.25">
      <c r="A6297" t="s">
        <v>11728</v>
      </c>
      <c r="B6297" t="s">
        <v>11782</v>
      </c>
    </row>
    <row r="6298" spans="1:2" ht="112" hidden="1" customHeight="1" x14ac:dyDescent="0.25">
      <c r="A6298" t="s">
        <v>11729</v>
      </c>
      <c r="B6298" t="s">
        <v>11783</v>
      </c>
    </row>
    <row r="6299" spans="1:2" ht="112" hidden="1" customHeight="1" x14ac:dyDescent="0.25">
      <c r="A6299" t="s">
        <v>11730</v>
      </c>
      <c r="B6299" t="s">
        <v>11784</v>
      </c>
    </row>
    <row r="6300" spans="1:2" ht="112" hidden="1" customHeight="1" x14ac:dyDescent="0.25">
      <c r="A6300" t="s">
        <v>11731</v>
      </c>
      <c r="B6300" t="s">
        <v>11785</v>
      </c>
    </row>
    <row r="6301" spans="1:2" ht="112" hidden="1" customHeight="1" x14ac:dyDescent="0.25">
      <c r="A6301" t="s">
        <v>11732</v>
      </c>
      <c r="B6301" t="s">
        <v>11786</v>
      </c>
    </row>
    <row r="6302" spans="1:2" ht="112" hidden="1" customHeight="1" x14ac:dyDescent="0.25">
      <c r="A6302" t="s">
        <v>11733</v>
      </c>
      <c r="B6302" t="s">
        <v>11787</v>
      </c>
    </row>
    <row r="6303" spans="1:2" ht="112" hidden="1" customHeight="1" x14ac:dyDescent="0.25">
      <c r="A6303" t="s">
        <v>11734</v>
      </c>
      <c r="B6303" t="s">
        <v>11788</v>
      </c>
    </row>
    <row r="6304" spans="1:2" ht="112" hidden="1" customHeight="1" x14ac:dyDescent="0.25">
      <c r="A6304" t="s">
        <v>11735</v>
      </c>
      <c r="B6304" t="s">
        <v>11789</v>
      </c>
    </row>
    <row r="6305" spans="1:2" ht="112" hidden="1" customHeight="1" x14ac:dyDescent="0.25">
      <c r="A6305" t="s">
        <v>11736</v>
      </c>
      <c r="B6305" t="s">
        <v>11790</v>
      </c>
    </row>
    <row r="6306" spans="1:2" ht="112" hidden="1" customHeight="1" x14ac:dyDescent="0.25">
      <c r="A6306" t="s">
        <v>11737</v>
      </c>
      <c r="B6306" t="s">
        <v>11791</v>
      </c>
    </row>
    <row r="6307" spans="1:2" ht="112" hidden="1" customHeight="1" x14ac:dyDescent="0.25">
      <c r="A6307" t="s">
        <v>11738</v>
      </c>
      <c r="B6307" t="s">
        <v>11792</v>
      </c>
    </row>
    <row r="6308" spans="1:2" ht="112" hidden="1" customHeight="1" x14ac:dyDescent="0.25">
      <c r="A6308" t="s">
        <v>11739</v>
      </c>
      <c r="B6308" t="s">
        <v>11793</v>
      </c>
    </row>
    <row r="6309" spans="1:2" ht="112" hidden="1" customHeight="1" x14ac:dyDescent="0.25">
      <c r="A6309" t="s">
        <v>11740</v>
      </c>
      <c r="B6309" t="s">
        <v>11794</v>
      </c>
    </row>
    <row r="6310" spans="1:2" ht="112" hidden="1" customHeight="1" x14ac:dyDescent="0.25">
      <c r="A6310" t="s">
        <v>11741</v>
      </c>
      <c r="B6310" t="s">
        <v>11795</v>
      </c>
    </row>
    <row r="6311" spans="1:2" ht="112" hidden="1" customHeight="1" x14ac:dyDescent="0.25">
      <c r="A6311" t="s">
        <v>11742</v>
      </c>
      <c r="B6311" t="s">
        <v>11796</v>
      </c>
    </row>
    <row r="6312" spans="1:2" ht="112" hidden="1" customHeight="1" x14ac:dyDescent="0.25">
      <c r="A6312" t="s">
        <v>11743</v>
      </c>
      <c r="B6312" t="s">
        <v>11797</v>
      </c>
    </row>
    <row r="6313" spans="1:2" ht="112" hidden="1" customHeight="1" x14ac:dyDescent="0.25">
      <c r="A6313" t="s">
        <v>11744</v>
      </c>
      <c r="B6313" t="s">
        <v>11798</v>
      </c>
    </row>
    <row r="6314" spans="1:2" ht="112" hidden="1" customHeight="1" x14ac:dyDescent="0.25">
      <c r="A6314" t="s">
        <v>11745</v>
      </c>
      <c r="B6314" t="s">
        <v>11799</v>
      </c>
    </row>
    <row r="6315" spans="1:2" ht="112" hidden="1" customHeight="1" x14ac:dyDescent="0.25">
      <c r="A6315" t="s">
        <v>11653</v>
      </c>
      <c r="B6315" t="s">
        <v>11659</v>
      </c>
    </row>
    <row r="6316" spans="1:2" ht="112" hidden="1" customHeight="1" x14ac:dyDescent="0.25">
      <c r="A6316" t="s">
        <v>11654</v>
      </c>
      <c r="B6316" t="s">
        <v>11660</v>
      </c>
    </row>
    <row r="6317" spans="1:2" ht="112" hidden="1" customHeight="1" x14ac:dyDescent="0.25">
      <c r="A6317" t="s">
        <v>11655</v>
      </c>
      <c r="B6317" t="s">
        <v>11661</v>
      </c>
    </row>
    <row r="6318" spans="1:2" ht="112" hidden="1" customHeight="1" x14ac:dyDescent="0.25">
      <c r="A6318" t="s">
        <v>11656</v>
      </c>
      <c r="B6318" t="s">
        <v>11662</v>
      </c>
    </row>
    <row r="6319" spans="1:2" ht="112" hidden="1" customHeight="1" x14ac:dyDescent="0.25">
      <c r="A6319" t="s">
        <v>11657</v>
      </c>
      <c r="B6319" t="s">
        <v>11663</v>
      </c>
    </row>
    <row r="6320" spans="1:2" ht="112" hidden="1" customHeight="1" x14ac:dyDescent="0.25">
      <c r="A6320" t="s">
        <v>11658</v>
      </c>
      <c r="B6320" t="s">
        <v>11664</v>
      </c>
    </row>
    <row r="6321" spans="1:2" ht="112" hidden="1" customHeight="1" x14ac:dyDescent="0.25">
      <c r="A6321" t="s">
        <v>11477</v>
      </c>
      <c r="B6321" t="s">
        <v>11492</v>
      </c>
    </row>
    <row r="6322" spans="1:2" ht="112" hidden="1" customHeight="1" x14ac:dyDescent="0.25">
      <c r="A6322" t="s">
        <v>11478</v>
      </c>
      <c r="B6322" t="s">
        <v>11493</v>
      </c>
    </row>
    <row r="6323" spans="1:2" ht="112" hidden="1" customHeight="1" x14ac:dyDescent="0.25">
      <c r="A6323" t="s">
        <v>11800</v>
      </c>
      <c r="B6323" s="56" t="s">
        <v>12399</v>
      </c>
    </row>
    <row r="6324" spans="1:2" ht="112" hidden="1" customHeight="1" x14ac:dyDescent="0.25">
      <c r="A6324" t="s">
        <v>11801</v>
      </c>
      <c r="B6324" t="s">
        <v>11896</v>
      </c>
    </row>
    <row r="6325" spans="1:2" ht="112" hidden="1" customHeight="1" x14ac:dyDescent="0.25">
      <c r="A6325" t="s">
        <v>11802</v>
      </c>
      <c r="B6325" t="s">
        <v>11897</v>
      </c>
    </row>
    <row r="6326" spans="1:2" ht="112" hidden="1" customHeight="1" x14ac:dyDescent="0.25">
      <c r="A6326" t="s">
        <v>11803</v>
      </c>
      <c r="B6326" t="s">
        <v>11898</v>
      </c>
    </row>
    <row r="6327" spans="1:2" ht="112" hidden="1" customHeight="1" x14ac:dyDescent="0.25">
      <c r="A6327" t="s">
        <v>11804</v>
      </c>
      <c r="B6327" t="s">
        <v>11899</v>
      </c>
    </row>
    <row r="6328" spans="1:2" ht="112" hidden="1" customHeight="1" x14ac:dyDescent="0.25">
      <c r="A6328" t="s">
        <v>11805</v>
      </c>
      <c r="B6328" t="s">
        <v>11900</v>
      </c>
    </row>
    <row r="6329" spans="1:2" ht="112" hidden="1" customHeight="1" x14ac:dyDescent="0.25">
      <c r="A6329" t="s">
        <v>11806</v>
      </c>
      <c r="B6329" t="s">
        <v>11901</v>
      </c>
    </row>
    <row r="6330" spans="1:2" ht="112" hidden="1" customHeight="1" x14ac:dyDescent="0.25">
      <c r="A6330" t="s">
        <v>11807</v>
      </c>
      <c r="B6330" t="s">
        <v>11902</v>
      </c>
    </row>
    <row r="6331" spans="1:2" ht="112" hidden="1" customHeight="1" x14ac:dyDescent="0.25">
      <c r="A6331" t="s">
        <v>11808</v>
      </c>
      <c r="B6331" t="s">
        <v>11903</v>
      </c>
    </row>
    <row r="6332" spans="1:2" ht="112" hidden="1" customHeight="1" x14ac:dyDescent="0.25">
      <c r="A6332" t="s">
        <v>11809</v>
      </c>
      <c r="B6332" t="s">
        <v>11904</v>
      </c>
    </row>
    <row r="6333" spans="1:2" ht="112" hidden="1" customHeight="1" x14ac:dyDescent="0.25">
      <c r="A6333" t="s">
        <v>11810</v>
      </c>
      <c r="B6333" t="s">
        <v>11905</v>
      </c>
    </row>
    <row r="6334" spans="1:2" ht="112" hidden="1" customHeight="1" x14ac:dyDescent="0.25">
      <c r="A6334" t="s">
        <v>11811</v>
      </c>
      <c r="B6334" t="s">
        <v>11906</v>
      </c>
    </row>
    <row r="6335" spans="1:2" ht="112" hidden="1" customHeight="1" x14ac:dyDescent="0.25">
      <c r="A6335" t="s">
        <v>11812</v>
      </c>
      <c r="B6335" t="s">
        <v>11907</v>
      </c>
    </row>
    <row r="6336" spans="1:2" ht="112" hidden="1" customHeight="1" x14ac:dyDescent="0.25">
      <c r="A6336" t="s">
        <v>11813</v>
      </c>
      <c r="B6336" t="s">
        <v>11908</v>
      </c>
    </row>
    <row r="6337" spans="1:2" ht="112" hidden="1" customHeight="1" x14ac:dyDescent="0.25">
      <c r="A6337" t="s">
        <v>11814</v>
      </c>
      <c r="B6337" t="s">
        <v>11909</v>
      </c>
    </row>
    <row r="6338" spans="1:2" ht="112" hidden="1" customHeight="1" x14ac:dyDescent="0.25">
      <c r="A6338" t="s">
        <v>11815</v>
      </c>
      <c r="B6338" t="s">
        <v>11910</v>
      </c>
    </row>
    <row r="6339" spans="1:2" ht="112" hidden="1" customHeight="1" x14ac:dyDescent="0.25">
      <c r="A6339" t="s">
        <v>11816</v>
      </c>
      <c r="B6339" t="s">
        <v>11911</v>
      </c>
    </row>
    <row r="6340" spans="1:2" ht="112" hidden="1" customHeight="1" x14ac:dyDescent="0.25">
      <c r="A6340" t="s">
        <v>11817</v>
      </c>
      <c r="B6340" t="s">
        <v>11912</v>
      </c>
    </row>
    <row r="6341" spans="1:2" ht="112" hidden="1" customHeight="1" x14ac:dyDescent="0.25">
      <c r="A6341" t="s">
        <v>11818</v>
      </c>
      <c r="B6341" t="s">
        <v>11913</v>
      </c>
    </row>
    <row r="6342" spans="1:2" ht="112" hidden="1" customHeight="1" x14ac:dyDescent="0.25">
      <c r="A6342" t="s">
        <v>11819</v>
      </c>
      <c r="B6342" t="s">
        <v>11914</v>
      </c>
    </row>
    <row r="6343" spans="1:2" ht="112" hidden="1" customHeight="1" x14ac:dyDescent="0.25">
      <c r="A6343" t="s">
        <v>11820</v>
      </c>
      <c r="B6343" t="s">
        <v>11915</v>
      </c>
    </row>
    <row r="6344" spans="1:2" ht="112" hidden="1" customHeight="1" x14ac:dyDescent="0.25">
      <c r="A6344" t="s">
        <v>11821</v>
      </c>
      <c r="B6344" t="s">
        <v>11916</v>
      </c>
    </row>
    <row r="6345" spans="1:2" ht="112" hidden="1" customHeight="1" x14ac:dyDescent="0.25">
      <c r="A6345" t="s">
        <v>11822</v>
      </c>
      <c r="B6345" t="s">
        <v>11917</v>
      </c>
    </row>
    <row r="6346" spans="1:2" ht="112" hidden="1" customHeight="1" x14ac:dyDescent="0.25">
      <c r="A6346" t="s">
        <v>11823</v>
      </c>
      <c r="B6346" t="s">
        <v>11918</v>
      </c>
    </row>
    <row r="6347" spans="1:2" ht="112" hidden="1" customHeight="1" x14ac:dyDescent="0.25">
      <c r="A6347" t="s">
        <v>11824</v>
      </c>
      <c r="B6347" t="s">
        <v>11919</v>
      </c>
    </row>
    <row r="6348" spans="1:2" ht="112" hidden="1" customHeight="1" x14ac:dyDescent="0.25">
      <c r="A6348" t="s">
        <v>11825</v>
      </c>
      <c r="B6348" t="s">
        <v>11920</v>
      </c>
    </row>
    <row r="6349" spans="1:2" ht="112" hidden="1" customHeight="1" x14ac:dyDescent="0.25">
      <c r="A6349" t="s">
        <v>11826</v>
      </c>
      <c r="B6349" t="s">
        <v>11921</v>
      </c>
    </row>
    <row r="6350" spans="1:2" ht="112" hidden="1" customHeight="1" x14ac:dyDescent="0.25">
      <c r="A6350" t="s">
        <v>11827</v>
      </c>
      <c r="B6350" t="s">
        <v>11922</v>
      </c>
    </row>
    <row r="6351" spans="1:2" ht="112" hidden="1" customHeight="1" x14ac:dyDescent="0.25">
      <c r="A6351" t="s">
        <v>11828</v>
      </c>
      <c r="B6351" t="s">
        <v>11923</v>
      </c>
    </row>
    <row r="6352" spans="1:2" ht="112" hidden="1" customHeight="1" x14ac:dyDescent="0.25">
      <c r="A6352" t="s">
        <v>11829</v>
      </c>
      <c r="B6352" t="s">
        <v>11924</v>
      </c>
    </row>
    <row r="6353" spans="1:2" ht="112" hidden="1" customHeight="1" x14ac:dyDescent="0.25">
      <c r="A6353" t="s">
        <v>11830</v>
      </c>
      <c r="B6353" t="s">
        <v>11925</v>
      </c>
    </row>
    <row r="6354" spans="1:2" ht="112" hidden="1" customHeight="1" x14ac:dyDescent="0.25">
      <c r="A6354" t="s">
        <v>11831</v>
      </c>
      <c r="B6354" t="s">
        <v>11926</v>
      </c>
    </row>
    <row r="6355" spans="1:2" ht="112" hidden="1" customHeight="1" x14ac:dyDescent="0.25">
      <c r="A6355" t="s">
        <v>11832</v>
      </c>
      <c r="B6355" t="s">
        <v>11927</v>
      </c>
    </row>
    <row r="6356" spans="1:2" ht="112" hidden="1" customHeight="1" x14ac:dyDescent="0.25">
      <c r="A6356" t="s">
        <v>11833</v>
      </c>
      <c r="B6356" t="s">
        <v>11928</v>
      </c>
    </row>
    <row r="6357" spans="1:2" ht="112" hidden="1" customHeight="1" x14ac:dyDescent="0.25">
      <c r="A6357" t="s">
        <v>11834</v>
      </c>
      <c r="B6357" t="s">
        <v>11929</v>
      </c>
    </row>
    <row r="6358" spans="1:2" ht="112" hidden="1" customHeight="1" x14ac:dyDescent="0.25">
      <c r="A6358" t="s">
        <v>11835</v>
      </c>
      <c r="B6358" t="s">
        <v>11930</v>
      </c>
    </row>
    <row r="6359" spans="1:2" ht="112" hidden="1" customHeight="1" x14ac:dyDescent="0.25">
      <c r="A6359" t="s">
        <v>11836</v>
      </c>
      <c r="B6359" t="s">
        <v>11931</v>
      </c>
    </row>
    <row r="6360" spans="1:2" ht="112" hidden="1" customHeight="1" x14ac:dyDescent="0.25">
      <c r="A6360" t="s">
        <v>11837</v>
      </c>
      <c r="B6360" t="s">
        <v>11932</v>
      </c>
    </row>
    <row r="6361" spans="1:2" ht="112" hidden="1" customHeight="1" x14ac:dyDescent="0.25">
      <c r="A6361" t="s">
        <v>11838</v>
      </c>
      <c r="B6361" t="s">
        <v>11933</v>
      </c>
    </row>
    <row r="6362" spans="1:2" ht="112" hidden="1" customHeight="1" x14ac:dyDescent="0.25">
      <c r="A6362" t="s">
        <v>11839</v>
      </c>
      <c r="B6362" t="s">
        <v>11934</v>
      </c>
    </row>
    <row r="6363" spans="1:2" ht="112" hidden="1" customHeight="1" x14ac:dyDescent="0.25">
      <c r="A6363" t="s">
        <v>11840</v>
      </c>
      <c r="B6363" t="s">
        <v>11935</v>
      </c>
    </row>
    <row r="6364" spans="1:2" ht="112" hidden="1" customHeight="1" x14ac:dyDescent="0.25">
      <c r="A6364" t="s">
        <v>11841</v>
      </c>
      <c r="B6364" t="s">
        <v>11936</v>
      </c>
    </row>
    <row r="6365" spans="1:2" ht="112" hidden="1" customHeight="1" x14ac:dyDescent="0.25">
      <c r="A6365" t="s">
        <v>11842</v>
      </c>
      <c r="B6365" t="s">
        <v>11937</v>
      </c>
    </row>
    <row r="6366" spans="1:2" ht="112" hidden="1" customHeight="1" x14ac:dyDescent="0.25">
      <c r="A6366" t="s">
        <v>11843</v>
      </c>
      <c r="B6366" t="s">
        <v>11938</v>
      </c>
    </row>
    <row r="6367" spans="1:2" ht="112" hidden="1" customHeight="1" x14ac:dyDescent="0.25">
      <c r="A6367" t="s">
        <v>11844</v>
      </c>
      <c r="B6367" t="s">
        <v>11939</v>
      </c>
    </row>
    <row r="6368" spans="1:2" ht="112" hidden="1" customHeight="1" x14ac:dyDescent="0.25">
      <c r="A6368" t="s">
        <v>11845</v>
      </c>
      <c r="B6368" t="s">
        <v>11940</v>
      </c>
    </row>
    <row r="6369" spans="1:2" ht="112" hidden="1" customHeight="1" x14ac:dyDescent="0.25">
      <c r="A6369" t="s">
        <v>11846</v>
      </c>
      <c r="B6369" t="s">
        <v>11941</v>
      </c>
    </row>
    <row r="6370" spans="1:2" ht="112" hidden="1" customHeight="1" x14ac:dyDescent="0.25">
      <c r="A6370" t="s">
        <v>11847</v>
      </c>
      <c r="B6370" t="s">
        <v>11942</v>
      </c>
    </row>
    <row r="6371" spans="1:2" ht="112" hidden="1" customHeight="1" x14ac:dyDescent="0.25">
      <c r="A6371" t="s">
        <v>11848</v>
      </c>
      <c r="B6371" t="s">
        <v>11943</v>
      </c>
    </row>
    <row r="6372" spans="1:2" ht="112" hidden="1" customHeight="1" x14ac:dyDescent="0.25">
      <c r="A6372" t="s">
        <v>11849</v>
      </c>
      <c r="B6372" t="s">
        <v>11944</v>
      </c>
    </row>
    <row r="6373" spans="1:2" ht="112" hidden="1" customHeight="1" x14ac:dyDescent="0.25">
      <c r="A6373" t="s">
        <v>11850</v>
      </c>
      <c r="B6373" t="s">
        <v>11945</v>
      </c>
    </row>
    <row r="6374" spans="1:2" ht="112" hidden="1" customHeight="1" x14ac:dyDescent="0.25">
      <c r="A6374" t="s">
        <v>11851</v>
      </c>
      <c r="B6374" t="s">
        <v>11946</v>
      </c>
    </row>
    <row r="6375" spans="1:2" ht="112" hidden="1" customHeight="1" x14ac:dyDescent="0.25">
      <c r="A6375" t="s">
        <v>11852</v>
      </c>
      <c r="B6375" t="s">
        <v>11947</v>
      </c>
    </row>
    <row r="6376" spans="1:2" ht="112" hidden="1" customHeight="1" x14ac:dyDescent="0.25">
      <c r="A6376" t="s">
        <v>11853</v>
      </c>
      <c r="B6376" t="s">
        <v>11948</v>
      </c>
    </row>
    <row r="6377" spans="1:2" ht="112" hidden="1" customHeight="1" x14ac:dyDescent="0.25">
      <c r="A6377" t="s">
        <v>11854</v>
      </c>
      <c r="B6377" t="s">
        <v>11949</v>
      </c>
    </row>
    <row r="6378" spans="1:2" ht="112" hidden="1" customHeight="1" x14ac:dyDescent="0.25">
      <c r="A6378" t="s">
        <v>11855</v>
      </c>
      <c r="B6378" t="s">
        <v>11950</v>
      </c>
    </row>
    <row r="6379" spans="1:2" ht="112" hidden="1" customHeight="1" x14ac:dyDescent="0.25">
      <c r="A6379" t="s">
        <v>11856</v>
      </c>
      <c r="B6379" t="s">
        <v>11951</v>
      </c>
    </row>
    <row r="6380" spans="1:2" ht="112" hidden="1" customHeight="1" x14ac:dyDescent="0.25">
      <c r="A6380" t="s">
        <v>11857</v>
      </c>
      <c r="B6380" t="s">
        <v>11952</v>
      </c>
    </row>
    <row r="6381" spans="1:2" ht="112" hidden="1" customHeight="1" x14ac:dyDescent="0.25">
      <c r="A6381" t="s">
        <v>11858</v>
      </c>
      <c r="B6381" t="s">
        <v>11953</v>
      </c>
    </row>
    <row r="6382" spans="1:2" ht="112" hidden="1" customHeight="1" x14ac:dyDescent="0.25">
      <c r="A6382" t="s">
        <v>11859</v>
      </c>
      <c r="B6382" t="s">
        <v>11954</v>
      </c>
    </row>
    <row r="6383" spans="1:2" ht="112" hidden="1" customHeight="1" x14ac:dyDescent="0.25">
      <c r="A6383" t="s">
        <v>11860</v>
      </c>
      <c r="B6383" t="s">
        <v>11955</v>
      </c>
    </row>
    <row r="6384" spans="1:2" ht="112" hidden="1" customHeight="1" x14ac:dyDescent="0.25">
      <c r="A6384" t="s">
        <v>11861</v>
      </c>
      <c r="B6384" t="s">
        <v>11956</v>
      </c>
    </row>
    <row r="6385" spans="1:2" ht="112" hidden="1" customHeight="1" x14ac:dyDescent="0.25">
      <c r="A6385" t="s">
        <v>11862</v>
      </c>
      <c r="B6385" t="s">
        <v>11957</v>
      </c>
    </row>
    <row r="6386" spans="1:2" ht="112" hidden="1" customHeight="1" x14ac:dyDescent="0.25">
      <c r="A6386" t="s">
        <v>11863</v>
      </c>
      <c r="B6386" t="s">
        <v>11958</v>
      </c>
    </row>
    <row r="6387" spans="1:2" ht="112" hidden="1" customHeight="1" x14ac:dyDescent="0.25">
      <c r="A6387" t="s">
        <v>11864</v>
      </c>
      <c r="B6387" t="s">
        <v>11959</v>
      </c>
    </row>
    <row r="6388" spans="1:2" ht="112" hidden="1" customHeight="1" x14ac:dyDescent="0.25">
      <c r="A6388" t="s">
        <v>11865</v>
      </c>
      <c r="B6388" t="s">
        <v>11960</v>
      </c>
    </row>
    <row r="6389" spans="1:2" ht="112" hidden="1" customHeight="1" x14ac:dyDescent="0.25">
      <c r="A6389" t="s">
        <v>11866</v>
      </c>
      <c r="B6389" t="s">
        <v>11961</v>
      </c>
    </row>
    <row r="6390" spans="1:2" ht="112" hidden="1" customHeight="1" x14ac:dyDescent="0.25">
      <c r="A6390" t="s">
        <v>11867</v>
      </c>
      <c r="B6390" t="s">
        <v>11962</v>
      </c>
    </row>
    <row r="6391" spans="1:2" ht="112" hidden="1" customHeight="1" x14ac:dyDescent="0.25">
      <c r="A6391" t="s">
        <v>11868</v>
      </c>
      <c r="B6391" t="s">
        <v>11963</v>
      </c>
    </row>
    <row r="6392" spans="1:2" ht="112" hidden="1" customHeight="1" x14ac:dyDescent="0.25">
      <c r="A6392" t="s">
        <v>11869</v>
      </c>
      <c r="B6392" t="s">
        <v>11964</v>
      </c>
    </row>
    <row r="6393" spans="1:2" ht="112" hidden="1" customHeight="1" x14ac:dyDescent="0.25">
      <c r="A6393" t="s">
        <v>11870</v>
      </c>
      <c r="B6393" t="s">
        <v>11965</v>
      </c>
    </row>
    <row r="6394" spans="1:2" ht="112" hidden="1" customHeight="1" x14ac:dyDescent="0.25">
      <c r="A6394" t="s">
        <v>11871</v>
      </c>
      <c r="B6394" t="s">
        <v>11966</v>
      </c>
    </row>
    <row r="6395" spans="1:2" ht="112" hidden="1" customHeight="1" x14ac:dyDescent="0.25">
      <c r="A6395" t="s">
        <v>11872</v>
      </c>
      <c r="B6395" t="s">
        <v>11967</v>
      </c>
    </row>
    <row r="6396" spans="1:2" ht="112" hidden="1" customHeight="1" x14ac:dyDescent="0.25">
      <c r="A6396" t="s">
        <v>11873</v>
      </c>
      <c r="B6396" t="s">
        <v>11968</v>
      </c>
    </row>
    <row r="6397" spans="1:2" ht="112" hidden="1" customHeight="1" x14ac:dyDescent="0.25">
      <c r="A6397" t="s">
        <v>11874</v>
      </c>
      <c r="B6397" t="s">
        <v>11969</v>
      </c>
    </row>
    <row r="6398" spans="1:2" ht="112" hidden="1" customHeight="1" x14ac:dyDescent="0.25">
      <c r="A6398" t="s">
        <v>11875</v>
      </c>
      <c r="B6398" t="s">
        <v>11970</v>
      </c>
    </row>
    <row r="6399" spans="1:2" ht="112" hidden="1" customHeight="1" x14ac:dyDescent="0.25">
      <c r="A6399" t="s">
        <v>11876</v>
      </c>
      <c r="B6399" t="s">
        <v>11971</v>
      </c>
    </row>
    <row r="6400" spans="1:2" ht="112" hidden="1" customHeight="1" x14ac:dyDescent="0.25">
      <c r="A6400" t="s">
        <v>11877</v>
      </c>
      <c r="B6400" t="s">
        <v>11972</v>
      </c>
    </row>
    <row r="6401" spans="1:2" ht="112" hidden="1" customHeight="1" x14ac:dyDescent="0.25">
      <c r="A6401" t="s">
        <v>11878</v>
      </c>
      <c r="B6401" t="s">
        <v>11973</v>
      </c>
    </row>
    <row r="6402" spans="1:2" ht="112" hidden="1" customHeight="1" x14ac:dyDescent="0.25">
      <c r="A6402" t="s">
        <v>11879</v>
      </c>
      <c r="B6402" t="s">
        <v>11974</v>
      </c>
    </row>
    <row r="6403" spans="1:2" ht="112" hidden="1" customHeight="1" x14ac:dyDescent="0.25">
      <c r="A6403" t="s">
        <v>11880</v>
      </c>
      <c r="B6403" t="s">
        <v>11975</v>
      </c>
    </row>
    <row r="6404" spans="1:2" ht="112" hidden="1" customHeight="1" x14ac:dyDescent="0.25">
      <c r="A6404" t="s">
        <v>11881</v>
      </c>
      <c r="B6404" t="s">
        <v>11976</v>
      </c>
    </row>
    <row r="6405" spans="1:2" ht="112" hidden="1" customHeight="1" x14ac:dyDescent="0.25">
      <c r="A6405" t="s">
        <v>11882</v>
      </c>
      <c r="B6405" t="s">
        <v>11977</v>
      </c>
    </row>
    <row r="6406" spans="1:2" ht="112" hidden="1" customHeight="1" x14ac:dyDescent="0.25">
      <c r="A6406" t="s">
        <v>11883</v>
      </c>
      <c r="B6406" t="s">
        <v>11978</v>
      </c>
    </row>
    <row r="6407" spans="1:2" ht="112" hidden="1" customHeight="1" x14ac:dyDescent="0.25">
      <c r="A6407" t="s">
        <v>11884</v>
      </c>
      <c r="B6407" t="s">
        <v>11979</v>
      </c>
    </row>
    <row r="6408" spans="1:2" ht="112" hidden="1" customHeight="1" x14ac:dyDescent="0.25">
      <c r="A6408" t="s">
        <v>11885</v>
      </c>
      <c r="B6408" t="s">
        <v>11980</v>
      </c>
    </row>
    <row r="6409" spans="1:2" ht="112" hidden="1" customHeight="1" x14ac:dyDescent="0.25">
      <c r="A6409" t="s">
        <v>11886</v>
      </c>
      <c r="B6409" t="s">
        <v>11981</v>
      </c>
    </row>
    <row r="6410" spans="1:2" ht="112" hidden="1" customHeight="1" x14ac:dyDescent="0.25">
      <c r="A6410" t="s">
        <v>11887</v>
      </c>
      <c r="B6410" t="s">
        <v>11982</v>
      </c>
    </row>
    <row r="6411" spans="1:2" ht="112" hidden="1" customHeight="1" x14ac:dyDescent="0.25">
      <c r="A6411" t="s">
        <v>11888</v>
      </c>
      <c r="B6411" t="s">
        <v>11983</v>
      </c>
    </row>
    <row r="6412" spans="1:2" ht="112" hidden="1" customHeight="1" x14ac:dyDescent="0.25">
      <c r="A6412" t="s">
        <v>11889</v>
      </c>
      <c r="B6412" t="s">
        <v>11984</v>
      </c>
    </row>
    <row r="6413" spans="1:2" ht="112" hidden="1" customHeight="1" x14ac:dyDescent="0.25">
      <c r="A6413" t="s">
        <v>11890</v>
      </c>
      <c r="B6413" t="s">
        <v>11985</v>
      </c>
    </row>
    <row r="6414" spans="1:2" ht="112" hidden="1" customHeight="1" x14ac:dyDescent="0.25">
      <c r="A6414" t="s">
        <v>11891</v>
      </c>
      <c r="B6414" t="s">
        <v>11986</v>
      </c>
    </row>
    <row r="6415" spans="1:2" ht="112" hidden="1" customHeight="1" x14ac:dyDescent="0.25">
      <c r="A6415" t="s">
        <v>11892</v>
      </c>
      <c r="B6415" t="s">
        <v>11987</v>
      </c>
    </row>
    <row r="6416" spans="1:2" ht="112" hidden="1" customHeight="1" x14ac:dyDescent="0.25">
      <c r="A6416" t="s">
        <v>11893</v>
      </c>
      <c r="B6416" t="s">
        <v>11988</v>
      </c>
    </row>
    <row r="6417" spans="1:2" ht="112" hidden="1" customHeight="1" x14ac:dyDescent="0.25">
      <c r="A6417" t="s">
        <v>11894</v>
      </c>
      <c r="B6417" t="s">
        <v>11989</v>
      </c>
    </row>
    <row r="6418" spans="1:2" ht="112" hidden="1" customHeight="1" x14ac:dyDescent="0.25">
      <c r="A6418" t="s">
        <v>11895</v>
      </c>
      <c r="B6418" t="s">
        <v>11990</v>
      </c>
    </row>
    <row r="6419" spans="1:2" ht="112" hidden="1" customHeight="1" x14ac:dyDescent="0.25">
      <c r="A6419" t="s">
        <v>11991</v>
      </c>
      <c r="B6419" t="s">
        <v>12012</v>
      </c>
    </row>
    <row r="6420" spans="1:2" ht="112" hidden="1" customHeight="1" x14ac:dyDescent="0.25">
      <c r="A6420" t="s">
        <v>11992</v>
      </c>
      <c r="B6420" t="s">
        <v>12013</v>
      </c>
    </row>
    <row r="6421" spans="1:2" ht="112" hidden="1" customHeight="1" x14ac:dyDescent="0.25">
      <c r="A6421" t="s">
        <v>11993</v>
      </c>
      <c r="B6421" t="s">
        <v>12014</v>
      </c>
    </row>
    <row r="6422" spans="1:2" ht="112" hidden="1" customHeight="1" x14ac:dyDescent="0.25">
      <c r="A6422" t="s">
        <v>11994</v>
      </c>
      <c r="B6422" t="s">
        <v>12015</v>
      </c>
    </row>
    <row r="6423" spans="1:2" ht="112" hidden="1" customHeight="1" x14ac:dyDescent="0.25">
      <c r="A6423" t="s">
        <v>11995</v>
      </c>
      <c r="B6423" t="s">
        <v>12016</v>
      </c>
    </row>
    <row r="6424" spans="1:2" ht="112" hidden="1" customHeight="1" x14ac:dyDescent="0.25">
      <c r="A6424" t="s">
        <v>11996</v>
      </c>
      <c r="B6424" t="s">
        <v>12017</v>
      </c>
    </row>
    <row r="6425" spans="1:2" ht="112" hidden="1" customHeight="1" x14ac:dyDescent="0.25">
      <c r="A6425" t="s">
        <v>11997</v>
      </c>
      <c r="B6425" t="s">
        <v>12018</v>
      </c>
    </row>
    <row r="6426" spans="1:2" ht="112" hidden="1" customHeight="1" x14ac:dyDescent="0.25">
      <c r="A6426" t="s">
        <v>11998</v>
      </c>
      <c r="B6426" t="s">
        <v>12019</v>
      </c>
    </row>
    <row r="6427" spans="1:2" ht="112" hidden="1" customHeight="1" x14ac:dyDescent="0.25">
      <c r="A6427" t="s">
        <v>11999</v>
      </c>
      <c r="B6427" t="s">
        <v>12020</v>
      </c>
    </row>
    <row r="6428" spans="1:2" ht="112" hidden="1" customHeight="1" x14ac:dyDescent="0.25">
      <c r="A6428" t="s">
        <v>12000</v>
      </c>
      <c r="B6428" t="s">
        <v>12021</v>
      </c>
    </row>
    <row r="6429" spans="1:2" ht="112" hidden="1" customHeight="1" x14ac:dyDescent="0.25">
      <c r="A6429" t="s">
        <v>12001</v>
      </c>
      <c r="B6429" t="s">
        <v>12022</v>
      </c>
    </row>
    <row r="6430" spans="1:2" ht="112" hidden="1" customHeight="1" x14ac:dyDescent="0.25">
      <c r="A6430" t="s">
        <v>12002</v>
      </c>
      <c r="B6430" t="s">
        <v>12023</v>
      </c>
    </row>
    <row r="6431" spans="1:2" ht="112" hidden="1" customHeight="1" x14ac:dyDescent="0.25">
      <c r="A6431" t="s">
        <v>12003</v>
      </c>
      <c r="B6431" t="s">
        <v>12024</v>
      </c>
    </row>
    <row r="6432" spans="1:2" ht="112" hidden="1" customHeight="1" x14ac:dyDescent="0.25">
      <c r="A6432" t="s">
        <v>12004</v>
      </c>
      <c r="B6432" t="s">
        <v>12025</v>
      </c>
    </row>
    <row r="6433" spans="1:2" ht="112" hidden="1" customHeight="1" x14ac:dyDescent="0.25">
      <c r="A6433" t="s">
        <v>12005</v>
      </c>
      <c r="B6433" t="s">
        <v>12026</v>
      </c>
    </row>
    <row r="6434" spans="1:2" ht="112" hidden="1" customHeight="1" x14ac:dyDescent="0.25">
      <c r="A6434" t="s">
        <v>12006</v>
      </c>
      <c r="B6434" s="56" t="s">
        <v>12118</v>
      </c>
    </row>
    <row r="6435" spans="1:2" ht="112" hidden="1" customHeight="1" x14ac:dyDescent="0.25">
      <c r="A6435" t="s">
        <v>12007</v>
      </c>
      <c r="B6435" t="s">
        <v>12027</v>
      </c>
    </row>
    <row r="6436" spans="1:2" ht="112" hidden="1" customHeight="1" x14ac:dyDescent="0.25">
      <c r="A6436" t="s">
        <v>12008</v>
      </c>
      <c r="B6436" s="56" t="s">
        <v>12073</v>
      </c>
    </row>
    <row r="6437" spans="1:2" ht="112" hidden="1" customHeight="1" x14ac:dyDescent="0.25">
      <c r="A6437" t="s">
        <v>12009</v>
      </c>
      <c r="B6437" s="56" t="s">
        <v>12074</v>
      </c>
    </row>
    <row r="6438" spans="1:2" ht="112" hidden="1" customHeight="1" x14ac:dyDescent="0.25">
      <c r="A6438" t="s">
        <v>12010</v>
      </c>
      <c r="B6438" t="s">
        <v>12028</v>
      </c>
    </row>
    <row r="6439" spans="1:2" ht="112" hidden="1" customHeight="1" x14ac:dyDescent="0.25">
      <c r="A6439" t="s">
        <v>12011</v>
      </c>
      <c r="B6439" t="s">
        <v>12029</v>
      </c>
    </row>
    <row r="6440" spans="1:2" ht="112" hidden="1" customHeight="1" x14ac:dyDescent="0.25">
      <c r="A6440" t="s">
        <v>12030</v>
      </c>
      <c r="B6440" t="s">
        <v>12033</v>
      </c>
    </row>
    <row r="6441" spans="1:2" ht="112" hidden="1" customHeight="1" x14ac:dyDescent="0.25">
      <c r="A6441" t="s">
        <v>12031</v>
      </c>
      <c r="B6441" t="s">
        <v>12034</v>
      </c>
    </row>
    <row r="6442" spans="1:2" ht="112" hidden="1" customHeight="1" x14ac:dyDescent="0.25">
      <c r="A6442" t="s">
        <v>12032</v>
      </c>
      <c r="B6442" t="s">
        <v>12035</v>
      </c>
    </row>
    <row r="6443" spans="1:2" ht="112" hidden="1" customHeight="1" x14ac:dyDescent="0.25">
      <c r="A6443" t="s">
        <v>12036</v>
      </c>
      <c r="B6443" t="s">
        <v>12053</v>
      </c>
    </row>
    <row r="6444" spans="1:2" ht="112" hidden="1" customHeight="1" x14ac:dyDescent="0.25">
      <c r="A6444" t="s">
        <v>12037</v>
      </c>
      <c r="B6444" t="s">
        <v>12054</v>
      </c>
    </row>
    <row r="6445" spans="1:2" ht="112" hidden="1" customHeight="1" x14ac:dyDescent="0.25">
      <c r="A6445" t="s">
        <v>12038</v>
      </c>
      <c r="B6445" t="s">
        <v>12055</v>
      </c>
    </row>
    <row r="6446" spans="1:2" ht="112" hidden="1" customHeight="1" x14ac:dyDescent="0.25">
      <c r="A6446" t="s">
        <v>12039</v>
      </c>
      <c r="B6446" t="s">
        <v>12056</v>
      </c>
    </row>
    <row r="6447" spans="1:2" ht="112" hidden="1" customHeight="1" x14ac:dyDescent="0.25">
      <c r="A6447" t="s">
        <v>12040</v>
      </c>
      <c r="B6447" t="s">
        <v>12057</v>
      </c>
    </row>
    <row r="6448" spans="1:2" ht="112" hidden="1" customHeight="1" x14ac:dyDescent="0.25">
      <c r="A6448" t="s">
        <v>12041</v>
      </c>
      <c r="B6448" t="s">
        <v>12058</v>
      </c>
    </row>
    <row r="6449" spans="1:2" ht="112" hidden="1" customHeight="1" x14ac:dyDescent="0.25">
      <c r="A6449" t="s">
        <v>12042</v>
      </c>
      <c r="B6449" t="s">
        <v>12059</v>
      </c>
    </row>
    <row r="6450" spans="1:2" ht="112" hidden="1" customHeight="1" x14ac:dyDescent="0.25">
      <c r="A6450" t="s">
        <v>12043</v>
      </c>
      <c r="B6450" t="s">
        <v>12060</v>
      </c>
    </row>
    <row r="6451" spans="1:2" ht="112" hidden="1" customHeight="1" x14ac:dyDescent="0.25">
      <c r="A6451" t="s">
        <v>12044</v>
      </c>
      <c r="B6451" s="56" t="s">
        <v>13380</v>
      </c>
    </row>
    <row r="6452" spans="1:2" ht="112" hidden="1" customHeight="1" x14ac:dyDescent="0.25">
      <c r="A6452" t="s">
        <v>12045</v>
      </c>
      <c r="B6452" t="s">
        <v>12061</v>
      </c>
    </row>
    <row r="6453" spans="1:2" ht="112" hidden="1" customHeight="1" x14ac:dyDescent="0.25">
      <c r="A6453" t="s">
        <v>12046</v>
      </c>
      <c r="B6453" t="s">
        <v>12062</v>
      </c>
    </row>
    <row r="6454" spans="1:2" ht="112" hidden="1" customHeight="1" x14ac:dyDescent="0.25">
      <c r="A6454" t="s">
        <v>12047</v>
      </c>
      <c r="B6454" t="s">
        <v>12063</v>
      </c>
    </row>
    <row r="6455" spans="1:2" ht="112" hidden="1" customHeight="1" x14ac:dyDescent="0.25">
      <c r="A6455" t="s">
        <v>12048</v>
      </c>
      <c r="B6455" t="s">
        <v>12064</v>
      </c>
    </row>
    <row r="6456" spans="1:2" ht="112" hidden="1" customHeight="1" x14ac:dyDescent="0.25">
      <c r="A6456" t="s">
        <v>12049</v>
      </c>
      <c r="B6456" t="s">
        <v>12065</v>
      </c>
    </row>
    <row r="6457" spans="1:2" ht="112" hidden="1" customHeight="1" x14ac:dyDescent="0.25">
      <c r="A6457" t="s">
        <v>12050</v>
      </c>
      <c r="B6457" t="s">
        <v>12066</v>
      </c>
    </row>
    <row r="6458" spans="1:2" ht="112" hidden="1" customHeight="1" x14ac:dyDescent="0.25">
      <c r="A6458" t="s">
        <v>12051</v>
      </c>
      <c r="B6458" t="s">
        <v>12067</v>
      </c>
    </row>
    <row r="6459" spans="1:2" ht="112" hidden="1" customHeight="1" x14ac:dyDescent="0.25">
      <c r="A6459" t="s">
        <v>12052</v>
      </c>
      <c r="B6459" t="s">
        <v>12068</v>
      </c>
    </row>
    <row r="6460" spans="1:2" ht="112" hidden="1" customHeight="1" x14ac:dyDescent="0.25">
      <c r="A6460" t="s">
        <v>12069</v>
      </c>
      <c r="B6460" t="s">
        <v>12070</v>
      </c>
    </row>
    <row r="6461" spans="1:2" ht="112" hidden="1" customHeight="1" x14ac:dyDescent="0.25">
      <c r="A6461" t="s">
        <v>12071</v>
      </c>
      <c r="B6461" t="s">
        <v>12072</v>
      </c>
    </row>
    <row r="6462" spans="1:2" ht="112" hidden="1" customHeight="1" x14ac:dyDescent="0.25">
      <c r="A6462" t="s">
        <v>12075</v>
      </c>
      <c r="B6462" t="s">
        <v>12092</v>
      </c>
    </row>
    <row r="6463" spans="1:2" ht="112" hidden="1" customHeight="1" x14ac:dyDescent="0.25">
      <c r="A6463" t="s">
        <v>12076</v>
      </c>
      <c r="B6463" t="s">
        <v>12093</v>
      </c>
    </row>
    <row r="6464" spans="1:2" ht="112" hidden="1" customHeight="1" x14ac:dyDescent="0.25">
      <c r="A6464" t="s">
        <v>12077</v>
      </c>
      <c r="B6464" t="s">
        <v>12094</v>
      </c>
    </row>
    <row r="6465" spans="1:2" ht="112" hidden="1" customHeight="1" x14ac:dyDescent="0.25">
      <c r="A6465" t="s">
        <v>12078</v>
      </c>
      <c r="B6465" t="s">
        <v>12095</v>
      </c>
    </row>
    <row r="6466" spans="1:2" ht="112" hidden="1" customHeight="1" x14ac:dyDescent="0.25">
      <c r="A6466" t="s">
        <v>12079</v>
      </c>
      <c r="B6466" t="s">
        <v>12096</v>
      </c>
    </row>
    <row r="6467" spans="1:2" ht="112" hidden="1" customHeight="1" x14ac:dyDescent="0.25">
      <c r="A6467" t="s">
        <v>12080</v>
      </c>
      <c r="B6467" t="s">
        <v>12097</v>
      </c>
    </row>
    <row r="6468" spans="1:2" ht="112" hidden="1" customHeight="1" x14ac:dyDescent="0.25">
      <c r="A6468" t="s">
        <v>12081</v>
      </c>
      <c r="B6468" t="s">
        <v>12098</v>
      </c>
    </row>
    <row r="6469" spans="1:2" ht="112" hidden="1" customHeight="1" x14ac:dyDescent="0.25">
      <c r="A6469" t="s">
        <v>12082</v>
      </c>
      <c r="B6469" t="s">
        <v>12099</v>
      </c>
    </row>
    <row r="6470" spans="1:2" ht="112" hidden="1" customHeight="1" x14ac:dyDescent="0.25">
      <c r="A6470" t="s">
        <v>12083</v>
      </c>
      <c r="B6470" t="s">
        <v>12100</v>
      </c>
    </row>
    <row r="6471" spans="1:2" ht="112" hidden="1" customHeight="1" x14ac:dyDescent="0.25">
      <c r="A6471" t="s">
        <v>12084</v>
      </c>
      <c r="B6471" t="s">
        <v>12101</v>
      </c>
    </row>
    <row r="6472" spans="1:2" ht="112" hidden="1" customHeight="1" x14ac:dyDescent="0.25">
      <c r="A6472" t="s">
        <v>12085</v>
      </c>
      <c r="B6472" t="s">
        <v>12102</v>
      </c>
    </row>
    <row r="6473" spans="1:2" ht="112" hidden="1" customHeight="1" x14ac:dyDescent="0.25">
      <c r="A6473" t="s">
        <v>12086</v>
      </c>
      <c r="B6473" t="s">
        <v>12103</v>
      </c>
    </row>
    <row r="6474" spans="1:2" ht="112" hidden="1" customHeight="1" x14ac:dyDescent="0.25">
      <c r="A6474" t="s">
        <v>12087</v>
      </c>
      <c r="B6474" t="s">
        <v>12104</v>
      </c>
    </row>
    <row r="6475" spans="1:2" ht="112" hidden="1" customHeight="1" x14ac:dyDescent="0.25">
      <c r="A6475" t="s">
        <v>12088</v>
      </c>
      <c r="B6475" t="s">
        <v>12105</v>
      </c>
    </row>
    <row r="6476" spans="1:2" ht="112" hidden="1" customHeight="1" x14ac:dyDescent="0.25">
      <c r="A6476" t="s">
        <v>12089</v>
      </c>
      <c r="B6476" t="s">
        <v>12106</v>
      </c>
    </row>
    <row r="6477" spans="1:2" ht="112" hidden="1" customHeight="1" x14ac:dyDescent="0.25">
      <c r="A6477" t="s">
        <v>12090</v>
      </c>
      <c r="B6477" t="s">
        <v>12107</v>
      </c>
    </row>
    <row r="6478" spans="1:2" ht="112" hidden="1" customHeight="1" x14ac:dyDescent="0.25">
      <c r="A6478" t="s">
        <v>12109</v>
      </c>
      <c r="B6478" s="56" t="s">
        <v>12267</v>
      </c>
    </row>
    <row r="6479" spans="1:2" ht="112" hidden="1" customHeight="1" x14ac:dyDescent="0.25">
      <c r="A6479" t="s">
        <v>12110</v>
      </c>
      <c r="B6479" t="s">
        <v>12112</v>
      </c>
    </row>
    <row r="6480" spans="1:2" ht="112" hidden="1" customHeight="1" x14ac:dyDescent="0.25">
      <c r="A6480" t="s">
        <v>12111</v>
      </c>
      <c r="B6480" t="s">
        <v>12113</v>
      </c>
    </row>
    <row r="6481" spans="1:2" ht="112" hidden="1" customHeight="1" x14ac:dyDescent="0.25">
      <c r="A6481" t="s">
        <v>12114</v>
      </c>
      <c r="B6481" s="56" t="s">
        <v>12115</v>
      </c>
    </row>
    <row r="6482" spans="1:2" ht="112" hidden="1" customHeight="1" x14ac:dyDescent="0.25">
      <c r="A6482" t="s">
        <v>12116</v>
      </c>
      <c r="B6482" s="56" t="s">
        <v>12117</v>
      </c>
    </row>
    <row r="6483" spans="1:2" ht="112" hidden="1" customHeight="1" x14ac:dyDescent="0.25">
      <c r="A6483" t="s">
        <v>12119</v>
      </c>
      <c r="B6483" t="s">
        <v>12120</v>
      </c>
    </row>
    <row r="6484" spans="1:2" ht="112" hidden="1" customHeight="1" x14ac:dyDescent="0.25">
      <c r="A6484" t="s">
        <v>12121</v>
      </c>
      <c r="B6484" t="s">
        <v>12123</v>
      </c>
    </row>
    <row r="6485" spans="1:2" ht="112" hidden="1" customHeight="1" x14ac:dyDescent="0.25">
      <c r="A6485" t="s">
        <v>12122</v>
      </c>
      <c r="B6485" t="s">
        <v>12124</v>
      </c>
    </row>
    <row r="6486" spans="1:2" ht="112" hidden="1" customHeight="1" x14ac:dyDescent="0.25">
      <c r="A6486" t="s">
        <v>12125</v>
      </c>
      <c r="B6486" t="s">
        <v>12139</v>
      </c>
    </row>
    <row r="6487" spans="1:2" ht="112" hidden="1" customHeight="1" x14ac:dyDescent="0.25">
      <c r="A6487" t="s">
        <v>12126</v>
      </c>
      <c r="B6487" t="s">
        <v>12140</v>
      </c>
    </row>
    <row r="6488" spans="1:2" ht="112" hidden="1" customHeight="1" x14ac:dyDescent="0.25">
      <c r="A6488" t="s">
        <v>12127</v>
      </c>
      <c r="B6488" t="s">
        <v>12141</v>
      </c>
    </row>
    <row r="6489" spans="1:2" ht="112" hidden="1" customHeight="1" x14ac:dyDescent="0.25">
      <c r="A6489" t="s">
        <v>12128</v>
      </c>
      <c r="B6489" t="s">
        <v>12142</v>
      </c>
    </row>
    <row r="6490" spans="1:2" ht="112" hidden="1" customHeight="1" x14ac:dyDescent="0.25">
      <c r="A6490" t="s">
        <v>12129</v>
      </c>
      <c r="B6490" t="s">
        <v>12143</v>
      </c>
    </row>
    <row r="6491" spans="1:2" ht="112" hidden="1" customHeight="1" x14ac:dyDescent="0.25">
      <c r="A6491" t="s">
        <v>12130</v>
      </c>
      <c r="B6491" t="s">
        <v>12144</v>
      </c>
    </row>
    <row r="6492" spans="1:2" ht="112" hidden="1" customHeight="1" x14ac:dyDescent="0.25">
      <c r="A6492" t="s">
        <v>12131</v>
      </c>
      <c r="B6492" t="s">
        <v>12145</v>
      </c>
    </row>
    <row r="6493" spans="1:2" ht="112" hidden="1" customHeight="1" x14ac:dyDescent="0.25">
      <c r="A6493" t="s">
        <v>12132</v>
      </c>
      <c r="B6493" t="s">
        <v>12146</v>
      </c>
    </row>
    <row r="6494" spans="1:2" ht="112" hidden="1" customHeight="1" x14ac:dyDescent="0.25">
      <c r="A6494" t="s">
        <v>12133</v>
      </c>
      <c r="B6494" t="s">
        <v>12147</v>
      </c>
    </row>
    <row r="6495" spans="1:2" ht="112" hidden="1" customHeight="1" x14ac:dyDescent="0.25">
      <c r="A6495" t="s">
        <v>12134</v>
      </c>
      <c r="B6495" t="s">
        <v>12148</v>
      </c>
    </row>
    <row r="6496" spans="1:2" ht="112" hidden="1" customHeight="1" x14ac:dyDescent="0.25">
      <c r="A6496" t="s">
        <v>12135</v>
      </c>
      <c r="B6496" t="s">
        <v>12149</v>
      </c>
    </row>
    <row r="6497" spans="1:2" ht="112" hidden="1" customHeight="1" x14ac:dyDescent="0.25">
      <c r="A6497" t="s">
        <v>12136</v>
      </c>
      <c r="B6497" t="s">
        <v>12150</v>
      </c>
    </row>
    <row r="6498" spans="1:2" ht="112" hidden="1" customHeight="1" x14ac:dyDescent="0.25">
      <c r="A6498" t="s">
        <v>12137</v>
      </c>
      <c r="B6498" t="s">
        <v>12151</v>
      </c>
    </row>
    <row r="6499" spans="1:2" ht="112" hidden="1" customHeight="1" x14ac:dyDescent="0.25">
      <c r="A6499" t="s">
        <v>12138</v>
      </c>
      <c r="B6499" t="s">
        <v>12152</v>
      </c>
    </row>
    <row r="6500" spans="1:2" ht="112" hidden="1" customHeight="1" x14ac:dyDescent="0.25">
      <c r="A6500" t="s">
        <v>12153</v>
      </c>
      <c r="B6500" s="56" t="s">
        <v>12158</v>
      </c>
    </row>
    <row r="6501" spans="1:2" ht="112" hidden="1" customHeight="1" x14ac:dyDescent="0.25">
      <c r="A6501" t="s">
        <v>12154</v>
      </c>
      <c r="B6501" s="56" t="s">
        <v>12156</v>
      </c>
    </row>
    <row r="6502" spans="1:2" ht="112" hidden="1" customHeight="1" x14ac:dyDescent="0.25">
      <c r="A6502" t="s">
        <v>12155</v>
      </c>
      <c r="B6502" s="56" t="s">
        <v>12157</v>
      </c>
    </row>
    <row r="6503" spans="1:2" ht="112" hidden="1" customHeight="1" x14ac:dyDescent="0.25">
      <c r="A6503" t="s">
        <v>12159</v>
      </c>
      <c r="B6503" t="s">
        <v>12166</v>
      </c>
    </row>
    <row r="6504" spans="1:2" ht="112" hidden="1" customHeight="1" x14ac:dyDescent="0.25">
      <c r="A6504" t="s">
        <v>12160</v>
      </c>
      <c r="B6504" t="s">
        <v>12167</v>
      </c>
    </row>
    <row r="6505" spans="1:2" ht="112" hidden="1" customHeight="1" x14ac:dyDescent="0.25">
      <c r="A6505" t="s">
        <v>12161</v>
      </c>
      <c r="B6505" t="s">
        <v>12168</v>
      </c>
    </row>
    <row r="6506" spans="1:2" ht="112" hidden="1" customHeight="1" x14ac:dyDescent="0.25">
      <c r="A6506" t="s">
        <v>12162</v>
      </c>
      <c r="B6506" t="s">
        <v>12169</v>
      </c>
    </row>
    <row r="6507" spans="1:2" ht="112" hidden="1" customHeight="1" x14ac:dyDescent="0.25">
      <c r="A6507" t="s">
        <v>12163</v>
      </c>
      <c r="B6507" t="s">
        <v>12170</v>
      </c>
    </row>
    <row r="6508" spans="1:2" ht="112" hidden="1" customHeight="1" x14ac:dyDescent="0.25">
      <c r="A6508" t="s">
        <v>12164</v>
      </c>
      <c r="B6508" t="s">
        <v>12171</v>
      </c>
    </row>
    <row r="6509" spans="1:2" ht="112" hidden="1" customHeight="1" x14ac:dyDescent="0.25">
      <c r="A6509" t="s">
        <v>12165</v>
      </c>
      <c r="B6509" t="s">
        <v>12172</v>
      </c>
    </row>
    <row r="6510" spans="1:2" ht="112" hidden="1" customHeight="1" x14ac:dyDescent="0.25">
      <c r="A6510" t="s">
        <v>11895</v>
      </c>
      <c r="B6510" t="s">
        <v>12183</v>
      </c>
    </row>
    <row r="6511" spans="1:2" ht="112" hidden="1" customHeight="1" x14ac:dyDescent="0.25">
      <c r="A6511" t="s">
        <v>12173</v>
      </c>
      <c r="B6511" t="s">
        <v>12184</v>
      </c>
    </row>
    <row r="6512" spans="1:2" ht="112" hidden="1" customHeight="1" x14ac:dyDescent="0.25">
      <c r="A6512" t="s">
        <v>12174</v>
      </c>
      <c r="B6512" t="s">
        <v>12185</v>
      </c>
    </row>
    <row r="6513" spans="1:2" ht="112" hidden="1" customHeight="1" x14ac:dyDescent="0.25">
      <c r="A6513" t="s">
        <v>12175</v>
      </c>
      <c r="B6513" t="s">
        <v>12186</v>
      </c>
    </row>
    <row r="6514" spans="1:2" ht="112" hidden="1" customHeight="1" x14ac:dyDescent="0.25">
      <c r="A6514" t="s">
        <v>12176</v>
      </c>
      <c r="B6514" t="s">
        <v>12187</v>
      </c>
    </row>
    <row r="6515" spans="1:2" ht="112" hidden="1" customHeight="1" x14ac:dyDescent="0.25">
      <c r="A6515" t="s">
        <v>12177</v>
      </c>
      <c r="B6515" t="s">
        <v>12188</v>
      </c>
    </row>
    <row r="6516" spans="1:2" ht="112" hidden="1" customHeight="1" x14ac:dyDescent="0.25">
      <c r="A6516" t="s">
        <v>12178</v>
      </c>
      <c r="B6516" t="s">
        <v>12189</v>
      </c>
    </row>
    <row r="6517" spans="1:2" ht="112" hidden="1" customHeight="1" x14ac:dyDescent="0.25">
      <c r="A6517" t="s">
        <v>12179</v>
      </c>
      <c r="B6517" t="s">
        <v>12190</v>
      </c>
    </row>
    <row r="6518" spans="1:2" ht="112" hidden="1" customHeight="1" x14ac:dyDescent="0.25">
      <c r="A6518" t="s">
        <v>12180</v>
      </c>
      <c r="B6518" t="s">
        <v>12191</v>
      </c>
    </row>
    <row r="6519" spans="1:2" ht="112" hidden="1" customHeight="1" x14ac:dyDescent="0.25">
      <c r="A6519" t="s">
        <v>12181</v>
      </c>
      <c r="B6519" t="s">
        <v>12192</v>
      </c>
    </row>
    <row r="6520" spans="1:2" ht="112" hidden="1" customHeight="1" x14ac:dyDescent="0.25">
      <c r="A6520" t="s">
        <v>12182</v>
      </c>
      <c r="B6520" t="s">
        <v>12193</v>
      </c>
    </row>
    <row r="6521" spans="1:2" ht="112" hidden="1" customHeight="1" x14ac:dyDescent="0.25">
      <c r="A6521" t="s">
        <v>12194</v>
      </c>
      <c r="B6521" t="s">
        <v>12196</v>
      </c>
    </row>
    <row r="6522" spans="1:2" ht="112" hidden="1" customHeight="1" x14ac:dyDescent="0.25">
      <c r="A6522" t="s">
        <v>12195</v>
      </c>
      <c r="B6522" t="s">
        <v>12197</v>
      </c>
    </row>
    <row r="6523" spans="1:2" ht="112" hidden="1" customHeight="1" x14ac:dyDescent="0.25">
      <c r="A6523" t="s">
        <v>12198</v>
      </c>
      <c r="B6523" t="s">
        <v>12199</v>
      </c>
    </row>
    <row r="6524" spans="1:2" ht="112" hidden="1" customHeight="1" x14ac:dyDescent="0.25">
      <c r="A6524" t="s">
        <v>12201</v>
      </c>
      <c r="B6524" s="56" t="s">
        <v>12875</v>
      </c>
    </row>
    <row r="6525" spans="1:2" ht="112" hidden="1" customHeight="1" x14ac:dyDescent="0.25">
      <c r="A6525" t="s">
        <v>12200</v>
      </c>
      <c r="B6525" s="56" t="s">
        <v>12874</v>
      </c>
    </row>
    <row r="6526" spans="1:2" ht="112" hidden="1" customHeight="1" x14ac:dyDescent="0.25">
      <c r="A6526" t="s">
        <v>12202</v>
      </c>
      <c r="B6526" t="s">
        <v>12234</v>
      </c>
    </row>
    <row r="6527" spans="1:2" ht="112" hidden="1" customHeight="1" x14ac:dyDescent="0.25">
      <c r="A6527" t="s">
        <v>12203</v>
      </c>
      <c r="B6527" t="s">
        <v>12235</v>
      </c>
    </row>
    <row r="6528" spans="1:2" ht="112" hidden="1" customHeight="1" x14ac:dyDescent="0.25">
      <c r="A6528" t="s">
        <v>12204</v>
      </c>
      <c r="B6528" t="s">
        <v>12236</v>
      </c>
    </row>
    <row r="6529" spans="1:2" ht="112" hidden="1" customHeight="1" x14ac:dyDescent="0.25">
      <c r="A6529" t="s">
        <v>12205</v>
      </c>
      <c r="B6529" t="s">
        <v>12237</v>
      </c>
    </row>
    <row r="6530" spans="1:2" ht="112" hidden="1" customHeight="1" x14ac:dyDescent="0.25">
      <c r="A6530" t="s">
        <v>12206</v>
      </c>
      <c r="B6530" t="s">
        <v>12238</v>
      </c>
    </row>
    <row r="6531" spans="1:2" ht="112" hidden="1" customHeight="1" x14ac:dyDescent="0.25">
      <c r="A6531" t="s">
        <v>12207</v>
      </c>
      <c r="B6531" t="s">
        <v>12239</v>
      </c>
    </row>
    <row r="6532" spans="1:2" ht="112" hidden="1" customHeight="1" x14ac:dyDescent="0.25">
      <c r="A6532" t="s">
        <v>12208</v>
      </c>
      <c r="B6532" t="s">
        <v>12240</v>
      </c>
    </row>
    <row r="6533" spans="1:2" ht="112" hidden="1" customHeight="1" x14ac:dyDescent="0.25">
      <c r="A6533" t="s">
        <v>12209</v>
      </c>
      <c r="B6533" t="s">
        <v>12241</v>
      </c>
    </row>
    <row r="6534" spans="1:2" ht="112" hidden="1" customHeight="1" x14ac:dyDescent="0.25">
      <c r="A6534" t="s">
        <v>12210</v>
      </c>
      <c r="B6534" t="s">
        <v>12242</v>
      </c>
    </row>
    <row r="6535" spans="1:2" ht="112" hidden="1" customHeight="1" x14ac:dyDescent="0.25">
      <c r="A6535" t="s">
        <v>12211</v>
      </c>
      <c r="B6535" t="s">
        <v>12243</v>
      </c>
    </row>
    <row r="6536" spans="1:2" ht="112" hidden="1" customHeight="1" x14ac:dyDescent="0.25">
      <c r="A6536" t="s">
        <v>12212</v>
      </c>
      <c r="B6536" t="s">
        <v>12244</v>
      </c>
    </row>
    <row r="6537" spans="1:2" ht="112" hidden="1" customHeight="1" x14ac:dyDescent="0.25">
      <c r="A6537" t="s">
        <v>12213</v>
      </c>
      <c r="B6537" t="s">
        <v>12245</v>
      </c>
    </row>
    <row r="6538" spans="1:2" ht="112" hidden="1" customHeight="1" x14ac:dyDescent="0.25">
      <c r="A6538" t="s">
        <v>12214</v>
      </c>
      <c r="B6538" t="s">
        <v>12246</v>
      </c>
    </row>
    <row r="6539" spans="1:2" ht="112" hidden="1" customHeight="1" x14ac:dyDescent="0.25">
      <c r="A6539" t="s">
        <v>12215</v>
      </c>
      <c r="B6539" t="s">
        <v>12247</v>
      </c>
    </row>
    <row r="6540" spans="1:2" ht="112" hidden="1" customHeight="1" x14ac:dyDescent="0.25">
      <c r="A6540" t="s">
        <v>12216</v>
      </c>
      <c r="B6540" t="s">
        <v>12248</v>
      </c>
    </row>
    <row r="6541" spans="1:2" ht="112" hidden="1" customHeight="1" x14ac:dyDescent="0.25">
      <c r="A6541" t="s">
        <v>12217</v>
      </c>
      <c r="B6541" t="s">
        <v>12249</v>
      </c>
    </row>
    <row r="6542" spans="1:2" ht="112" hidden="1" customHeight="1" x14ac:dyDescent="0.25">
      <c r="A6542" t="s">
        <v>12218</v>
      </c>
      <c r="B6542" t="s">
        <v>12250</v>
      </c>
    </row>
    <row r="6543" spans="1:2" ht="112" hidden="1" customHeight="1" x14ac:dyDescent="0.25">
      <c r="A6543" t="s">
        <v>12219</v>
      </c>
      <c r="B6543" t="s">
        <v>12251</v>
      </c>
    </row>
    <row r="6544" spans="1:2" ht="112" hidden="1" customHeight="1" x14ac:dyDescent="0.25">
      <c r="A6544" t="s">
        <v>12220</v>
      </c>
      <c r="B6544" s="56" t="s">
        <v>13166</v>
      </c>
    </row>
    <row r="6545" spans="1:2" ht="112" hidden="1" customHeight="1" x14ac:dyDescent="0.25">
      <c r="A6545" t="s">
        <v>12221</v>
      </c>
      <c r="B6545" s="56" t="s">
        <v>13168</v>
      </c>
    </row>
    <row r="6546" spans="1:2" ht="112" hidden="1" customHeight="1" x14ac:dyDescent="0.25">
      <c r="A6546" t="s">
        <v>12222</v>
      </c>
      <c r="B6546" t="s">
        <v>12252</v>
      </c>
    </row>
    <row r="6547" spans="1:2" ht="112" hidden="1" customHeight="1" x14ac:dyDescent="0.25">
      <c r="A6547" t="s">
        <v>12223</v>
      </c>
      <c r="B6547" t="s">
        <v>12253</v>
      </c>
    </row>
    <row r="6548" spans="1:2" ht="112" hidden="1" customHeight="1" x14ac:dyDescent="0.25">
      <c r="A6548" t="s">
        <v>12224</v>
      </c>
      <c r="B6548" t="s">
        <v>12254</v>
      </c>
    </row>
    <row r="6549" spans="1:2" ht="112" hidden="1" customHeight="1" x14ac:dyDescent="0.25">
      <c r="A6549" t="s">
        <v>12225</v>
      </c>
      <c r="B6549" t="s">
        <v>12255</v>
      </c>
    </row>
    <row r="6550" spans="1:2" ht="112" hidden="1" customHeight="1" x14ac:dyDescent="0.25">
      <c r="A6550" t="s">
        <v>12226</v>
      </c>
      <c r="B6550" t="s">
        <v>12256</v>
      </c>
    </row>
    <row r="6551" spans="1:2" ht="112" hidden="1" customHeight="1" x14ac:dyDescent="0.25">
      <c r="A6551" t="s">
        <v>12227</v>
      </c>
      <c r="B6551" t="s">
        <v>12257</v>
      </c>
    </row>
    <row r="6552" spans="1:2" ht="112" hidden="1" customHeight="1" x14ac:dyDescent="0.25">
      <c r="A6552" t="s">
        <v>12228</v>
      </c>
      <c r="B6552" t="s">
        <v>12258</v>
      </c>
    </row>
    <row r="6553" spans="1:2" ht="112" hidden="1" customHeight="1" x14ac:dyDescent="0.25">
      <c r="A6553" t="s">
        <v>12229</v>
      </c>
      <c r="B6553" t="s">
        <v>12259</v>
      </c>
    </row>
    <row r="6554" spans="1:2" ht="112" hidden="1" customHeight="1" x14ac:dyDescent="0.25">
      <c r="A6554" t="s">
        <v>12230</v>
      </c>
      <c r="B6554" t="s">
        <v>12260</v>
      </c>
    </row>
    <row r="6555" spans="1:2" ht="112" hidden="1" customHeight="1" x14ac:dyDescent="0.25">
      <c r="A6555" t="s">
        <v>12231</v>
      </c>
      <c r="B6555" t="s">
        <v>12261</v>
      </c>
    </row>
    <row r="6556" spans="1:2" ht="112" hidden="1" customHeight="1" x14ac:dyDescent="0.25">
      <c r="A6556" t="s">
        <v>12232</v>
      </c>
      <c r="B6556" t="s">
        <v>12262</v>
      </c>
    </row>
    <row r="6557" spans="1:2" ht="112" hidden="1" customHeight="1" x14ac:dyDescent="0.25">
      <c r="A6557" t="s">
        <v>12233</v>
      </c>
      <c r="B6557" t="s">
        <v>12263</v>
      </c>
    </row>
    <row r="6558" spans="1:2" ht="112" hidden="1" customHeight="1" x14ac:dyDescent="0.25">
      <c r="A6558" t="s">
        <v>12194</v>
      </c>
      <c r="B6558" t="s">
        <v>12196</v>
      </c>
    </row>
    <row r="6559" spans="1:2" ht="112" hidden="1" customHeight="1" x14ac:dyDescent="0.25">
      <c r="A6559" t="s">
        <v>12195</v>
      </c>
      <c r="B6559" t="s">
        <v>12197</v>
      </c>
    </row>
    <row r="6560" spans="1:2" ht="112" hidden="1" customHeight="1" x14ac:dyDescent="0.25">
      <c r="A6560" t="s">
        <v>12198</v>
      </c>
      <c r="B6560" t="s">
        <v>12199</v>
      </c>
    </row>
    <row r="6561" spans="1:2" ht="112" hidden="1" customHeight="1" x14ac:dyDescent="0.25">
      <c r="A6561" t="s">
        <v>12264</v>
      </c>
      <c r="B6561" t="s">
        <v>12265</v>
      </c>
    </row>
    <row r="6562" spans="1:2" ht="112" hidden="1" customHeight="1" x14ac:dyDescent="0.25">
      <c r="A6562" t="s">
        <v>12268</v>
      </c>
      <c r="B6562" t="s">
        <v>12269</v>
      </c>
    </row>
    <row r="6563" spans="1:2" ht="112" hidden="1" customHeight="1" x14ac:dyDescent="0.25">
      <c r="A6563" t="s">
        <v>12264</v>
      </c>
      <c r="B6563" t="s">
        <v>12265</v>
      </c>
    </row>
    <row r="6564" spans="1:2" ht="112" hidden="1" customHeight="1" x14ac:dyDescent="0.25">
      <c r="A6564" t="s">
        <v>12270</v>
      </c>
      <c r="B6564" t="s">
        <v>12272</v>
      </c>
    </row>
    <row r="6565" spans="1:2" ht="112" hidden="1" customHeight="1" x14ac:dyDescent="0.25">
      <c r="A6565" t="s">
        <v>12271</v>
      </c>
      <c r="B6565" t="s">
        <v>12273</v>
      </c>
    </row>
    <row r="6566" spans="1:2" ht="112" hidden="1" customHeight="1" x14ac:dyDescent="0.25">
      <c r="A6566" t="s">
        <v>12274</v>
      </c>
      <c r="B6566" t="s">
        <v>12275</v>
      </c>
    </row>
    <row r="6567" spans="1:2" ht="112" hidden="1" customHeight="1" x14ac:dyDescent="0.25">
      <c r="A6567" t="s">
        <v>12276</v>
      </c>
      <c r="B6567" t="s">
        <v>12277</v>
      </c>
    </row>
    <row r="6568" spans="1:2" ht="112" hidden="1" customHeight="1" x14ac:dyDescent="0.25">
      <c r="A6568" t="s">
        <v>12278</v>
      </c>
      <c r="B6568" t="s">
        <v>12280</v>
      </c>
    </row>
    <row r="6569" spans="1:2" ht="112" hidden="1" customHeight="1" x14ac:dyDescent="0.25">
      <c r="A6569" t="s">
        <v>12279</v>
      </c>
      <c r="B6569" t="s">
        <v>12281</v>
      </c>
    </row>
    <row r="6570" spans="1:2" ht="112" hidden="1" customHeight="1" x14ac:dyDescent="0.25">
      <c r="A6570" t="s">
        <v>12282</v>
      </c>
      <c r="B6570" t="s">
        <v>12291</v>
      </c>
    </row>
    <row r="6571" spans="1:2" ht="112" hidden="1" customHeight="1" x14ac:dyDescent="0.25">
      <c r="A6571" t="s">
        <v>12283</v>
      </c>
      <c r="B6571" t="s">
        <v>12292</v>
      </c>
    </row>
    <row r="6572" spans="1:2" ht="112" hidden="1" customHeight="1" x14ac:dyDescent="0.25">
      <c r="A6572" t="s">
        <v>12284</v>
      </c>
      <c r="B6572" t="s">
        <v>12293</v>
      </c>
    </row>
    <row r="6573" spans="1:2" ht="112" hidden="1" customHeight="1" x14ac:dyDescent="0.25">
      <c r="A6573" t="s">
        <v>12285</v>
      </c>
      <c r="B6573" t="s">
        <v>12294</v>
      </c>
    </row>
    <row r="6574" spans="1:2" ht="112" hidden="1" customHeight="1" x14ac:dyDescent="0.25">
      <c r="A6574" t="s">
        <v>12286</v>
      </c>
      <c r="B6574" t="s">
        <v>12295</v>
      </c>
    </row>
    <row r="6575" spans="1:2" ht="112" hidden="1" customHeight="1" x14ac:dyDescent="0.25">
      <c r="A6575" t="s">
        <v>12287</v>
      </c>
      <c r="B6575" t="s">
        <v>12296</v>
      </c>
    </row>
    <row r="6576" spans="1:2" ht="112" hidden="1" customHeight="1" x14ac:dyDescent="0.25">
      <c r="A6576" t="s">
        <v>12288</v>
      </c>
      <c r="B6576" t="s">
        <v>12297</v>
      </c>
    </row>
    <row r="6577" spans="1:2" ht="112" hidden="1" customHeight="1" x14ac:dyDescent="0.25">
      <c r="A6577" t="s">
        <v>12289</v>
      </c>
      <c r="B6577" t="s">
        <v>12298</v>
      </c>
    </row>
    <row r="6578" spans="1:2" ht="112" hidden="1" customHeight="1" x14ac:dyDescent="0.25">
      <c r="A6578" t="s">
        <v>12290</v>
      </c>
      <c r="B6578" t="s">
        <v>12299</v>
      </c>
    </row>
    <row r="6579" spans="1:2" ht="112" hidden="1" customHeight="1" x14ac:dyDescent="0.25">
      <c r="A6579" t="s">
        <v>12300</v>
      </c>
      <c r="B6579" t="s">
        <v>12303</v>
      </c>
    </row>
    <row r="6580" spans="1:2" ht="112" hidden="1" customHeight="1" x14ac:dyDescent="0.25">
      <c r="A6580" t="s">
        <v>12301</v>
      </c>
      <c r="B6580" t="s">
        <v>12304</v>
      </c>
    </row>
    <row r="6581" spans="1:2" ht="112" hidden="1" customHeight="1" x14ac:dyDescent="0.25">
      <c r="A6581" t="s">
        <v>12302</v>
      </c>
      <c r="B6581" t="s">
        <v>12305</v>
      </c>
    </row>
    <row r="6582" spans="1:2" ht="112" hidden="1" customHeight="1" x14ac:dyDescent="0.25">
      <c r="A6582" s="138" t="s">
        <v>5765</v>
      </c>
      <c r="B6582" s="139" t="s">
        <v>12306</v>
      </c>
    </row>
    <row r="6583" spans="1:2" ht="112" hidden="1" customHeight="1" x14ac:dyDescent="0.25">
      <c r="A6583" s="140" t="s">
        <v>5765</v>
      </c>
      <c r="B6583" s="140" t="s">
        <v>12307</v>
      </c>
    </row>
    <row r="6584" spans="1:2" ht="112" hidden="1" customHeight="1" x14ac:dyDescent="0.25">
      <c r="A6584" t="s">
        <v>12308</v>
      </c>
      <c r="B6584" s="56" t="s">
        <v>12311</v>
      </c>
    </row>
    <row r="6585" spans="1:2" ht="112" hidden="1" customHeight="1" x14ac:dyDescent="0.25">
      <c r="A6585" t="s">
        <v>12309</v>
      </c>
      <c r="B6585" t="s">
        <v>12310</v>
      </c>
    </row>
    <row r="6586" spans="1:2" ht="112" hidden="1" customHeight="1" x14ac:dyDescent="0.25">
      <c r="A6586" t="s">
        <v>12312</v>
      </c>
      <c r="B6586" t="s">
        <v>12313</v>
      </c>
    </row>
    <row r="6587" spans="1:2" ht="112" hidden="1" customHeight="1" x14ac:dyDescent="0.25">
      <c r="A6587" t="s">
        <v>12314</v>
      </c>
      <c r="B6587" s="56" t="s">
        <v>12317</v>
      </c>
    </row>
    <row r="6588" spans="1:2" ht="112" hidden="1" customHeight="1" x14ac:dyDescent="0.25">
      <c r="A6588" t="s">
        <v>12315</v>
      </c>
      <c r="B6588" t="s">
        <v>12316</v>
      </c>
    </row>
    <row r="6589" spans="1:2" ht="112" hidden="1" customHeight="1" x14ac:dyDescent="0.25">
      <c r="A6589" t="s">
        <v>12318</v>
      </c>
      <c r="B6589" t="s">
        <v>12322</v>
      </c>
    </row>
    <row r="6590" spans="1:2" ht="112" hidden="1" customHeight="1" x14ac:dyDescent="0.25">
      <c r="A6590" t="s">
        <v>12319</v>
      </c>
      <c r="B6590" t="s">
        <v>12323</v>
      </c>
    </row>
    <row r="6591" spans="1:2" ht="112" hidden="1" customHeight="1" x14ac:dyDescent="0.25">
      <c r="A6591" t="s">
        <v>12320</v>
      </c>
      <c r="B6591" t="s">
        <v>12324</v>
      </c>
    </row>
    <row r="6592" spans="1:2" ht="112" hidden="1" customHeight="1" x14ac:dyDescent="0.25">
      <c r="A6592" t="s">
        <v>12321</v>
      </c>
      <c r="B6592" t="s">
        <v>12325</v>
      </c>
    </row>
    <row r="6593" spans="1:2" ht="112" hidden="1" customHeight="1" x14ac:dyDescent="0.25">
      <c r="A6593" t="s">
        <v>12326</v>
      </c>
      <c r="B6593" t="s">
        <v>12335</v>
      </c>
    </row>
    <row r="6594" spans="1:2" ht="112" hidden="1" customHeight="1" x14ac:dyDescent="0.25">
      <c r="A6594" t="s">
        <v>12327</v>
      </c>
      <c r="B6594" t="s">
        <v>12336</v>
      </c>
    </row>
    <row r="6595" spans="1:2" ht="112" hidden="1" customHeight="1" x14ac:dyDescent="0.25">
      <c r="A6595" t="s">
        <v>12328</v>
      </c>
      <c r="B6595" t="s">
        <v>12337</v>
      </c>
    </row>
    <row r="6596" spans="1:2" ht="112" hidden="1" customHeight="1" x14ac:dyDescent="0.25">
      <c r="A6596" t="s">
        <v>12329</v>
      </c>
      <c r="B6596" t="s">
        <v>12338</v>
      </c>
    </row>
    <row r="6597" spans="1:2" ht="112" hidden="1" customHeight="1" x14ac:dyDescent="0.25">
      <c r="A6597" t="s">
        <v>12330</v>
      </c>
      <c r="B6597" t="s">
        <v>12339</v>
      </c>
    </row>
    <row r="6598" spans="1:2" ht="112" hidden="1" customHeight="1" x14ac:dyDescent="0.25">
      <c r="A6598" t="s">
        <v>12331</v>
      </c>
      <c r="B6598" t="s">
        <v>12340</v>
      </c>
    </row>
    <row r="6599" spans="1:2" ht="112" hidden="1" customHeight="1" x14ac:dyDescent="0.25">
      <c r="A6599" t="s">
        <v>12332</v>
      </c>
      <c r="B6599" t="s">
        <v>12341</v>
      </c>
    </row>
    <row r="6600" spans="1:2" ht="112" hidden="1" customHeight="1" x14ac:dyDescent="0.25">
      <c r="A6600" t="s">
        <v>12333</v>
      </c>
      <c r="B6600" t="s">
        <v>12342</v>
      </c>
    </row>
    <row r="6601" spans="1:2" ht="112" hidden="1" customHeight="1" x14ac:dyDescent="0.25">
      <c r="A6601" t="s">
        <v>12334</v>
      </c>
      <c r="B6601" t="s">
        <v>12343</v>
      </c>
    </row>
    <row r="6602" spans="1:2" ht="112" hidden="1" customHeight="1" x14ac:dyDescent="0.25">
      <c r="A6602" t="s">
        <v>12344</v>
      </c>
      <c r="B6602" t="s">
        <v>12371</v>
      </c>
    </row>
    <row r="6603" spans="1:2" ht="112" hidden="1" customHeight="1" x14ac:dyDescent="0.25">
      <c r="A6603" t="s">
        <v>12345</v>
      </c>
      <c r="B6603" t="s">
        <v>12372</v>
      </c>
    </row>
    <row r="6604" spans="1:2" ht="112" hidden="1" customHeight="1" x14ac:dyDescent="0.25">
      <c r="A6604" t="s">
        <v>12346</v>
      </c>
      <c r="B6604" t="s">
        <v>12373</v>
      </c>
    </row>
    <row r="6605" spans="1:2" ht="112" hidden="1" customHeight="1" x14ac:dyDescent="0.25">
      <c r="A6605" t="s">
        <v>12347</v>
      </c>
      <c r="B6605" t="s">
        <v>12374</v>
      </c>
    </row>
    <row r="6606" spans="1:2" ht="112" hidden="1" customHeight="1" x14ac:dyDescent="0.25">
      <c r="A6606" t="s">
        <v>12348</v>
      </c>
      <c r="B6606" t="s">
        <v>12375</v>
      </c>
    </row>
    <row r="6607" spans="1:2" ht="112" hidden="1" customHeight="1" x14ac:dyDescent="0.25">
      <c r="A6607" t="s">
        <v>12276</v>
      </c>
      <c r="B6607" t="s">
        <v>12277</v>
      </c>
    </row>
    <row r="6608" spans="1:2" ht="112" hidden="1" customHeight="1" x14ac:dyDescent="0.25">
      <c r="A6608" t="s">
        <v>12349</v>
      </c>
      <c r="B6608" t="s">
        <v>12376</v>
      </c>
    </row>
    <row r="6609" spans="1:2" ht="112" hidden="1" customHeight="1" x14ac:dyDescent="0.25">
      <c r="A6609" t="s">
        <v>12350</v>
      </c>
      <c r="B6609" t="s">
        <v>12377</v>
      </c>
    </row>
    <row r="6610" spans="1:2" ht="112" hidden="1" customHeight="1" x14ac:dyDescent="0.25">
      <c r="A6610" t="s">
        <v>12351</v>
      </c>
      <c r="B6610" t="s">
        <v>12378</v>
      </c>
    </row>
    <row r="6611" spans="1:2" ht="112" hidden="1" customHeight="1" x14ac:dyDescent="0.25">
      <c r="A6611" t="s">
        <v>12352</v>
      </c>
      <c r="B6611" t="s">
        <v>12379</v>
      </c>
    </row>
    <row r="6612" spans="1:2" ht="112" hidden="1" customHeight="1" x14ac:dyDescent="0.25">
      <c r="A6612" t="s">
        <v>12353</v>
      </c>
      <c r="B6612" t="s">
        <v>12380</v>
      </c>
    </row>
    <row r="6613" spans="1:2" ht="112" hidden="1" customHeight="1" x14ac:dyDescent="0.25">
      <c r="A6613" t="s">
        <v>12354</v>
      </c>
      <c r="B6613" t="s">
        <v>12381</v>
      </c>
    </row>
    <row r="6614" spans="1:2" ht="112" hidden="1" customHeight="1" x14ac:dyDescent="0.25">
      <c r="A6614" t="s">
        <v>12355</v>
      </c>
      <c r="B6614" t="s">
        <v>12382</v>
      </c>
    </row>
    <row r="6615" spans="1:2" ht="112" hidden="1" customHeight="1" x14ac:dyDescent="0.25">
      <c r="A6615" t="s">
        <v>12356</v>
      </c>
      <c r="B6615" t="s">
        <v>12383</v>
      </c>
    </row>
    <row r="6616" spans="1:2" ht="112" hidden="1" customHeight="1" x14ac:dyDescent="0.25">
      <c r="A6616" t="s">
        <v>12357</v>
      </c>
      <c r="B6616" t="s">
        <v>12384</v>
      </c>
    </row>
    <row r="6617" spans="1:2" ht="112" hidden="1" customHeight="1" x14ac:dyDescent="0.25">
      <c r="A6617" t="s">
        <v>12358</v>
      </c>
      <c r="B6617" t="s">
        <v>12385</v>
      </c>
    </row>
    <row r="6618" spans="1:2" ht="112" hidden="1" customHeight="1" x14ac:dyDescent="0.25">
      <c r="A6618" t="s">
        <v>12359</v>
      </c>
      <c r="B6618" t="s">
        <v>12386</v>
      </c>
    </row>
    <row r="6619" spans="1:2" ht="112" hidden="1" customHeight="1" x14ac:dyDescent="0.25">
      <c r="A6619" t="s">
        <v>12360</v>
      </c>
      <c r="B6619" t="s">
        <v>12387</v>
      </c>
    </row>
    <row r="6620" spans="1:2" ht="112" hidden="1" customHeight="1" x14ac:dyDescent="0.25">
      <c r="A6620" t="s">
        <v>12361</v>
      </c>
      <c r="B6620" t="s">
        <v>12388</v>
      </c>
    </row>
    <row r="6621" spans="1:2" ht="112" hidden="1" customHeight="1" x14ac:dyDescent="0.25">
      <c r="A6621" t="s">
        <v>12362</v>
      </c>
      <c r="B6621" t="s">
        <v>12389</v>
      </c>
    </row>
    <row r="6622" spans="1:2" ht="112" hidden="1" customHeight="1" x14ac:dyDescent="0.25">
      <c r="A6622" t="s">
        <v>12363</v>
      </c>
      <c r="B6622" t="s">
        <v>12390</v>
      </c>
    </row>
    <row r="6623" spans="1:2" ht="112" hidden="1" customHeight="1" x14ac:dyDescent="0.25">
      <c r="A6623" t="s">
        <v>12364</v>
      </c>
      <c r="B6623" t="s">
        <v>12391</v>
      </c>
    </row>
    <row r="6624" spans="1:2" ht="112" hidden="1" customHeight="1" x14ac:dyDescent="0.25">
      <c r="A6624" t="s">
        <v>12365</v>
      </c>
      <c r="B6624" t="s">
        <v>12392</v>
      </c>
    </row>
    <row r="6625" spans="1:2" ht="112" hidden="1" customHeight="1" x14ac:dyDescent="0.25">
      <c r="A6625" t="s">
        <v>12366</v>
      </c>
      <c r="B6625" t="s">
        <v>12393</v>
      </c>
    </row>
    <row r="6626" spans="1:2" ht="112" hidden="1" customHeight="1" x14ac:dyDescent="0.25">
      <c r="A6626" t="s">
        <v>12367</v>
      </c>
      <c r="B6626" t="s">
        <v>12394</v>
      </c>
    </row>
    <row r="6627" spans="1:2" ht="112" hidden="1" customHeight="1" x14ac:dyDescent="0.25">
      <c r="A6627" t="s">
        <v>12368</v>
      </c>
      <c r="B6627" t="s">
        <v>12395</v>
      </c>
    </row>
    <row r="6628" spans="1:2" ht="112" hidden="1" customHeight="1" x14ac:dyDescent="0.25">
      <c r="A6628" t="s">
        <v>12369</v>
      </c>
      <c r="B6628" t="s">
        <v>12396</v>
      </c>
    </row>
    <row r="6629" spans="1:2" ht="112" hidden="1" customHeight="1" x14ac:dyDescent="0.25">
      <c r="A6629" t="s">
        <v>12370</v>
      </c>
      <c r="B6629" t="s">
        <v>12397</v>
      </c>
    </row>
    <row r="6630" spans="1:2" ht="112" hidden="1" customHeight="1" x14ac:dyDescent="0.25">
      <c r="A6630" t="s">
        <v>12400</v>
      </c>
      <c r="B6630" t="s">
        <v>12401</v>
      </c>
    </row>
    <row r="6631" spans="1:2" ht="112" hidden="1" customHeight="1" x14ac:dyDescent="0.25">
      <c r="A6631" t="s">
        <v>12402</v>
      </c>
      <c r="B6631" t="s">
        <v>12405</v>
      </c>
    </row>
    <row r="6632" spans="1:2" ht="112" hidden="1" customHeight="1" x14ac:dyDescent="0.25">
      <c r="A6632" t="s">
        <v>12403</v>
      </c>
      <c r="B6632" t="s">
        <v>12406</v>
      </c>
    </row>
    <row r="6633" spans="1:2" ht="112" hidden="1" customHeight="1" x14ac:dyDescent="0.25">
      <c r="A6633" t="s">
        <v>12404</v>
      </c>
      <c r="B6633" t="s">
        <v>12407</v>
      </c>
    </row>
    <row r="6634" spans="1:2" ht="112" hidden="1" customHeight="1" x14ac:dyDescent="0.25">
      <c r="A6634" t="s">
        <v>10747</v>
      </c>
      <c r="B6634" t="s">
        <v>10751</v>
      </c>
    </row>
    <row r="6635" spans="1:2" ht="112" hidden="1" customHeight="1" x14ac:dyDescent="0.25">
      <c r="A6635" t="s">
        <v>12467</v>
      </c>
      <c r="B6635" t="s">
        <v>12484</v>
      </c>
    </row>
    <row r="6636" spans="1:2" ht="112" hidden="1" customHeight="1" x14ac:dyDescent="0.25">
      <c r="A6636" t="s">
        <v>12468</v>
      </c>
      <c r="B6636" t="s">
        <v>12485</v>
      </c>
    </row>
    <row r="6637" spans="1:2" ht="112" hidden="1" customHeight="1" x14ac:dyDescent="0.25">
      <c r="A6637" t="s">
        <v>12469</v>
      </c>
      <c r="B6637" t="s">
        <v>12486</v>
      </c>
    </row>
    <row r="6638" spans="1:2" ht="112" hidden="1" customHeight="1" x14ac:dyDescent="0.25">
      <c r="A6638" t="s">
        <v>12470</v>
      </c>
      <c r="B6638" t="s">
        <v>12487</v>
      </c>
    </row>
    <row r="6639" spans="1:2" ht="112" hidden="1" customHeight="1" x14ac:dyDescent="0.25">
      <c r="A6639" t="s">
        <v>12471</v>
      </c>
      <c r="B6639" t="s">
        <v>12488</v>
      </c>
    </row>
    <row r="6640" spans="1:2" ht="112" hidden="1" customHeight="1" x14ac:dyDescent="0.25">
      <c r="A6640" t="s">
        <v>12472</v>
      </c>
      <c r="B6640" t="s">
        <v>12489</v>
      </c>
    </row>
    <row r="6641" spans="1:2" ht="112" hidden="1" customHeight="1" x14ac:dyDescent="0.25">
      <c r="A6641" t="s">
        <v>12473</v>
      </c>
      <c r="B6641" t="s">
        <v>12490</v>
      </c>
    </row>
    <row r="6642" spans="1:2" ht="112" hidden="1" customHeight="1" x14ac:dyDescent="0.25">
      <c r="A6642" t="s">
        <v>12474</v>
      </c>
      <c r="B6642" t="s">
        <v>12491</v>
      </c>
    </row>
    <row r="6643" spans="1:2" ht="112" hidden="1" customHeight="1" x14ac:dyDescent="0.25">
      <c r="A6643" t="s">
        <v>12475</v>
      </c>
      <c r="B6643" t="s">
        <v>12492</v>
      </c>
    </row>
    <row r="6644" spans="1:2" ht="112" hidden="1" customHeight="1" x14ac:dyDescent="0.25">
      <c r="A6644" t="s">
        <v>12476</v>
      </c>
      <c r="B6644" t="s">
        <v>12493</v>
      </c>
    </row>
    <row r="6645" spans="1:2" ht="112" hidden="1" customHeight="1" x14ac:dyDescent="0.25">
      <c r="A6645" t="s">
        <v>12477</v>
      </c>
      <c r="B6645" t="s">
        <v>12494</v>
      </c>
    </row>
    <row r="6646" spans="1:2" ht="112" hidden="1" customHeight="1" x14ac:dyDescent="0.25">
      <c r="A6646" t="s">
        <v>12996</v>
      </c>
      <c r="B6646" t="s">
        <v>12997</v>
      </c>
    </row>
    <row r="6647" spans="1:2" ht="112" hidden="1" customHeight="1" x14ac:dyDescent="0.25">
      <c r="A6647" t="s">
        <v>13206</v>
      </c>
      <c r="B6647" t="s">
        <v>13207</v>
      </c>
    </row>
    <row r="6648" spans="1:2" ht="112" hidden="1" customHeight="1" x14ac:dyDescent="0.25">
      <c r="A6648" t="s">
        <v>12478</v>
      </c>
      <c r="B6648" t="s">
        <v>12495</v>
      </c>
    </row>
    <row r="6649" spans="1:2" ht="112" hidden="1" customHeight="1" x14ac:dyDescent="0.25">
      <c r="A6649" t="s">
        <v>12479</v>
      </c>
      <c r="B6649" t="s">
        <v>12496</v>
      </c>
    </row>
    <row r="6650" spans="1:2" ht="112" hidden="1" customHeight="1" x14ac:dyDescent="0.25">
      <c r="A6650" t="s">
        <v>12480</v>
      </c>
      <c r="B6650" t="s">
        <v>12497</v>
      </c>
    </row>
    <row r="6651" spans="1:2" ht="112" hidden="1" customHeight="1" x14ac:dyDescent="0.25">
      <c r="A6651" t="s">
        <v>12481</v>
      </c>
      <c r="B6651" t="s">
        <v>12498</v>
      </c>
    </row>
    <row r="6652" spans="1:2" ht="112" hidden="1" customHeight="1" x14ac:dyDescent="0.25">
      <c r="A6652" t="s">
        <v>12482</v>
      </c>
      <c r="B6652" t="s">
        <v>12499</v>
      </c>
    </row>
    <row r="6653" spans="1:2" ht="112" hidden="1" customHeight="1" x14ac:dyDescent="0.25">
      <c r="A6653" t="s">
        <v>12483</v>
      </c>
      <c r="B6653" t="s">
        <v>12500</v>
      </c>
    </row>
    <row r="6654" spans="1:2" ht="112" hidden="1" customHeight="1" x14ac:dyDescent="0.25">
      <c r="A6654" t="s">
        <v>12501</v>
      </c>
      <c r="B6654" t="s">
        <v>12504</v>
      </c>
    </row>
    <row r="6655" spans="1:2" ht="112" hidden="1" customHeight="1" x14ac:dyDescent="0.25">
      <c r="A6655" t="s">
        <v>12502</v>
      </c>
      <c r="B6655" t="s">
        <v>12505</v>
      </c>
    </row>
    <row r="6656" spans="1:2" ht="112" hidden="1" customHeight="1" x14ac:dyDescent="0.25">
      <c r="A6656" t="s">
        <v>12503</v>
      </c>
      <c r="B6656" t="s">
        <v>12506</v>
      </c>
    </row>
    <row r="6657" spans="1:2" ht="112" hidden="1" customHeight="1" x14ac:dyDescent="0.25">
      <c r="A6657" t="s">
        <v>12508</v>
      </c>
      <c r="B6657" t="s">
        <v>12509</v>
      </c>
    </row>
    <row r="6658" spans="1:2" ht="112" hidden="1" customHeight="1" x14ac:dyDescent="0.25">
      <c r="A6658" t="s">
        <v>12507</v>
      </c>
      <c r="B6658" t="s">
        <v>12510</v>
      </c>
    </row>
    <row r="6659" spans="1:2" ht="112" hidden="1" customHeight="1" x14ac:dyDescent="0.25">
      <c r="A6659" t="s">
        <v>12511</v>
      </c>
      <c r="B6659" t="s">
        <v>12512</v>
      </c>
    </row>
    <row r="6660" spans="1:2" ht="112" hidden="1" customHeight="1" x14ac:dyDescent="0.25">
      <c r="A6660" t="s">
        <v>12513</v>
      </c>
      <c r="B6660" t="s">
        <v>12520</v>
      </c>
    </row>
    <row r="6661" spans="1:2" ht="112" hidden="1" customHeight="1" x14ac:dyDescent="0.25">
      <c r="A6661" t="s">
        <v>12514</v>
      </c>
      <c r="B6661" t="s">
        <v>12521</v>
      </c>
    </row>
    <row r="6662" spans="1:2" ht="112" hidden="1" customHeight="1" x14ac:dyDescent="0.25">
      <c r="A6662" t="s">
        <v>12515</v>
      </c>
      <c r="B6662" t="s">
        <v>12522</v>
      </c>
    </row>
    <row r="6663" spans="1:2" ht="112" hidden="1" customHeight="1" x14ac:dyDescent="0.25">
      <c r="A6663" t="s">
        <v>12516</v>
      </c>
      <c r="B6663" t="s">
        <v>12523</v>
      </c>
    </row>
    <row r="6664" spans="1:2" ht="112" hidden="1" customHeight="1" x14ac:dyDescent="0.25">
      <c r="A6664" t="s">
        <v>12517</v>
      </c>
      <c r="B6664" t="s">
        <v>12524</v>
      </c>
    </row>
    <row r="6665" spans="1:2" ht="112" hidden="1" customHeight="1" x14ac:dyDescent="0.25">
      <c r="A6665" t="s">
        <v>12518</v>
      </c>
      <c r="B6665" t="s">
        <v>12525</v>
      </c>
    </row>
    <row r="6666" spans="1:2" ht="112" hidden="1" customHeight="1" x14ac:dyDescent="0.25">
      <c r="A6666" t="s">
        <v>12533</v>
      </c>
      <c r="B6666" t="s">
        <v>12534</v>
      </c>
    </row>
    <row r="6667" spans="1:2" ht="112" hidden="1" customHeight="1" x14ac:dyDescent="0.25">
      <c r="A6667" t="s">
        <v>12519</v>
      </c>
      <c r="B6667" t="s">
        <v>12526</v>
      </c>
    </row>
    <row r="6668" spans="1:2" ht="112" hidden="1" customHeight="1" x14ac:dyDescent="0.25">
      <c r="A6668" t="s">
        <v>12527</v>
      </c>
      <c r="B6668" t="s">
        <v>12529</v>
      </c>
    </row>
    <row r="6669" spans="1:2" ht="112" hidden="1" customHeight="1" x14ac:dyDescent="0.25">
      <c r="A6669" t="s">
        <v>12528</v>
      </c>
      <c r="B6669" t="s">
        <v>12530</v>
      </c>
    </row>
    <row r="6670" spans="1:2" ht="112" hidden="1" customHeight="1" x14ac:dyDescent="0.25">
      <c r="A6670" t="s">
        <v>12531</v>
      </c>
      <c r="B6670" t="s">
        <v>12532</v>
      </c>
    </row>
    <row r="6671" spans="1:2" ht="112" hidden="1" customHeight="1" x14ac:dyDescent="0.25">
      <c r="A6671" t="s">
        <v>12535</v>
      </c>
      <c r="B6671" t="s">
        <v>12540</v>
      </c>
    </row>
    <row r="6672" spans="1:2" ht="112" hidden="1" customHeight="1" x14ac:dyDescent="0.25">
      <c r="A6672" t="s">
        <v>12536</v>
      </c>
      <c r="B6672" t="s">
        <v>12541</v>
      </c>
    </row>
    <row r="6673" spans="1:2" ht="112" hidden="1" customHeight="1" x14ac:dyDescent="0.25">
      <c r="A6673" t="s">
        <v>12537</v>
      </c>
      <c r="B6673" t="s">
        <v>12542</v>
      </c>
    </row>
    <row r="6674" spans="1:2" ht="112" hidden="1" customHeight="1" x14ac:dyDescent="0.25">
      <c r="A6674" t="s">
        <v>12538</v>
      </c>
      <c r="B6674" t="s">
        <v>12543</v>
      </c>
    </row>
    <row r="6675" spans="1:2" ht="112" hidden="1" customHeight="1" x14ac:dyDescent="0.25">
      <c r="A6675" t="s">
        <v>12539</v>
      </c>
      <c r="B6675" t="s">
        <v>12544</v>
      </c>
    </row>
    <row r="6676" spans="1:2" ht="112" hidden="1" customHeight="1" x14ac:dyDescent="0.25">
      <c r="A6676" t="s">
        <v>12545</v>
      </c>
      <c r="B6676" s="56" t="s">
        <v>12546</v>
      </c>
    </row>
    <row r="6677" spans="1:2" ht="112" hidden="1" customHeight="1" x14ac:dyDescent="0.25">
      <c r="A6677" t="s">
        <v>12547</v>
      </c>
      <c r="B6677" t="s">
        <v>12551</v>
      </c>
    </row>
    <row r="6678" spans="1:2" ht="112" hidden="1" customHeight="1" x14ac:dyDescent="0.25">
      <c r="A6678" t="s">
        <v>12548</v>
      </c>
      <c r="B6678" t="s">
        <v>12552</v>
      </c>
    </row>
    <row r="6679" spans="1:2" ht="112" hidden="1" customHeight="1" x14ac:dyDescent="0.25">
      <c r="A6679" t="s">
        <v>12549</v>
      </c>
      <c r="B6679" t="s">
        <v>12553</v>
      </c>
    </row>
    <row r="6680" spans="1:2" ht="112" hidden="1" customHeight="1" x14ac:dyDescent="0.25">
      <c r="A6680" t="s">
        <v>12550</v>
      </c>
      <c r="B6680" t="s">
        <v>12554</v>
      </c>
    </row>
    <row r="6681" spans="1:2" ht="112" hidden="1" customHeight="1" x14ac:dyDescent="0.25">
      <c r="A6681" t="s">
        <v>12536</v>
      </c>
      <c r="B6681" t="s">
        <v>12541</v>
      </c>
    </row>
    <row r="6682" spans="1:2" ht="112" hidden="1" customHeight="1" x14ac:dyDescent="0.25">
      <c r="A6682" t="s">
        <v>12537</v>
      </c>
      <c r="B6682" t="s">
        <v>12542</v>
      </c>
    </row>
    <row r="6683" spans="1:2" ht="112" hidden="1" customHeight="1" x14ac:dyDescent="0.25">
      <c r="A6683" t="s">
        <v>12538</v>
      </c>
      <c r="B6683" t="s">
        <v>12543</v>
      </c>
    </row>
    <row r="6684" spans="1:2" ht="112" hidden="1" customHeight="1" x14ac:dyDescent="0.25">
      <c r="A6684" t="s">
        <v>12539</v>
      </c>
      <c r="B6684" t="s">
        <v>12544</v>
      </c>
    </row>
    <row r="6685" spans="1:2" ht="112" hidden="1" customHeight="1" x14ac:dyDescent="0.25">
      <c r="A6685" t="s">
        <v>12555</v>
      </c>
      <c r="B6685" s="56" t="s">
        <v>12584</v>
      </c>
    </row>
    <row r="6686" spans="1:2" ht="112" hidden="1" customHeight="1" x14ac:dyDescent="0.25">
      <c r="A6686" t="s">
        <v>12556</v>
      </c>
      <c r="B6686" t="s">
        <v>12557</v>
      </c>
    </row>
    <row r="6687" spans="1:2" ht="112" hidden="1" customHeight="1" x14ac:dyDescent="0.25">
      <c r="A6687" t="s">
        <v>12558</v>
      </c>
      <c r="B6687" s="56" t="s">
        <v>12567</v>
      </c>
    </row>
    <row r="6688" spans="1:2" ht="112" hidden="1" customHeight="1" x14ac:dyDescent="0.25">
      <c r="A6688" t="s">
        <v>12559</v>
      </c>
      <c r="B6688" t="s">
        <v>12563</v>
      </c>
    </row>
    <row r="6689" spans="1:2" ht="112" hidden="1" customHeight="1" x14ac:dyDescent="0.25">
      <c r="A6689" t="s">
        <v>12560</v>
      </c>
      <c r="B6689" t="s">
        <v>12564</v>
      </c>
    </row>
    <row r="6690" spans="1:2" ht="112" hidden="1" customHeight="1" x14ac:dyDescent="0.25">
      <c r="A6690" t="s">
        <v>12561</v>
      </c>
      <c r="B6690" t="s">
        <v>12565</v>
      </c>
    </row>
    <row r="6691" spans="1:2" ht="112" hidden="1" customHeight="1" x14ac:dyDescent="0.25">
      <c r="A6691" t="s">
        <v>12562</v>
      </c>
      <c r="B6691" t="s">
        <v>12566</v>
      </c>
    </row>
    <row r="6692" spans="1:2" ht="112" hidden="1" customHeight="1" x14ac:dyDescent="0.25">
      <c r="A6692" t="s">
        <v>12568</v>
      </c>
      <c r="B6692" t="s">
        <v>12569</v>
      </c>
    </row>
    <row r="6693" spans="1:2" ht="112" hidden="1" customHeight="1" x14ac:dyDescent="0.25">
      <c r="A6693" t="s">
        <v>12575</v>
      </c>
      <c r="B6693" t="s">
        <v>12576</v>
      </c>
    </row>
    <row r="6694" spans="1:2" ht="112" hidden="1" customHeight="1" x14ac:dyDescent="0.25">
      <c r="A6694" t="s">
        <v>12570</v>
      </c>
      <c r="B6694" t="s">
        <v>12577</v>
      </c>
    </row>
    <row r="6695" spans="1:2" ht="112" hidden="1" customHeight="1" x14ac:dyDescent="0.25">
      <c r="A6695" t="s">
        <v>12571</v>
      </c>
      <c r="B6695" t="s">
        <v>12578</v>
      </c>
    </row>
    <row r="6696" spans="1:2" ht="112" hidden="1" customHeight="1" x14ac:dyDescent="0.25">
      <c r="A6696" t="s">
        <v>12572</v>
      </c>
      <c r="B6696" t="s">
        <v>12579</v>
      </c>
    </row>
    <row r="6697" spans="1:2" ht="112" hidden="1" customHeight="1" x14ac:dyDescent="0.25">
      <c r="A6697" t="s">
        <v>12573</v>
      </c>
      <c r="B6697" t="s">
        <v>12580</v>
      </c>
    </row>
    <row r="6698" spans="1:2" ht="112" hidden="1" customHeight="1" x14ac:dyDescent="0.25">
      <c r="A6698" t="s">
        <v>12574</v>
      </c>
      <c r="B6698" t="s">
        <v>12581</v>
      </c>
    </row>
    <row r="6699" spans="1:2" ht="112" hidden="1" customHeight="1" x14ac:dyDescent="0.25">
      <c r="A6699" t="s">
        <v>12582</v>
      </c>
      <c r="B6699" t="s">
        <v>12583</v>
      </c>
    </row>
    <row r="6700" spans="1:2" ht="112" hidden="1" customHeight="1" x14ac:dyDescent="0.25">
      <c r="A6700" t="s">
        <v>12585</v>
      </c>
      <c r="B6700" t="s">
        <v>12586</v>
      </c>
    </row>
    <row r="6701" spans="1:2" ht="112" hidden="1" customHeight="1" x14ac:dyDescent="0.25">
      <c r="A6701" t="s">
        <v>12587</v>
      </c>
      <c r="B6701" t="s">
        <v>12588</v>
      </c>
    </row>
    <row r="6702" spans="1:2" ht="112" hidden="1" customHeight="1" x14ac:dyDescent="0.25">
      <c r="A6702" t="s">
        <v>12589</v>
      </c>
      <c r="B6702" t="s">
        <v>12598</v>
      </c>
    </row>
    <row r="6703" spans="1:2" ht="112" hidden="1" customHeight="1" x14ac:dyDescent="0.25">
      <c r="A6703" t="s">
        <v>12590</v>
      </c>
      <c r="B6703" t="s">
        <v>12599</v>
      </c>
    </row>
    <row r="6704" spans="1:2" ht="112" hidden="1" customHeight="1" x14ac:dyDescent="0.25">
      <c r="A6704" t="s">
        <v>12591</v>
      </c>
      <c r="B6704" t="s">
        <v>12600</v>
      </c>
    </row>
    <row r="6705" spans="1:2" ht="112" hidden="1" customHeight="1" x14ac:dyDescent="0.25">
      <c r="A6705" t="s">
        <v>12592</v>
      </c>
      <c r="B6705" t="s">
        <v>12601</v>
      </c>
    </row>
    <row r="6706" spans="1:2" ht="112" hidden="1" customHeight="1" x14ac:dyDescent="0.25">
      <c r="A6706" t="s">
        <v>12593</v>
      </c>
      <c r="B6706" t="s">
        <v>12602</v>
      </c>
    </row>
    <row r="6707" spans="1:2" ht="112" hidden="1" customHeight="1" x14ac:dyDescent="0.25">
      <c r="A6707" t="s">
        <v>12594</v>
      </c>
      <c r="B6707" t="s">
        <v>12603</v>
      </c>
    </row>
    <row r="6708" spans="1:2" ht="112" hidden="1" customHeight="1" x14ac:dyDescent="0.25">
      <c r="A6708" t="s">
        <v>12595</v>
      </c>
      <c r="B6708" t="s">
        <v>12604</v>
      </c>
    </row>
    <row r="6709" spans="1:2" ht="112" hidden="1" customHeight="1" x14ac:dyDescent="0.25">
      <c r="A6709" t="s">
        <v>12596</v>
      </c>
      <c r="B6709" t="s">
        <v>12605</v>
      </c>
    </row>
    <row r="6710" spans="1:2" ht="112" hidden="1" customHeight="1" x14ac:dyDescent="0.25">
      <c r="A6710" t="s">
        <v>12597</v>
      </c>
      <c r="B6710" t="s">
        <v>12606</v>
      </c>
    </row>
    <row r="6711" spans="1:2" ht="112" hidden="1" customHeight="1" x14ac:dyDescent="0.25">
      <c r="A6711" t="s">
        <v>12607</v>
      </c>
      <c r="B6711" t="s">
        <v>12616</v>
      </c>
    </row>
    <row r="6712" spans="1:2" ht="112" hidden="1" customHeight="1" x14ac:dyDescent="0.25">
      <c r="A6712" t="s">
        <v>12608</v>
      </c>
      <c r="B6712" t="s">
        <v>12617</v>
      </c>
    </row>
    <row r="6713" spans="1:2" ht="112" hidden="1" customHeight="1" x14ac:dyDescent="0.25">
      <c r="A6713" t="s">
        <v>12609</v>
      </c>
      <c r="B6713" t="s">
        <v>12618</v>
      </c>
    </row>
    <row r="6714" spans="1:2" ht="112" hidden="1" customHeight="1" x14ac:dyDescent="0.25">
      <c r="A6714" t="s">
        <v>12610</v>
      </c>
      <c r="B6714" t="s">
        <v>12619</v>
      </c>
    </row>
    <row r="6715" spans="1:2" ht="112" hidden="1" customHeight="1" x14ac:dyDescent="0.25">
      <c r="A6715" t="s">
        <v>12611</v>
      </c>
      <c r="B6715" t="s">
        <v>12620</v>
      </c>
    </row>
    <row r="6716" spans="1:2" ht="112" hidden="1" customHeight="1" x14ac:dyDescent="0.25">
      <c r="A6716" t="s">
        <v>12612</v>
      </c>
      <c r="B6716" t="s">
        <v>12621</v>
      </c>
    </row>
    <row r="6717" spans="1:2" ht="112" hidden="1" customHeight="1" x14ac:dyDescent="0.25">
      <c r="A6717" t="s">
        <v>12613</v>
      </c>
      <c r="B6717" t="s">
        <v>12622</v>
      </c>
    </row>
    <row r="6718" spans="1:2" ht="112" hidden="1" customHeight="1" x14ac:dyDescent="0.25">
      <c r="A6718" t="s">
        <v>12614</v>
      </c>
      <c r="B6718" t="s">
        <v>12623</v>
      </c>
    </row>
    <row r="6719" spans="1:2" ht="112" hidden="1" customHeight="1" x14ac:dyDescent="0.25">
      <c r="A6719" t="s">
        <v>12615</v>
      </c>
      <c r="B6719" t="s">
        <v>12624</v>
      </c>
    </row>
    <row r="6720" spans="1:2" ht="112" hidden="1" customHeight="1" x14ac:dyDescent="0.25">
      <c r="A6720" t="s">
        <v>12625</v>
      </c>
      <c r="B6720" s="56" t="s">
        <v>13029</v>
      </c>
    </row>
    <row r="6721" spans="1:2" ht="112" hidden="1" customHeight="1" x14ac:dyDescent="0.25">
      <c r="A6721" t="s">
        <v>12626</v>
      </c>
      <c r="B6721" s="56" t="s">
        <v>13028</v>
      </c>
    </row>
    <row r="6722" spans="1:2" ht="112" hidden="1" customHeight="1" x14ac:dyDescent="0.25">
      <c r="A6722" t="s">
        <v>12627</v>
      </c>
      <c r="B6722" s="56" t="s">
        <v>13517</v>
      </c>
    </row>
    <row r="6723" spans="1:2" ht="112" hidden="1" customHeight="1" x14ac:dyDescent="0.25">
      <c r="A6723" t="s">
        <v>12628</v>
      </c>
      <c r="B6723" t="s">
        <v>12633</v>
      </c>
    </row>
    <row r="6724" spans="1:2" ht="112" hidden="1" customHeight="1" x14ac:dyDescent="0.25">
      <c r="A6724" t="s">
        <v>12629</v>
      </c>
      <c r="B6724" t="s">
        <v>12634</v>
      </c>
    </row>
    <row r="6725" spans="1:2" ht="112" hidden="1" customHeight="1" x14ac:dyDescent="0.25">
      <c r="A6725" t="s">
        <v>12630</v>
      </c>
      <c r="B6725" t="s">
        <v>12635</v>
      </c>
    </row>
    <row r="6726" spans="1:2" ht="112" hidden="1" customHeight="1" x14ac:dyDescent="0.25">
      <c r="A6726" t="s">
        <v>12631</v>
      </c>
      <c r="B6726" t="s">
        <v>12636</v>
      </c>
    </row>
    <row r="6727" spans="1:2" ht="112" hidden="1" customHeight="1" x14ac:dyDescent="0.25">
      <c r="A6727" t="s">
        <v>12632</v>
      </c>
      <c r="B6727" t="s">
        <v>12637</v>
      </c>
    </row>
    <row r="6728" spans="1:2" ht="112" hidden="1" customHeight="1" x14ac:dyDescent="0.25">
      <c r="A6728" t="s">
        <v>12638</v>
      </c>
      <c r="B6728" t="s">
        <v>12644</v>
      </c>
    </row>
    <row r="6729" spans="1:2" ht="112" hidden="1" customHeight="1" x14ac:dyDescent="0.25">
      <c r="A6729" t="s">
        <v>12639</v>
      </c>
      <c r="B6729" t="s">
        <v>12645</v>
      </c>
    </row>
    <row r="6730" spans="1:2" ht="112" hidden="1" customHeight="1" x14ac:dyDescent="0.25">
      <c r="A6730" t="s">
        <v>12640</v>
      </c>
      <c r="B6730" t="s">
        <v>12646</v>
      </c>
    </row>
    <row r="6731" spans="1:2" ht="112" hidden="1" customHeight="1" x14ac:dyDescent="0.25">
      <c r="A6731" t="s">
        <v>12641</v>
      </c>
      <c r="B6731" t="s">
        <v>12647</v>
      </c>
    </row>
    <row r="6732" spans="1:2" ht="112" hidden="1" customHeight="1" x14ac:dyDescent="0.25">
      <c r="A6732" t="s">
        <v>12642</v>
      </c>
      <c r="B6732" t="s">
        <v>12648</v>
      </c>
    </row>
    <row r="6733" spans="1:2" ht="112" hidden="1" customHeight="1" x14ac:dyDescent="0.25">
      <c r="A6733" t="s">
        <v>12643</v>
      </c>
      <c r="B6733" t="s">
        <v>12649</v>
      </c>
    </row>
    <row r="6734" spans="1:2" ht="112" hidden="1" customHeight="1" x14ac:dyDescent="0.25">
      <c r="A6734" t="s">
        <v>12650</v>
      </c>
      <c r="B6734" t="s">
        <v>12651</v>
      </c>
    </row>
    <row r="6735" spans="1:2" ht="112" hidden="1" customHeight="1" x14ac:dyDescent="0.25">
      <c r="A6735" t="s">
        <v>12652</v>
      </c>
      <c r="B6735" s="56" t="s">
        <v>12688</v>
      </c>
    </row>
    <row r="6736" spans="1:2" ht="112" hidden="1" customHeight="1" x14ac:dyDescent="0.25">
      <c r="A6736" t="s">
        <v>12653</v>
      </c>
      <c r="B6736" s="56" t="s">
        <v>12687</v>
      </c>
    </row>
    <row r="6737" spans="1:2" ht="112" hidden="1" customHeight="1" x14ac:dyDescent="0.25">
      <c r="A6737" t="s">
        <v>12654</v>
      </c>
      <c r="B6737" t="s">
        <v>12655</v>
      </c>
    </row>
    <row r="6738" spans="1:2" ht="112" hidden="1" customHeight="1" x14ac:dyDescent="0.25">
      <c r="A6738" t="s">
        <v>12656</v>
      </c>
      <c r="B6738" t="s">
        <v>12657</v>
      </c>
    </row>
    <row r="6739" spans="1:2" ht="112" hidden="1" customHeight="1" x14ac:dyDescent="0.25">
      <c r="A6739" t="s">
        <v>12658</v>
      </c>
      <c r="B6739" t="s">
        <v>12659</v>
      </c>
    </row>
    <row r="6740" spans="1:2" ht="112" hidden="1" customHeight="1" x14ac:dyDescent="0.25">
      <c r="A6740" t="s">
        <v>12660</v>
      </c>
      <c r="B6740" s="56" t="s">
        <v>13167</v>
      </c>
    </row>
    <row r="6741" spans="1:2" ht="112" hidden="1" customHeight="1" x14ac:dyDescent="0.25">
      <c r="A6741" t="s">
        <v>12661</v>
      </c>
      <c r="B6741" t="s">
        <v>12662</v>
      </c>
    </row>
    <row r="6742" spans="1:2" ht="112" hidden="1" customHeight="1" x14ac:dyDescent="0.25">
      <c r="A6742" t="s">
        <v>12669</v>
      </c>
      <c r="B6742" t="s">
        <v>12674</v>
      </c>
    </row>
    <row r="6743" spans="1:2" ht="112" hidden="1" customHeight="1" x14ac:dyDescent="0.25">
      <c r="A6743" t="s">
        <v>12670</v>
      </c>
      <c r="B6743" t="s">
        <v>12675</v>
      </c>
    </row>
    <row r="6744" spans="1:2" ht="112" hidden="1" customHeight="1" x14ac:dyDescent="0.25">
      <c r="A6744" t="s">
        <v>12671</v>
      </c>
      <c r="B6744" t="s">
        <v>12676</v>
      </c>
    </row>
    <row r="6745" spans="1:2" ht="112" hidden="1" customHeight="1" x14ac:dyDescent="0.25">
      <c r="A6745" t="s">
        <v>12663</v>
      </c>
      <c r="B6745" t="s">
        <v>12677</v>
      </c>
    </row>
    <row r="6746" spans="1:2" ht="112" hidden="1" customHeight="1" x14ac:dyDescent="0.25">
      <c r="A6746" t="s">
        <v>12664</v>
      </c>
      <c r="B6746" t="s">
        <v>12678</v>
      </c>
    </row>
    <row r="6747" spans="1:2" ht="112" hidden="1" customHeight="1" x14ac:dyDescent="0.25">
      <c r="A6747" t="s">
        <v>12665</v>
      </c>
      <c r="B6747" t="s">
        <v>12679</v>
      </c>
    </row>
    <row r="6748" spans="1:2" ht="112" hidden="1" customHeight="1" x14ac:dyDescent="0.25">
      <c r="A6748" t="s">
        <v>12666</v>
      </c>
      <c r="B6748" t="s">
        <v>12680</v>
      </c>
    </row>
    <row r="6749" spans="1:2" ht="112" hidden="1" customHeight="1" x14ac:dyDescent="0.25">
      <c r="A6749" t="s">
        <v>12681</v>
      </c>
      <c r="B6749" t="s">
        <v>12682</v>
      </c>
    </row>
    <row r="6750" spans="1:2" ht="112" hidden="1" customHeight="1" x14ac:dyDescent="0.25">
      <c r="A6750" t="s">
        <v>12683</v>
      </c>
      <c r="B6750" t="s">
        <v>12685</v>
      </c>
    </row>
    <row r="6751" spans="1:2" ht="112" hidden="1" customHeight="1" x14ac:dyDescent="0.25">
      <c r="A6751" t="s">
        <v>12684</v>
      </c>
      <c r="B6751" t="s">
        <v>12686</v>
      </c>
    </row>
    <row r="6752" spans="1:2" ht="112" hidden="1" customHeight="1" x14ac:dyDescent="0.25">
      <c r="A6752" t="s">
        <v>12689</v>
      </c>
      <c r="B6752" t="s">
        <v>12693</v>
      </c>
    </row>
    <row r="6753" spans="1:2" ht="112" hidden="1" customHeight="1" x14ac:dyDescent="0.25">
      <c r="A6753" t="s">
        <v>12690</v>
      </c>
      <c r="B6753" t="s">
        <v>12694</v>
      </c>
    </row>
    <row r="6754" spans="1:2" ht="112" hidden="1" customHeight="1" x14ac:dyDescent="0.25">
      <c r="A6754" t="s">
        <v>12691</v>
      </c>
      <c r="B6754" s="56" t="s">
        <v>12717</v>
      </c>
    </row>
    <row r="6755" spans="1:2" ht="112" hidden="1" customHeight="1" x14ac:dyDescent="0.25">
      <c r="A6755" t="s">
        <v>12692</v>
      </c>
      <c r="B6755" t="s">
        <v>12695</v>
      </c>
    </row>
    <row r="6756" spans="1:2" ht="112" hidden="1" customHeight="1" x14ac:dyDescent="0.25">
      <c r="A6756" t="s">
        <v>12696</v>
      </c>
      <c r="B6756" t="s">
        <v>12697</v>
      </c>
    </row>
    <row r="6757" spans="1:2" ht="112" hidden="1" customHeight="1" x14ac:dyDescent="0.25">
      <c r="A6757" t="s">
        <v>12698</v>
      </c>
      <c r="B6757" t="s">
        <v>12703</v>
      </c>
    </row>
    <row r="6758" spans="1:2" ht="112" hidden="1" customHeight="1" x14ac:dyDescent="0.25">
      <c r="A6758" t="s">
        <v>12699</v>
      </c>
      <c r="B6758" t="s">
        <v>12704</v>
      </c>
    </row>
    <row r="6759" spans="1:2" ht="112" hidden="1" customHeight="1" x14ac:dyDescent="0.25">
      <c r="A6759" t="s">
        <v>12700</v>
      </c>
      <c r="B6759" t="s">
        <v>12705</v>
      </c>
    </row>
    <row r="6760" spans="1:2" ht="112" hidden="1" customHeight="1" x14ac:dyDescent="0.25">
      <c r="A6760" t="s">
        <v>12701</v>
      </c>
      <c r="B6760" t="s">
        <v>12706</v>
      </c>
    </row>
    <row r="6761" spans="1:2" ht="112" hidden="1" customHeight="1" x14ac:dyDescent="0.25">
      <c r="A6761" t="s">
        <v>12702</v>
      </c>
      <c r="B6761" t="s">
        <v>12707</v>
      </c>
    </row>
    <row r="6762" spans="1:2" ht="112" hidden="1" customHeight="1" x14ac:dyDescent="0.25">
      <c r="A6762" t="s">
        <v>12708</v>
      </c>
      <c r="B6762" t="s">
        <v>12709</v>
      </c>
    </row>
    <row r="6763" spans="1:2" ht="112" hidden="1" customHeight="1" x14ac:dyDescent="0.25">
      <c r="A6763" t="s">
        <v>12712</v>
      </c>
      <c r="B6763" t="s">
        <v>12713</v>
      </c>
    </row>
    <row r="6764" spans="1:2" ht="112" hidden="1" customHeight="1" x14ac:dyDescent="0.25">
      <c r="A6764" t="s">
        <v>12714</v>
      </c>
      <c r="B6764" s="56" t="s">
        <v>13008</v>
      </c>
    </row>
    <row r="6765" spans="1:2" ht="112" hidden="1" customHeight="1" x14ac:dyDescent="0.25">
      <c r="A6765" t="s">
        <v>12715</v>
      </c>
      <c r="B6765" t="s">
        <v>12716</v>
      </c>
    </row>
    <row r="6766" spans="1:2" ht="112" hidden="1" customHeight="1" x14ac:dyDescent="0.25">
      <c r="A6766" t="s">
        <v>12862</v>
      </c>
      <c r="B6766" t="s">
        <v>12863</v>
      </c>
    </row>
    <row r="6767" spans="1:2" ht="112" hidden="1" customHeight="1" x14ac:dyDescent="0.25">
      <c r="A6767" t="s">
        <v>12718</v>
      </c>
      <c r="B6767" t="s">
        <v>12719</v>
      </c>
    </row>
    <row r="6768" spans="1:2" ht="112" hidden="1" customHeight="1" x14ac:dyDescent="0.25">
      <c r="A6768" t="s">
        <v>12640</v>
      </c>
      <c r="B6768" t="s">
        <v>12646</v>
      </c>
    </row>
    <row r="6769" spans="1:2" ht="112" hidden="1" customHeight="1" x14ac:dyDescent="0.25">
      <c r="A6769" t="s">
        <v>12641</v>
      </c>
      <c r="B6769" t="s">
        <v>12647</v>
      </c>
    </row>
    <row r="6770" spans="1:2" ht="112" hidden="1" customHeight="1" x14ac:dyDescent="0.25">
      <c r="A6770" t="s">
        <v>12642</v>
      </c>
      <c r="B6770" t="s">
        <v>12648</v>
      </c>
    </row>
    <row r="6771" spans="1:2" ht="112" hidden="1" customHeight="1" x14ac:dyDescent="0.25">
      <c r="A6771" t="s">
        <v>12643</v>
      </c>
      <c r="B6771" t="s">
        <v>12649</v>
      </c>
    </row>
    <row r="6772" spans="1:2" ht="112" hidden="1" customHeight="1" x14ac:dyDescent="0.25">
      <c r="A6772" t="s">
        <v>12720</v>
      </c>
      <c r="B6772" t="s">
        <v>12737</v>
      </c>
    </row>
    <row r="6773" spans="1:2" ht="112" hidden="1" customHeight="1" x14ac:dyDescent="0.25">
      <c r="A6773" t="s">
        <v>12721</v>
      </c>
      <c r="B6773" t="s">
        <v>12738</v>
      </c>
    </row>
    <row r="6774" spans="1:2" ht="112" hidden="1" customHeight="1" x14ac:dyDescent="0.25">
      <c r="A6774" t="s">
        <v>12722</v>
      </c>
      <c r="B6774" t="s">
        <v>12739</v>
      </c>
    </row>
    <row r="6775" spans="1:2" ht="112" hidden="1" customHeight="1" x14ac:dyDescent="0.25">
      <c r="A6775" t="s">
        <v>12723</v>
      </c>
      <c r="B6775" t="s">
        <v>12740</v>
      </c>
    </row>
    <row r="6776" spans="1:2" ht="112" hidden="1" customHeight="1" x14ac:dyDescent="0.25">
      <c r="A6776" t="s">
        <v>12724</v>
      </c>
      <c r="B6776" t="s">
        <v>12741</v>
      </c>
    </row>
    <row r="6777" spans="1:2" ht="112" hidden="1" customHeight="1" x14ac:dyDescent="0.25">
      <c r="A6777" t="s">
        <v>12725</v>
      </c>
      <c r="B6777" t="s">
        <v>12742</v>
      </c>
    </row>
    <row r="6778" spans="1:2" ht="112" hidden="1" customHeight="1" x14ac:dyDescent="0.25">
      <c r="A6778" t="s">
        <v>12726</v>
      </c>
      <c r="B6778" t="s">
        <v>12743</v>
      </c>
    </row>
    <row r="6779" spans="1:2" ht="112" hidden="1" customHeight="1" x14ac:dyDescent="0.25">
      <c r="A6779" t="s">
        <v>12727</v>
      </c>
      <c r="B6779" t="s">
        <v>12744</v>
      </c>
    </row>
    <row r="6780" spans="1:2" ht="112" hidden="1" customHeight="1" x14ac:dyDescent="0.25">
      <c r="A6780" t="s">
        <v>12728</v>
      </c>
      <c r="B6780" t="s">
        <v>12745</v>
      </c>
    </row>
    <row r="6781" spans="1:2" ht="112" hidden="1" customHeight="1" x14ac:dyDescent="0.25">
      <c r="A6781" t="s">
        <v>12729</v>
      </c>
      <c r="B6781" s="56" t="s">
        <v>13363</v>
      </c>
    </row>
    <row r="6782" spans="1:2" ht="112" hidden="1" customHeight="1" x14ac:dyDescent="0.25">
      <c r="A6782" t="s">
        <v>12730</v>
      </c>
      <c r="B6782" s="56" t="s">
        <v>13538</v>
      </c>
    </row>
    <row r="6783" spans="1:2" ht="112" hidden="1" customHeight="1" x14ac:dyDescent="0.25">
      <c r="A6783" t="s">
        <v>12731</v>
      </c>
      <c r="B6783" t="s">
        <v>12746</v>
      </c>
    </row>
    <row r="6784" spans="1:2" ht="112" hidden="1" customHeight="1" x14ac:dyDescent="0.25">
      <c r="A6784" t="s">
        <v>12732</v>
      </c>
      <c r="B6784" t="s">
        <v>12747</v>
      </c>
    </row>
    <row r="6785" spans="1:2" ht="112" hidden="1" customHeight="1" x14ac:dyDescent="0.25">
      <c r="A6785" t="s">
        <v>12733</v>
      </c>
      <c r="B6785" t="s">
        <v>12748</v>
      </c>
    </row>
    <row r="6786" spans="1:2" ht="112" hidden="1" customHeight="1" x14ac:dyDescent="0.25">
      <c r="A6786" t="s">
        <v>12734</v>
      </c>
      <c r="B6786" t="s">
        <v>12749</v>
      </c>
    </row>
    <row r="6787" spans="1:2" ht="112" hidden="1" customHeight="1" x14ac:dyDescent="0.25">
      <c r="A6787" t="s">
        <v>12735</v>
      </c>
      <c r="B6787" t="s">
        <v>12750</v>
      </c>
    </row>
    <row r="6788" spans="1:2" ht="112" hidden="1" customHeight="1" x14ac:dyDescent="0.25">
      <c r="A6788" t="s">
        <v>12736</v>
      </c>
      <c r="B6788" t="s">
        <v>12751</v>
      </c>
    </row>
    <row r="6789" spans="1:2" ht="112" hidden="1" customHeight="1" x14ac:dyDescent="0.25">
      <c r="A6789" t="s">
        <v>12752</v>
      </c>
      <c r="B6789" t="s">
        <v>12753</v>
      </c>
    </row>
    <row r="6790" spans="1:2" ht="112" hidden="1" customHeight="1" x14ac:dyDescent="0.25">
      <c r="A6790" t="s">
        <v>12754</v>
      </c>
      <c r="B6790" t="s">
        <v>12755</v>
      </c>
    </row>
    <row r="6791" spans="1:2" ht="112" hidden="1" customHeight="1" x14ac:dyDescent="0.25">
      <c r="A6791" t="s">
        <v>12756</v>
      </c>
      <c r="B6791" t="s">
        <v>12760</v>
      </c>
    </row>
    <row r="6792" spans="1:2" ht="112" hidden="1" customHeight="1" x14ac:dyDescent="0.25">
      <c r="A6792" t="s">
        <v>12757</v>
      </c>
      <c r="B6792" t="s">
        <v>12761</v>
      </c>
    </row>
    <row r="6793" spans="1:2" ht="112" hidden="1" customHeight="1" x14ac:dyDescent="0.25">
      <c r="A6793" t="s">
        <v>12758</v>
      </c>
      <c r="B6793" t="s">
        <v>12762</v>
      </c>
    </row>
    <row r="6794" spans="1:2" ht="112" hidden="1" customHeight="1" x14ac:dyDescent="0.25">
      <c r="A6794" t="s">
        <v>12759</v>
      </c>
      <c r="B6794" t="s">
        <v>12763</v>
      </c>
    </row>
    <row r="6795" spans="1:2" ht="112" hidden="1" customHeight="1" x14ac:dyDescent="0.25">
      <c r="A6795" t="s">
        <v>12764</v>
      </c>
      <c r="B6795" t="s">
        <v>12765</v>
      </c>
    </row>
    <row r="6796" spans="1:2" ht="112" hidden="1" customHeight="1" x14ac:dyDescent="0.25">
      <c r="A6796" t="s">
        <v>12766</v>
      </c>
      <c r="B6796" t="s">
        <v>12769</v>
      </c>
    </row>
    <row r="6797" spans="1:2" ht="112" hidden="1" customHeight="1" x14ac:dyDescent="0.25">
      <c r="A6797" t="s">
        <v>12767</v>
      </c>
      <c r="B6797" t="s">
        <v>12770</v>
      </c>
    </row>
    <row r="6798" spans="1:2" ht="112" hidden="1" customHeight="1" x14ac:dyDescent="0.25">
      <c r="A6798" t="s">
        <v>12768</v>
      </c>
      <c r="B6798" t="s">
        <v>12771</v>
      </c>
    </row>
    <row r="6799" spans="1:2" ht="112" hidden="1" customHeight="1" x14ac:dyDescent="0.25">
      <c r="A6799" t="s">
        <v>12772</v>
      </c>
      <c r="B6799" t="s">
        <v>12773</v>
      </c>
    </row>
    <row r="6800" spans="1:2" ht="112" hidden="1" customHeight="1" x14ac:dyDescent="0.25">
      <c r="A6800" t="s">
        <v>12774</v>
      </c>
      <c r="B6800" t="s">
        <v>12775</v>
      </c>
    </row>
    <row r="6801" spans="1:2" ht="112" hidden="1" customHeight="1" x14ac:dyDescent="0.25">
      <c r="A6801" t="s">
        <v>12776</v>
      </c>
      <c r="B6801" t="s">
        <v>12820</v>
      </c>
    </row>
    <row r="6802" spans="1:2" ht="112" hidden="1" customHeight="1" x14ac:dyDescent="0.25">
      <c r="A6802" t="s">
        <v>12777</v>
      </c>
      <c r="B6802" t="s">
        <v>12821</v>
      </c>
    </row>
    <row r="6803" spans="1:2" ht="112" hidden="1" customHeight="1" x14ac:dyDescent="0.25">
      <c r="A6803" t="s">
        <v>12778</v>
      </c>
      <c r="B6803" s="56" t="s">
        <v>13182</v>
      </c>
    </row>
    <row r="6804" spans="1:2" ht="112" hidden="1" customHeight="1" x14ac:dyDescent="0.25">
      <c r="A6804" t="s">
        <v>12779</v>
      </c>
      <c r="B6804" t="s">
        <v>12822</v>
      </c>
    </row>
    <row r="6805" spans="1:2" ht="112" hidden="1" customHeight="1" x14ac:dyDescent="0.25">
      <c r="A6805" t="s">
        <v>12780</v>
      </c>
      <c r="B6805" t="s">
        <v>12823</v>
      </c>
    </row>
    <row r="6806" spans="1:2" ht="112" hidden="1" customHeight="1" x14ac:dyDescent="0.25">
      <c r="A6806" t="s">
        <v>12781</v>
      </c>
      <c r="B6806" t="s">
        <v>12824</v>
      </c>
    </row>
    <row r="6807" spans="1:2" ht="112" hidden="1" customHeight="1" x14ac:dyDescent="0.25">
      <c r="A6807" t="s">
        <v>12782</v>
      </c>
      <c r="B6807" t="s">
        <v>12825</v>
      </c>
    </row>
    <row r="6808" spans="1:2" ht="112" hidden="1" customHeight="1" x14ac:dyDescent="0.25">
      <c r="A6808" t="s">
        <v>12783</v>
      </c>
      <c r="B6808" t="s">
        <v>12826</v>
      </c>
    </row>
    <row r="6809" spans="1:2" ht="112" hidden="1" customHeight="1" x14ac:dyDescent="0.25">
      <c r="A6809" t="s">
        <v>12784</v>
      </c>
      <c r="B6809" t="s">
        <v>12827</v>
      </c>
    </row>
    <row r="6810" spans="1:2" ht="112" hidden="1" customHeight="1" x14ac:dyDescent="0.25">
      <c r="A6810" t="s">
        <v>12785</v>
      </c>
      <c r="B6810" t="s">
        <v>12828</v>
      </c>
    </row>
    <row r="6811" spans="1:2" ht="112" hidden="1" customHeight="1" x14ac:dyDescent="0.25">
      <c r="A6811" t="s">
        <v>12786</v>
      </c>
      <c r="B6811" t="s">
        <v>12829</v>
      </c>
    </row>
    <row r="6812" spans="1:2" ht="112" hidden="1" customHeight="1" x14ac:dyDescent="0.25">
      <c r="A6812" t="s">
        <v>12787</v>
      </c>
      <c r="B6812" t="s">
        <v>12830</v>
      </c>
    </row>
    <row r="6813" spans="1:2" ht="112" customHeight="1" x14ac:dyDescent="0.25">
      <c r="A6813" t="s">
        <v>12788</v>
      </c>
      <c r="B6813" s="56" t="s">
        <v>13620</v>
      </c>
    </row>
    <row r="6814" spans="1:2" ht="112" hidden="1" customHeight="1" x14ac:dyDescent="0.25">
      <c r="A6814" t="s">
        <v>12789</v>
      </c>
      <c r="B6814" t="s">
        <v>12831</v>
      </c>
    </row>
    <row r="6815" spans="1:2" ht="112" hidden="1" customHeight="1" x14ac:dyDescent="0.25">
      <c r="A6815" t="s">
        <v>12790</v>
      </c>
      <c r="B6815" t="s">
        <v>12832</v>
      </c>
    </row>
    <row r="6816" spans="1:2" ht="112" hidden="1" customHeight="1" x14ac:dyDescent="0.25">
      <c r="A6816" t="s">
        <v>12791</v>
      </c>
      <c r="B6816" t="s">
        <v>12833</v>
      </c>
    </row>
    <row r="6817" spans="1:2" ht="112" hidden="1" customHeight="1" x14ac:dyDescent="0.25">
      <c r="A6817" t="s">
        <v>12792</v>
      </c>
      <c r="B6817" t="s">
        <v>12834</v>
      </c>
    </row>
    <row r="6818" spans="1:2" ht="112" hidden="1" customHeight="1" x14ac:dyDescent="0.25">
      <c r="A6818" t="s">
        <v>12793</v>
      </c>
      <c r="B6818" t="s">
        <v>12835</v>
      </c>
    </row>
    <row r="6819" spans="1:2" ht="112" hidden="1" customHeight="1" x14ac:dyDescent="0.25">
      <c r="A6819" t="s">
        <v>12794</v>
      </c>
      <c r="B6819" t="s">
        <v>12836</v>
      </c>
    </row>
    <row r="6820" spans="1:2" ht="112" hidden="1" customHeight="1" x14ac:dyDescent="0.25">
      <c r="A6820" t="s">
        <v>12795</v>
      </c>
      <c r="B6820" t="s">
        <v>12837</v>
      </c>
    </row>
    <row r="6821" spans="1:2" ht="112" hidden="1" customHeight="1" x14ac:dyDescent="0.25">
      <c r="A6821" t="s">
        <v>12796</v>
      </c>
      <c r="B6821" t="s">
        <v>12838</v>
      </c>
    </row>
    <row r="6822" spans="1:2" ht="112" hidden="1" customHeight="1" x14ac:dyDescent="0.25">
      <c r="A6822" t="s">
        <v>12797</v>
      </c>
      <c r="B6822" t="s">
        <v>12839</v>
      </c>
    </row>
    <row r="6823" spans="1:2" ht="112" hidden="1" customHeight="1" x14ac:dyDescent="0.25">
      <c r="A6823" t="s">
        <v>12798</v>
      </c>
      <c r="B6823" t="s">
        <v>12840</v>
      </c>
    </row>
    <row r="6824" spans="1:2" ht="112" hidden="1" customHeight="1" x14ac:dyDescent="0.25">
      <c r="A6824" t="s">
        <v>12799</v>
      </c>
      <c r="B6824" t="s">
        <v>12841</v>
      </c>
    </row>
    <row r="6825" spans="1:2" ht="112" hidden="1" customHeight="1" x14ac:dyDescent="0.25">
      <c r="A6825" t="s">
        <v>12800</v>
      </c>
      <c r="B6825" t="s">
        <v>12842</v>
      </c>
    </row>
    <row r="6826" spans="1:2" ht="112" hidden="1" customHeight="1" x14ac:dyDescent="0.25">
      <c r="A6826" t="s">
        <v>12801</v>
      </c>
      <c r="B6826" t="s">
        <v>12843</v>
      </c>
    </row>
    <row r="6827" spans="1:2" ht="112" hidden="1" customHeight="1" x14ac:dyDescent="0.25">
      <c r="A6827" t="s">
        <v>12802</v>
      </c>
      <c r="B6827" t="s">
        <v>12844</v>
      </c>
    </row>
    <row r="6828" spans="1:2" ht="112" hidden="1" customHeight="1" x14ac:dyDescent="0.25">
      <c r="A6828" t="s">
        <v>12803</v>
      </c>
      <c r="B6828" t="s">
        <v>12845</v>
      </c>
    </row>
    <row r="6829" spans="1:2" ht="112" hidden="1" customHeight="1" x14ac:dyDescent="0.25">
      <c r="A6829" t="s">
        <v>12804</v>
      </c>
      <c r="B6829" s="56" t="s">
        <v>12861</v>
      </c>
    </row>
    <row r="6830" spans="1:2" ht="112" hidden="1" customHeight="1" x14ac:dyDescent="0.25">
      <c r="A6830" t="s">
        <v>12805</v>
      </c>
      <c r="B6830" t="s">
        <v>12846</v>
      </c>
    </row>
    <row r="6831" spans="1:2" ht="112" hidden="1" customHeight="1" x14ac:dyDescent="0.25">
      <c r="A6831" t="s">
        <v>12806</v>
      </c>
      <c r="B6831" t="s">
        <v>12847</v>
      </c>
    </row>
    <row r="6832" spans="1:2" ht="112" hidden="1" customHeight="1" x14ac:dyDescent="0.25">
      <c r="A6832" t="s">
        <v>12807</v>
      </c>
      <c r="B6832" t="s">
        <v>12848</v>
      </c>
    </row>
    <row r="6833" spans="1:2" ht="112" hidden="1" customHeight="1" x14ac:dyDescent="0.25">
      <c r="A6833" t="s">
        <v>12808</v>
      </c>
      <c r="B6833" t="s">
        <v>12849</v>
      </c>
    </row>
    <row r="6834" spans="1:2" ht="112" hidden="1" customHeight="1" x14ac:dyDescent="0.25">
      <c r="A6834" t="s">
        <v>12809</v>
      </c>
      <c r="B6834" t="s">
        <v>12850</v>
      </c>
    </row>
    <row r="6835" spans="1:2" ht="112" hidden="1" customHeight="1" x14ac:dyDescent="0.25">
      <c r="A6835" t="s">
        <v>12810</v>
      </c>
      <c r="B6835" t="s">
        <v>12851</v>
      </c>
    </row>
    <row r="6836" spans="1:2" ht="112" hidden="1" customHeight="1" x14ac:dyDescent="0.25">
      <c r="A6836" t="s">
        <v>12811</v>
      </c>
      <c r="B6836" t="s">
        <v>12852</v>
      </c>
    </row>
    <row r="6837" spans="1:2" ht="112" hidden="1" customHeight="1" x14ac:dyDescent="0.25">
      <c r="A6837" t="s">
        <v>12812</v>
      </c>
      <c r="B6837" t="s">
        <v>12853</v>
      </c>
    </row>
    <row r="6838" spans="1:2" ht="112" hidden="1" customHeight="1" x14ac:dyDescent="0.25">
      <c r="A6838" t="s">
        <v>12813</v>
      </c>
      <c r="B6838" t="s">
        <v>12854</v>
      </c>
    </row>
    <row r="6839" spans="1:2" ht="112" hidden="1" customHeight="1" x14ac:dyDescent="0.25">
      <c r="A6839" t="s">
        <v>12814</v>
      </c>
      <c r="B6839" t="s">
        <v>12855</v>
      </c>
    </row>
    <row r="6840" spans="1:2" ht="112" hidden="1" customHeight="1" x14ac:dyDescent="0.25">
      <c r="A6840" t="s">
        <v>12815</v>
      </c>
      <c r="B6840" t="s">
        <v>12856</v>
      </c>
    </row>
    <row r="6841" spans="1:2" ht="112" hidden="1" customHeight="1" x14ac:dyDescent="0.25">
      <c r="A6841" t="s">
        <v>12816</v>
      </c>
      <c r="B6841" t="s">
        <v>12857</v>
      </c>
    </row>
    <row r="6842" spans="1:2" ht="112" hidden="1" customHeight="1" x14ac:dyDescent="0.25">
      <c r="A6842" t="s">
        <v>12817</v>
      </c>
      <c r="B6842" s="56" t="s">
        <v>12860</v>
      </c>
    </row>
    <row r="6843" spans="1:2" ht="112" hidden="1" customHeight="1" x14ac:dyDescent="0.25">
      <c r="A6843" t="s">
        <v>12818</v>
      </c>
      <c r="B6843" t="s">
        <v>12858</v>
      </c>
    </row>
    <row r="6844" spans="1:2" ht="112" hidden="1" customHeight="1" x14ac:dyDescent="0.25">
      <c r="A6844" t="s">
        <v>12819</v>
      </c>
      <c r="B6844" s="56" t="s">
        <v>12859</v>
      </c>
    </row>
    <row r="6845" spans="1:2" ht="112" hidden="1" customHeight="1" x14ac:dyDescent="0.25">
      <c r="A6845" t="s">
        <v>12864</v>
      </c>
      <c r="B6845" t="s">
        <v>12865</v>
      </c>
    </row>
    <row r="6846" spans="1:2" ht="112" hidden="1" customHeight="1" x14ac:dyDescent="0.25">
      <c r="A6846" t="s">
        <v>12866</v>
      </c>
      <c r="B6846" t="s">
        <v>12867</v>
      </c>
    </row>
    <row r="6847" spans="1:2" ht="112" hidden="1" customHeight="1" x14ac:dyDescent="0.25">
      <c r="A6847" t="s">
        <v>12868</v>
      </c>
      <c r="B6847" t="s">
        <v>12871</v>
      </c>
    </row>
    <row r="6848" spans="1:2" ht="112" hidden="1" customHeight="1" x14ac:dyDescent="0.25">
      <c r="A6848" t="s">
        <v>12869</v>
      </c>
      <c r="B6848" t="s">
        <v>12872</v>
      </c>
    </row>
    <row r="6849" spans="1:2" ht="112" hidden="1" customHeight="1" x14ac:dyDescent="0.25">
      <c r="A6849" t="s">
        <v>12870</v>
      </c>
      <c r="B6849" t="s">
        <v>12873</v>
      </c>
    </row>
    <row r="6850" spans="1:2" ht="112" hidden="1" customHeight="1" x14ac:dyDescent="0.25">
      <c r="A6850" t="s">
        <v>12876</v>
      </c>
      <c r="B6850" t="s">
        <v>12877</v>
      </c>
    </row>
    <row r="6851" spans="1:2" ht="112" hidden="1" customHeight="1" x14ac:dyDescent="0.25">
      <c r="A6851" t="s">
        <v>12878</v>
      </c>
      <c r="B6851" t="s">
        <v>12880</v>
      </c>
    </row>
    <row r="6852" spans="1:2" ht="112" hidden="1" customHeight="1" x14ac:dyDescent="0.25">
      <c r="A6852" t="s">
        <v>12879</v>
      </c>
      <c r="B6852" t="s">
        <v>12881</v>
      </c>
    </row>
    <row r="6853" spans="1:2" ht="112" hidden="1" customHeight="1" x14ac:dyDescent="0.25">
      <c r="A6853" t="s">
        <v>12882</v>
      </c>
      <c r="B6853" t="s">
        <v>12883</v>
      </c>
    </row>
    <row r="6854" spans="1:2" ht="112" hidden="1" customHeight="1" x14ac:dyDescent="0.25">
      <c r="A6854" t="s">
        <v>12884</v>
      </c>
      <c r="B6854" t="s">
        <v>12887</v>
      </c>
    </row>
    <row r="6855" spans="1:2" ht="112" hidden="1" customHeight="1" x14ac:dyDescent="0.25">
      <c r="A6855" t="s">
        <v>12885</v>
      </c>
      <c r="B6855" t="s">
        <v>12888</v>
      </c>
    </row>
    <row r="6856" spans="1:2" ht="112" hidden="1" customHeight="1" x14ac:dyDescent="0.25">
      <c r="A6856" t="s">
        <v>12886</v>
      </c>
      <c r="B6856" t="s">
        <v>12889</v>
      </c>
    </row>
    <row r="6857" spans="1:2" ht="112" hidden="1" customHeight="1" x14ac:dyDescent="0.25">
      <c r="A6857" t="s">
        <v>12890</v>
      </c>
      <c r="B6857" t="s">
        <v>12891</v>
      </c>
    </row>
    <row r="6858" spans="1:2" ht="112" hidden="1" customHeight="1" x14ac:dyDescent="0.25">
      <c r="A6858" t="s">
        <v>12892</v>
      </c>
      <c r="B6858" t="s">
        <v>12897</v>
      </c>
    </row>
    <row r="6859" spans="1:2" ht="112" hidden="1" customHeight="1" x14ac:dyDescent="0.25">
      <c r="A6859" t="s">
        <v>12893</v>
      </c>
      <c r="B6859" t="s">
        <v>12898</v>
      </c>
    </row>
    <row r="6860" spans="1:2" ht="112" hidden="1" customHeight="1" x14ac:dyDescent="0.25">
      <c r="A6860" t="s">
        <v>12894</v>
      </c>
      <c r="B6860" t="s">
        <v>12899</v>
      </c>
    </row>
    <row r="6861" spans="1:2" ht="112" hidden="1" customHeight="1" x14ac:dyDescent="0.25">
      <c r="A6861" t="s">
        <v>12895</v>
      </c>
      <c r="B6861" t="s">
        <v>12900</v>
      </c>
    </row>
    <row r="6862" spans="1:2" ht="112" hidden="1" customHeight="1" x14ac:dyDescent="0.25">
      <c r="A6862" t="s">
        <v>12896</v>
      </c>
      <c r="B6862" t="s">
        <v>12901</v>
      </c>
    </row>
    <row r="6863" spans="1:2" ht="112" hidden="1" customHeight="1" x14ac:dyDescent="0.25">
      <c r="A6863" t="s">
        <v>12902</v>
      </c>
      <c r="B6863" t="s">
        <v>12903</v>
      </c>
    </row>
    <row r="6864" spans="1:2" ht="112" hidden="1" customHeight="1" x14ac:dyDescent="0.25">
      <c r="A6864" t="s">
        <v>12904</v>
      </c>
      <c r="B6864" t="s">
        <v>12906</v>
      </c>
    </row>
    <row r="6865" spans="1:2" ht="112" hidden="1" customHeight="1" x14ac:dyDescent="0.25">
      <c r="A6865" t="s">
        <v>12905</v>
      </c>
      <c r="B6865" t="s">
        <v>12907</v>
      </c>
    </row>
    <row r="6866" spans="1:2" ht="112" hidden="1" customHeight="1" x14ac:dyDescent="0.25">
      <c r="A6866" t="s">
        <v>12908</v>
      </c>
      <c r="B6866" t="s">
        <v>12909</v>
      </c>
    </row>
    <row r="6867" spans="1:2" ht="112" hidden="1" customHeight="1" x14ac:dyDescent="0.25">
      <c r="A6867" t="s">
        <v>12910</v>
      </c>
      <c r="B6867" t="s">
        <v>12911</v>
      </c>
    </row>
    <row r="6868" spans="1:2" ht="112" hidden="1" customHeight="1" x14ac:dyDescent="0.25">
      <c r="A6868" t="s">
        <v>12912</v>
      </c>
      <c r="B6868" t="s">
        <v>12913</v>
      </c>
    </row>
    <row r="6869" spans="1:2" ht="112" hidden="1" customHeight="1" x14ac:dyDescent="0.25">
      <c r="A6869" t="s">
        <v>12914</v>
      </c>
      <c r="B6869" t="s">
        <v>12915</v>
      </c>
    </row>
    <row r="6870" spans="1:2" ht="112" hidden="1" customHeight="1" x14ac:dyDescent="0.25">
      <c r="A6870" t="s">
        <v>12916</v>
      </c>
      <c r="B6870" t="s">
        <v>12931</v>
      </c>
    </row>
    <row r="6871" spans="1:2" ht="112" hidden="1" customHeight="1" x14ac:dyDescent="0.25">
      <c r="A6871" t="s">
        <v>12917</v>
      </c>
      <c r="B6871" t="s">
        <v>12932</v>
      </c>
    </row>
    <row r="6872" spans="1:2" ht="112" hidden="1" customHeight="1" x14ac:dyDescent="0.25">
      <c r="A6872" t="s">
        <v>12918</v>
      </c>
      <c r="B6872" t="s">
        <v>12933</v>
      </c>
    </row>
    <row r="6873" spans="1:2" ht="112" hidden="1" customHeight="1" x14ac:dyDescent="0.25">
      <c r="A6873" t="s">
        <v>12919</v>
      </c>
      <c r="B6873" t="s">
        <v>12934</v>
      </c>
    </row>
    <row r="6874" spans="1:2" ht="112" hidden="1" customHeight="1" x14ac:dyDescent="0.25">
      <c r="A6874" t="s">
        <v>12920</v>
      </c>
      <c r="B6874" t="s">
        <v>12935</v>
      </c>
    </row>
    <row r="6875" spans="1:2" ht="112" hidden="1" customHeight="1" x14ac:dyDescent="0.25">
      <c r="A6875" t="s">
        <v>12921</v>
      </c>
      <c r="B6875" t="s">
        <v>12936</v>
      </c>
    </row>
    <row r="6876" spans="1:2" ht="112" hidden="1" customHeight="1" x14ac:dyDescent="0.25">
      <c r="A6876" t="s">
        <v>12922</v>
      </c>
      <c r="B6876" t="s">
        <v>12937</v>
      </c>
    </row>
    <row r="6877" spans="1:2" ht="112" hidden="1" customHeight="1" x14ac:dyDescent="0.25">
      <c r="A6877" t="s">
        <v>12923</v>
      </c>
      <c r="B6877" t="s">
        <v>12938</v>
      </c>
    </row>
    <row r="6878" spans="1:2" ht="112" hidden="1" customHeight="1" x14ac:dyDescent="0.25">
      <c r="A6878" t="s">
        <v>12924</v>
      </c>
      <c r="B6878" t="s">
        <v>12939</v>
      </c>
    </row>
    <row r="6879" spans="1:2" ht="112" hidden="1" customHeight="1" x14ac:dyDescent="0.25">
      <c r="A6879" t="s">
        <v>12925</v>
      </c>
      <c r="B6879" t="s">
        <v>12940</v>
      </c>
    </row>
    <row r="6880" spans="1:2" ht="112" hidden="1" customHeight="1" x14ac:dyDescent="0.25">
      <c r="A6880" t="s">
        <v>12926</v>
      </c>
      <c r="B6880" t="s">
        <v>12941</v>
      </c>
    </row>
    <row r="6881" spans="1:2" ht="112" hidden="1" customHeight="1" x14ac:dyDescent="0.25">
      <c r="A6881" t="s">
        <v>12927</v>
      </c>
      <c r="B6881" t="s">
        <v>12942</v>
      </c>
    </row>
    <row r="6882" spans="1:2" ht="112" hidden="1" customHeight="1" x14ac:dyDescent="0.25">
      <c r="A6882" t="s">
        <v>12928</v>
      </c>
      <c r="B6882" t="s">
        <v>12943</v>
      </c>
    </row>
    <row r="6883" spans="1:2" ht="112" hidden="1" customHeight="1" x14ac:dyDescent="0.25">
      <c r="A6883" t="s">
        <v>12929</v>
      </c>
      <c r="B6883" t="s">
        <v>12944</v>
      </c>
    </row>
    <row r="6884" spans="1:2" ht="112" hidden="1" customHeight="1" x14ac:dyDescent="0.25">
      <c r="A6884" t="s">
        <v>12930</v>
      </c>
      <c r="B6884" t="s">
        <v>12945</v>
      </c>
    </row>
    <row r="6885" spans="1:2" ht="112" hidden="1" customHeight="1" x14ac:dyDescent="0.25">
      <c r="A6885" t="s">
        <v>12946</v>
      </c>
      <c r="B6885" t="s">
        <v>12947</v>
      </c>
    </row>
    <row r="6886" spans="1:2" ht="112" hidden="1" customHeight="1" x14ac:dyDescent="0.25">
      <c r="A6886" t="s">
        <v>12951</v>
      </c>
      <c r="B6886" t="s">
        <v>12952</v>
      </c>
    </row>
    <row r="6887" spans="1:2" ht="112" hidden="1" customHeight="1" x14ac:dyDescent="0.25">
      <c r="A6887" t="s">
        <v>12953</v>
      </c>
      <c r="B6887" t="s">
        <v>12954</v>
      </c>
    </row>
    <row r="6888" spans="1:2" ht="112" hidden="1" customHeight="1" x14ac:dyDescent="0.25">
      <c r="A6888" t="s">
        <v>12955</v>
      </c>
      <c r="B6888" s="56" t="s">
        <v>13021</v>
      </c>
    </row>
    <row r="6889" spans="1:2" ht="112" hidden="1" customHeight="1" x14ac:dyDescent="0.25">
      <c r="A6889" t="s">
        <v>12956</v>
      </c>
      <c r="B6889" t="s">
        <v>12957</v>
      </c>
    </row>
    <row r="6890" spans="1:2" ht="112" hidden="1" customHeight="1" x14ac:dyDescent="0.25">
      <c r="A6890" t="s">
        <v>12965</v>
      </c>
      <c r="B6890" t="s">
        <v>12966</v>
      </c>
    </row>
    <row r="6891" spans="1:2" ht="112" hidden="1" customHeight="1" x14ac:dyDescent="0.25">
      <c r="A6891" t="s">
        <v>12958</v>
      </c>
      <c r="B6891" t="s">
        <v>12967</v>
      </c>
    </row>
    <row r="6892" spans="1:2" ht="112" hidden="1" customHeight="1" x14ac:dyDescent="0.25">
      <c r="A6892" t="s">
        <v>12959</v>
      </c>
      <c r="B6892" t="s">
        <v>12968</v>
      </c>
    </row>
    <row r="6893" spans="1:2" ht="112" hidden="1" customHeight="1" x14ac:dyDescent="0.25">
      <c r="A6893" t="s">
        <v>12960</v>
      </c>
      <c r="B6893" t="s">
        <v>12969</v>
      </c>
    </row>
    <row r="6894" spans="1:2" ht="112" hidden="1" customHeight="1" x14ac:dyDescent="0.25">
      <c r="A6894" t="s">
        <v>12961</v>
      </c>
      <c r="B6894" t="s">
        <v>12970</v>
      </c>
    </row>
    <row r="6895" spans="1:2" ht="112" hidden="1" customHeight="1" x14ac:dyDescent="0.25">
      <c r="A6895" t="s">
        <v>12962</v>
      </c>
      <c r="B6895" t="s">
        <v>12971</v>
      </c>
    </row>
    <row r="6896" spans="1:2" ht="112" hidden="1" customHeight="1" x14ac:dyDescent="0.25">
      <c r="A6896" t="s">
        <v>12963</v>
      </c>
      <c r="B6896" t="s">
        <v>12972</v>
      </c>
    </row>
    <row r="6897" spans="1:2" ht="112" hidden="1" customHeight="1" x14ac:dyDescent="0.25">
      <c r="A6897" t="s">
        <v>12964</v>
      </c>
      <c r="B6897" t="s">
        <v>12973</v>
      </c>
    </row>
    <row r="6898" spans="1:2" ht="112" hidden="1" customHeight="1" x14ac:dyDescent="0.25">
      <c r="A6898" t="s">
        <v>12974</v>
      </c>
      <c r="B6898" t="s">
        <v>12975</v>
      </c>
    </row>
    <row r="6899" spans="1:2" ht="112" hidden="1" customHeight="1" x14ac:dyDescent="0.25">
      <c r="A6899" t="s">
        <v>12976</v>
      </c>
      <c r="B6899" t="s">
        <v>12982</v>
      </c>
    </row>
    <row r="6900" spans="1:2" ht="112" hidden="1" customHeight="1" x14ac:dyDescent="0.25">
      <c r="A6900" t="s">
        <v>12977</v>
      </c>
      <c r="B6900" t="s">
        <v>12983</v>
      </c>
    </row>
    <row r="6901" spans="1:2" ht="112" hidden="1" customHeight="1" x14ac:dyDescent="0.25">
      <c r="A6901" t="s">
        <v>12978</v>
      </c>
      <c r="B6901" t="s">
        <v>12984</v>
      </c>
    </row>
    <row r="6902" spans="1:2" ht="112" hidden="1" customHeight="1" x14ac:dyDescent="0.25">
      <c r="A6902" t="s">
        <v>12979</v>
      </c>
      <c r="B6902" t="s">
        <v>12985</v>
      </c>
    </row>
    <row r="6903" spans="1:2" ht="112" hidden="1" customHeight="1" x14ac:dyDescent="0.25">
      <c r="A6903" t="s">
        <v>12980</v>
      </c>
      <c r="B6903" t="s">
        <v>12986</v>
      </c>
    </row>
    <row r="6904" spans="1:2" ht="112" hidden="1" customHeight="1" x14ac:dyDescent="0.25">
      <c r="A6904" t="s">
        <v>12981</v>
      </c>
      <c r="B6904" t="s">
        <v>12987</v>
      </c>
    </row>
    <row r="6905" spans="1:2" ht="112" hidden="1" customHeight="1" x14ac:dyDescent="0.25">
      <c r="A6905" t="s">
        <v>12988</v>
      </c>
      <c r="B6905" t="s">
        <v>12992</v>
      </c>
    </row>
    <row r="6906" spans="1:2" ht="112" hidden="1" customHeight="1" x14ac:dyDescent="0.25">
      <c r="A6906" t="s">
        <v>12989</v>
      </c>
      <c r="B6906" t="s">
        <v>12993</v>
      </c>
    </row>
    <row r="6907" spans="1:2" ht="112" hidden="1" customHeight="1" x14ac:dyDescent="0.25">
      <c r="A6907" t="s">
        <v>12990</v>
      </c>
      <c r="B6907" t="s">
        <v>12994</v>
      </c>
    </row>
    <row r="6908" spans="1:2" ht="112" hidden="1" customHeight="1" x14ac:dyDescent="0.25">
      <c r="A6908" t="s">
        <v>12991</v>
      </c>
      <c r="B6908" t="s">
        <v>12995</v>
      </c>
    </row>
    <row r="6909" spans="1:2" ht="112" hidden="1" customHeight="1" x14ac:dyDescent="0.25">
      <c r="A6909" t="s">
        <v>12999</v>
      </c>
      <c r="B6909" s="56" t="s">
        <v>13003</v>
      </c>
    </row>
    <row r="6910" spans="1:2" ht="112" hidden="1" customHeight="1" x14ac:dyDescent="0.25">
      <c r="A6910" t="s">
        <v>13000</v>
      </c>
      <c r="B6910" t="s">
        <v>13004</v>
      </c>
    </row>
    <row r="6911" spans="1:2" ht="112" hidden="1" customHeight="1" x14ac:dyDescent="0.25">
      <c r="A6911" t="s">
        <v>13001</v>
      </c>
      <c r="B6911" t="s">
        <v>13005</v>
      </c>
    </row>
    <row r="6912" spans="1:2" ht="112" hidden="1" customHeight="1" x14ac:dyDescent="0.25">
      <c r="A6912" t="s">
        <v>13002</v>
      </c>
      <c r="B6912" t="s">
        <v>13006</v>
      </c>
    </row>
    <row r="6913" spans="1:2" ht="112" hidden="1" customHeight="1" x14ac:dyDescent="0.25">
      <c r="A6913" t="s">
        <v>13009</v>
      </c>
      <c r="B6913" s="56" t="s">
        <v>13385</v>
      </c>
    </row>
    <row r="6914" spans="1:2" ht="112" hidden="1" customHeight="1" x14ac:dyDescent="0.25">
      <c r="A6914" t="s">
        <v>13010</v>
      </c>
      <c r="B6914" s="56" t="s">
        <v>13386</v>
      </c>
    </row>
    <row r="6915" spans="1:2" ht="112" hidden="1" customHeight="1" x14ac:dyDescent="0.25">
      <c r="A6915" t="s">
        <v>13011</v>
      </c>
      <c r="B6915" t="s">
        <v>13016</v>
      </c>
    </row>
    <row r="6916" spans="1:2" ht="112" hidden="1" customHeight="1" x14ac:dyDescent="0.25">
      <c r="A6916" t="s">
        <v>13012</v>
      </c>
      <c r="B6916" t="s">
        <v>13017</v>
      </c>
    </row>
    <row r="6917" spans="1:2" ht="112" hidden="1" customHeight="1" x14ac:dyDescent="0.25">
      <c r="A6917" t="s">
        <v>13013</v>
      </c>
      <c r="B6917" t="s">
        <v>13018</v>
      </c>
    </row>
    <row r="6918" spans="1:2" ht="112" hidden="1" customHeight="1" x14ac:dyDescent="0.25">
      <c r="A6918" t="s">
        <v>13014</v>
      </c>
      <c r="B6918" t="s">
        <v>13019</v>
      </c>
    </row>
    <row r="6919" spans="1:2" ht="112" hidden="1" customHeight="1" x14ac:dyDescent="0.25">
      <c r="A6919" t="s">
        <v>13015</v>
      </c>
      <c r="B6919" t="s">
        <v>13020</v>
      </c>
    </row>
    <row r="6920" spans="1:2" ht="112" hidden="1" customHeight="1" x14ac:dyDescent="0.25">
      <c r="A6920" t="s">
        <v>13022</v>
      </c>
      <c r="B6920" t="s">
        <v>13023</v>
      </c>
    </row>
    <row r="6921" spans="1:2" ht="112" hidden="1" customHeight="1" x14ac:dyDescent="0.25">
      <c r="A6921" t="s">
        <v>13024</v>
      </c>
      <c r="B6921" t="s">
        <v>13025</v>
      </c>
    </row>
    <row r="6922" spans="1:2" ht="112" hidden="1" customHeight="1" x14ac:dyDescent="0.25">
      <c r="A6922" t="s">
        <v>13033</v>
      </c>
      <c r="B6922" t="s">
        <v>13034</v>
      </c>
    </row>
    <row r="6923" spans="1:2" ht="112" hidden="1" customHeight="1" x14ac:dyDescent="0.25">
      <c r="A6923" t="s">
        <v>13030</v>
      </c>
      <c r="B6923" t="s">
        <v>13035</v>
      </c>
    </row>
    <row r="6924" spans="1:2" ht="112" hidden="1" customHeight="1" x14ac:dyDescent="0.25">
      <c r="A6924" t="s">
        <v>13031</v>
      </c>
      <c r="B6924" t="s">
        <v>13036</v>
      </c>
    </row>
    <row r="6925" spans="1:2" ht="112" hidden="1" customHeight="1" x14ac:dyDescent="0.25">
      <c r="A6925" t="s">
        <v>13032</v>
      </c>
      <c r="B6925" t="s">
        <v>13037</v>
      </c>
    </row>
    <row r="6926" spans="1:2" ht="112" hidden="1" customHeight="1" x14ac:dyDescent="0.25">
      <c r="A6926" t="s">
        <v>13040</v>
      </c>
      <c r="B6926" t="s">
        <v>13041</v>
      </c>
    </row>
    <row r="6927" spans="1:2" ht="112" hidden="1" customHeight="1" x14ac:dyDescent="0.25">
      <c r="A6927" t="s">
        <v>13042</v>
      </c>
      <c r="B6927" s="56" t="s">
        <v>13045</v>
      </c>
    </row>
    <row r="6928" spans="1:2" ht="112" hidden="1" customHeight="1" x14ac:dyDescent="0.25">
      <c r="A6928" t="s">
        <v>13043</v>
      </c>
      <c r="B6928" s="56" t="s">
        <v>13046</v>
      </c>
    </row>
    <row r="6929" spans="1:2" ht="112" hidden="1" customHeight="1" x14ac:dyDescent="0.25">
      <c r="A6929" t="s">
        <v>13044</v>
      </c>
      <c r="B6929" s="56" t="s">
        <v>13047</v>
      </c>
    </row>
    <row r="6930" spans="1:2" ht="112" hidden="1" customHeight="1" x14ac:dyDescent="0.25">
      <c r="A6930" t="s">
        <v>13048</v>
      </c>
      <c r="B6930" t="s">
        <v>13049</v>
      </c>
    </row>
    <row r="6931" spans="1:2" ht="112" hidden="1" customHeight="1" x14ac:dyDescent="0.25">
      <c r="A6931" t="s">
        <v>13053</v>
      </c>
      <c r="B6931" t="s">
        <v>13054</v>
      </c>
    </row>
    <row r="6932" spans="1:2" ht="112" hidden="1" customHeight="1" x14ac:dyDescent="0.25">
      <c r="A6932" t="s">
        <v>13050</v>
      </c>
      <c r="B6932" t="s">
        <v>13055</v>
      </c>
    </row>
    <row r="6933" spans="1:2" ht="112" hidden="1" customHeight="1" x14ac:dyDescent="0.25">
      <c r="A6933" t="s">
        <v>13051</v>
      </c>
      <c r="B6933" t="s">
        <v>13056</v>
      </c>
    </row>
    <row r="6934" spans="1:2" ht="112" hidden="1" customHeight="1" x14ac:dyDescent="0.25">
      <c r="A6934" t="s">
        <v>13052</v>
      </c>
      <c r="B6934" t="s">
        <v>13057</v>
      </c>
    </row>
    <row r="6935" spans="1:2" ht="112" hidden="1" customHeight="1" x14ac:dyDescent="0.25">
      <c r="A6935" t="s">
        <v>13058</v>
      </c>
      <c r="B6935" t="s">
        <v>13095</v>
      </c>
    </row>
    <row r="6936" spans="1:2" ht="112" hidden="1" customHeight="1" x14ac:dyDescent="0.25">
      <c r="A6936" t="s">
        <v>13059</v>
      </c>
      <c r="B6936" t="s">
        <v>13096</v>
      </c>
    </row>
    <row r="6937" spans="1:2" ht="112" hidden="1" customHeight="1" x14ac:dyDescent="0.25">
      <c r="A6937" t="s">
        <v>13060</v>
      </c>
      <c r="B6937" t="s">
        <v>13097</v>
      </c>
    </row>
    <row r="6938" spans="1:2" ht="112" hidden="1" customHeight="1" x14ac:dyDescent="0.25">
      <c r="A6938" t="s">
        <v>13061</v>
      </c>
      <c r="B6938" t="s">
        <v>13098</v>
      </c>
    </row>
    <row r="6939" spans="1:2" ht="112" hidden="1" customHeight="1" x14ac:dyDescent="0.25">
      <c r="A6939" t="s">
        <v>13062</v>
      </c>
      <c r="B6939" t="s">
        <v>13099</v>
      </c>
    </row>
    <row r="6940" spans="1:2" ht="112" hidden="1" customHeight="1" x14ac:dyDescent="0.25">
      <c r="A6940" t="s">
        <v>13063</v>
      </c>
      <c r="B6940" t="s">
        <v>13100</v>
      </c>
    </row>
    <row r="6941" spans="1:2" ht="112" hidden="1" customHeight="1" x14ac:dyDescent="0.25">
      <c r="A6941" t="s">
        <v>13064</v>
      </c>
      <c r="B6941" t="s">
        <v>13101</v>
      </c>
    </row>
    <row r="6942" spans="1:2" ht="112" hidden="1" customHeight="1" x14ac:dyDescent="0.25">
      <c r="A6942" t="s">
        <v>13065</v>
      </c>
      <c r="B6942" t="s">
        <v>13102</v>
      </c>
    </row>
    <row r="6943" spans="1:2" ht="112" hidden="1" customHeight="1" x14ac:dyDescent="0.25">
      <c r="A6943" t="s">
        <v>13066</v>
      </c>
      <c r="B6943" t="s">
        <v>13103</v>
      </c>
    </row>
    <row r="6944" spans="1:2" ht="112" hidden="1" customHeight="1" x14ac:dyDescent="0.25">
      <c r="A6944" t="s">
        <v>13067</v>
      </c>
      <c r="B6944" t="s">
        <v>13104</v>
      </c>
    </row>
    <row r="6945" spans="1:2" ht="112" hidden="1" customHeight="1" x14ac:dyDescent="0.25">
      <c r="A6945" t="s">
        <v>13068</v>
      </c>
      <c r="B6945" t="s">
        <v>13105</v>
      </c>
    </row>
    <row r="6946" spans="1:2" ht="112" hidden="1" customHeight="1" x14ac:dyDescent="0.25">
      <c r="A6946" t="s">
        <v>13069</v>
      </c>
      <c r="B6946" t="s">
        <v>13106</v>
      </c>
    </row>
    <row r="6947" spans="1:2" ht="112" hidden="1" customHeight="1" x14ac:dyDescent="0.25">
      <c r="A6947" t="s">
        <v>13070</v>
      </c>
      <c r="B6947" t="s">
        <v>13107</v>
      </c>
    </row>
    <row r="6948" spans="1:2" ht="112" hidden="1" customHeight="1" x14ac:dyDescent="0.25">
      <c r="A6948" t="s">
        <v>13071</v>
      </c>
      <c r="B6948" t="s">
        <v>13108</v>
      </c>
    </row>
    <row r="6949" spans="1:2" ht="112" hidden="1" customHeight="1" x14ac:dyDescent="0.25">
      <c r="A6949" t="s">
        <v>13072</v>
      </c>
      <c r="B6949" t="s">
        <v>13109</v>
      </c>
    </row>
    <row r="6950" spans="1:2" ht="112" hidden="1" customHeight="1" x14ac:dyDescent="0.25">
      <c r="A6950" t="s">
        <v>13073</v>
      </c>
      <c r="B6950" t="s">
        <v>13110</v>
      </c>
    </row>
    <row r="6951" spans="1:2" ht="112" hidden="1" customHeight="1" x14ac:dyDescent="0.25">
      <c r="A6951" t="s">
        <v>13074</v>
      </c>
      <c r="B6951" t="s">
        <v>13111</v>
      </c>
    </row>
    <row r="6952" spans="1:2" ht="112" hidden="1" customHeight="1" x14ac:dyDescent="0.25">
      <c r="A6952" t="s">
        <v>13075</v>
      </c>
      <c r="B6952" t="s">
        <v>13112</v>
      </c>
    </row>
    <row r="6953" spans="1:2" ht="112" hidden="1" customHeight="1" x14ac:dyDescent="0.25">
      <c r="A6953" t="s">
        <v>13076</v>
      </c>
      <c r="B6953" t="s">
        <v>13113</v>
      </c>
    </row>
    <row r="6954" spans="1:2" ht="112" hidden="1" customHeight="1" x14ac:dyDescent="0.25">
      <c r="A6954" t="s">
        <v>13077</v>
      </c>
      <c r="B6954" t="s">
        <v>13114</v>
      </c>
    </row>
    <row r="6955" spans="1:2" ht="112" hidden="1" customHeight="1" x14ac:dyDescent="0.25">
      <c r="A6955" t="s">
        <v>13078</v>
      </c>
      <c r="B6955" t="s">
        <v>13115</v>
      </c>
    </row>
    <row r="6956" spans="1:2" ht="112" hidden="1" customHeight="1" x14ac:dyDescent="0.25">
      <c r="A6956" t="s">
        <v>13079</v>
      </c>
      <c r="B6956" t="s">
        <v>13116</v>
      </c>
    </row>
    <row r="6957" spans="1:2" ht="112" hidden="1" customHeight="1" x14ac:dyDescent="0.25">
      <c r="A6957" t="s">
        <v>13080</v>
      </c>
      <c r="B6957" t="s">
        <v>13117</v>
      </c>
    </row>
    <row r="6958" spans="1:2" ht="112" hidden="1" customHeight="1" x14ac:dyDescent="0.25">
      <c r="A6958" t="s">
        <v>13081</v>
      </c>
      <c r="B6958" t="s">
        <v>13118</v>
      </c>
    </row>
    <row r="6959" spans="1:2" ht="112" hidden="1" customHeight="1" x14ac:dyDescent="0.25">
      <c r="A6959" t="s">
        <v>13082</v>
      </c>
      <c r="B6959" t="s">
        <v>13119</v>
      </c>
    </row>
    <row r="6960" spans="1:2" ht="112" hidden="1" customHeight="1" x14ac:dyDescent="0.25">
      <c r="A6960" t="s">
        <v>13083</v>
      </c>
      <c r="B6960" t="s">
        <v>13120</v>
      </c>
    </row>
    <row r="6961" spans="1:2" ht="112" hidden="1" customHeight="1" x14ac:dyDescent="0.25">
      <c r="A6961" t="s">
        <v>13084</v>
      </c>
      <c r="B6961" t="s">
        <v>13121</v>
      </c>
    </row>
    <row r="6962" spans="1:2" ht="112" hidden="1" customHeight="1" x14ac:dyDescent="0.25">
      <c r="A6962" t="s">
        <v>13085</v>
      </c>
      <c r="B6962" t="s">
        <v>13122</v>
      </c>
    </row>
    <row r="6963" spans="1:2" ht="112" hidden="1" customHeight="1" x14ac:dyDescent="0.25">
      <c r="A6963" t="s">
        <v>13086</v>
      </c>
      <c r="B6963" t="s">
        <v>13123</v>
      </c>
    </row>
    <row r="6964" spans="1:2" ht="112" hidden="1" customHeight="1" x14ac:dyDescent="0.25">
      <c r="A6964" t="s">
        <v>13087</v>
      </c>
      <c r="B6964" t="s">
        <v>13124</v>
      </c>
    </row>
    <row r="6965" spans="1:2" ht="112" hidden="1" customHeight="1" x14ac:dyDescent="0.25">
      <c r="A6965" t="s">
        <v>13088</v>
      </c>
      <c r="B6965" t="s">
        <v>13125</v>
      </c>
    </row>
    <row r="6966" spans="1:2" ht="112" hidden="1" customHeight="1" x14ac:dyDescent="0.25">
      <c r="A6966" t="s">
        <v>13089</v>
      </c>
      <c r="B6966" t="s">
        <v>13126</v>
      </c>
    </row>
    <row r="6967" spans="1:2" ht="112" hidden="1" customHeight="1" x14ac:dyDescent="0.25">
      <c r="A6967" t="s">
        <v>13090</v>
      </c>
      <c r="B6967" t="s">
        <v>13127</v>
      </c>
    </row>
    <row r="6968" spans="1:2" ht="112" hidden="1" customHeight="1" x14ac:dyDescent="0.25">
      <c r="A6968" t="s">
        <v>13091</v>
      </c>
      <c r="B6968" t="s">
        <v>13128</v>
      </c>
    </row>
    <row r="6969" spans="1:2" ht="112" hidden="1" customHeight="1" x14ac:dyDescent="0.25">
      <c r="A6969" t="s">
        <v>13092</v>
      </c>
      <c r="B6969" t="s">
        <v>13129</v>
      </c>
    </row>
    <row r="6970" spans="1:2" ht="112" hidden="1" customHeight="1" x14ac:dyDescent="0.25">
      <c r="A6970" t="s">
        <v>13093</v>
      </c>
      <c r="B6970" t="s">
        <v>13130</v>
      </c>
    </row>
    <row r="6971" spans="1:2" ht="112" hidden="1" customHeight="1" x14ac:dyDescent="0.25">
      <c r="A6971" t="s">
        <v>13094</v>
      </c>
      <c r="B6971" t="s">
        <v>13131</v>
      </c>
    </row>
    <row r="6972" spans="1:2" ht="112" hidden="1" customHeight="1" x14ac:dyDescent="0.25">
      <c r="A6972" t="s">
        <v>13132</v>
      </c>
      <c r="B6972" t="s">
        <v>13133</v>
      </c>
    </row>
    <row r="6973" spans="1:2" ht="112" hidden="1" customHeight="1" x14ac:dyDescent="0.25">
      <c r="A6973" t="s">
        <v>13134</v>
      </c>
      <c r="B6973" s="56" t="s">
        <v>13137</v>
      </c>
    </row>
    <row r="6974" spans="1:2" ht="112" hidden="1" customHeight="1" x14ac:dyDescent="0.25">
      <c r="A6974" t="s">
        <v>13135</v>
      </c>
      <c r="B6974" s="56" t="s">
        <v>13604</v>
      </c>
    </row>
    <row r="6975" spans="1:2" ht="112" hidden="1" customHeight="1" x14ac:dyDescent="0.25">
      <c r="A6975" t="s">
        <v>13136</v>
      </c>
      <c r="B6975" s="56" t="s">
        <v>13605</v>
      </c>
    </row>
    <row r="6976" spans="1:2" ht="112" hidden="1" customHeight="1" x14ac:dyDescent="0.25">
      <c r="A6976" t="s">
        <v>13138</v>
      </c>
      <c r="B6976" t="s">
        <v>13141</v>
      </c>
    </row>
    <row r="6977" spans="1:2" ht="112" hidden="1" customHeight="1" x14ac:dyDescent="0.25">
      <c r="A6977" t="s">
        <v>13139</v>
      </c>
      <c r="B6977" t="s">
        <v>13142</v>
      </c>
    </row>
    <row r="6978" spans="1:2" ht="112" hidden="1" customHeight="1" x14ac:dyDescent="0.25">
      <c r="A6978" t="s">
        <v>13140</v>
      </c>
      <c r="B6978" t="s">
        <v>13143</v>
      </c>
    </row>
    <row r="6979" spans="1:2" ht="112" hidden="1" customHeight="1" x14ac:dyDescent="0.25">
      <c r="A6979" t="s">
        <v>13144</v>
      </c>
      <c r="B6979" t="s">
        <v>13145</v>
      </c>
    </row>
    <row r="6980" spans="1:2" ht="112" hidden="1" customHeight="1" x14ac:dyDescent="0.25">
      <c r="A6980" t="s">
        <v>13146</v>
      </c>
      <c r="B6980" t="s">
        <v>13154</v>
      </c>
    </row>
    <row r="6981" spans="1:2" ht="112" hidden="1" customHeight="1" x14ac:dyDescent="0.25">
      <c r="A6981" t="s">
        <v>13147</v>
      </c>
      <c r="B6981" t="s">
        <v>13155</v>
      </c>
    </row>
    <row r="6982" spans="1:2" ht="112" hidden="1" customHeight="1" x14ac:dyDescent="0.25">
      <c r="A6982" t="s">
        <v>13148</v>
      </c>
      <c r="B6982" t="s">
        <v>13156</v>
      </c>
    </row>
    <row r="6983" spans="1:2" ht="112" hidden="1" customHeight="1" x14ac:dyDescent="0.25">
      <c r="A6983" t="s">
        <v>13149</v>
      </c>
      <c r="B6983" t="s">
        <v>13157</v>
      </c>
    </row>
    <row r="6984" spans="1:2" ht="112" hidden="1" customHeight="1" x14ac:dyDescent="0.25">
      <c r="A6984" t="s">
        <v>13150</v>
      </c>
      <c r="B6984" t="s">
        <v>13158</v>
      </c>
    </row>
    <row r="6985" spans="1:2" ht="112" hidden="1" customHeight="1" x14ac:dyDescent="0.25">
      <c r="A6985" t="s">
        <v>13151</v>
      </c>
      <c r="B6985" t="s">
        <v>13159</v>
      </c>
    </row>
    <row r="6986" spans="1:2" ht="112" hidden="1" customHeight="1" x14ac:dyDescent="0.25">
      <c r="A6986" t="s">
        <v>13152</v>
      </c>
      <c r="B6986" t="s">
        <v>13160</v>
      </c>
    </row>
    <row r="6987" spans="1:2" ht="112" hidden="1" customHeight="1" x14ac:dyDescent="0.25">
      <c r="A6987" t="s">
        <v>13153</v>
      </c>
      <c r="B6987" t="s">
        <v>13161</v>
      </c>
    </row>
    <row r="6988" spans="1:2" ht="112" hidden="1" customHeight="1" x14ac:dyDescent="0.25">
      <c r="A6988" t="s">
        <v>13162</v>
      </c>
      <c r="B6988" t="s">
        <v>13163</v>
      </c>
    </row>
    <row r="6989" spans="1:2" ht="112" hidden="1" customHeight="1" x14ac:dyDescent="0.25">
      <c r="A6989" t="s">
        <v>13164</v>
      </c>
      <c r="B6989" t="s">
        <v>13165</v>
      </c>
    </row>
    <row r="6990" spans="1:2" ht="112" hidden="1" customHeight="1" x14ac:dyDescent="0.25">
      <c r="A6990" t="s">
        <v>13169</v>
      </c>
      <c r="B6990" t="s">
        <v>13171</v>
      </c>
    </row>
    <row r="6991" spans="1:2" ht="112" hidden="1" customHeight="1" x14ac:dyDescent="0.25">
      <c r="A6991" t="s">
        <v>13170</v>
      </c>
      <c r="B6991" s="56" t="s">
        <v>13174</v>
      </c>
    </row>
    <row r="6992" spans="1:2" ht="112" hidden="1" customHeight="1" x14ac:dyDescent="0.25">
      <c r="A6992" t="s">
        <v>13172</v>
      </c>
      <c r="B6992" s="56" t="s">
        <v>13173</v>
      </c>
    </row>
    <row r="6993" spans="1:2" ht="112" hidden="1" customHeight="1" x14ac:dyDescent="0.25">
      <c r="A6993" t="s">
        <v>13175</v>
      </c>
      <c r="B6993" t="s">
        <v>13177</v>
      </c>
    </row>
    <row r="6994" spans="1:2" ht="112" hidden="1" customHeight="1" x14ac:dyDescent="0.25">
      <c r="A6994" t="s">
        <v>13176</v>
      </c>
      <c r="B6994" t="s">
        <v>13178</v>
      </c>
    </row>
    <row r="6995" spans="1:2" ht="112" hidden="1" customHeight="1" x14ac:dyDescent="0.25">
      <c r="A6995" t="s">
        <v>13183</v>
      </c>
      <c r="B6995" s="56" t="s">
        <v>13338</v>
      </c>
    </row>
    <row r="6996" spans="1:2" ht="112" hidden="1" customHeight="1" x14ac:dyDescent="0.25">
      <c r="A6996" t="s">
        <v>13184</v>
      </c>
      <c r="B6996" t="s">
        <v>13185</v>
      </c>
    </row>
    <row r="6997" spans="1:2" ht="112" hidden="1" customHeight="1" x14ac:dyDescent="0.25">
      <c r="A6997" t="s">
        <v>13186</v>
      </c>
      <c r="B6997" s="56" t="s">
        <v>13348</v>
      </c>
    </row>
    <row r="6998" spans="1:2" ht="112" hidden="1" customHeight="1" x14ac:dyDescent="0.25">
      <c r="A6998" t="s">
        <v>13187</v>
      </c>
      <c r="B6998" s="56" t="s">
        <v>13349</v>
      </c>
    </row>
    <row r="6999" spans="1:2" ht="112" hidden="1" customHeight="1" x14ac:dyDescent="0.25">
      <c r="A6999" t="s">
        <v>13188</v>
      </c>
      <c r="B6999" t="s">
        <v>13194</v>
      </c>
    </row>
    <row r="7000" spans="1:2" ht="112" hidden="1" customHeight="1" x14ac:dyDescent="0.25">
      <c r="A7000" t="s">
        <v>13189</v>
      </c>
      <c r="B7000" t="s">
        <v>13195</v>
      </c>
    </row>
    <row r="7001" spans="1:2" ht="112" hidden="1" customHeight="1" x14ac:dyDescent="0.25">
      <c r="A7001" t="s">
        <v>13190</v>
      </c>
      <c r="B7001" s="56" t="s">
        <v>13351</v>
      </c>
    </row>
    <row r="7002" spans="1:2" ht="112" hidden="1" customHeight="1" x14ac:dyDescent="0.25">
      <c r="A7002" t="s">
        <v>13191</v>
      </c>
      <c r="B7002" s="56" t="s">
        <v>13350</v>
      </c>
    </row>
    <row r="7003" spans="1:2" ht="112" hidden="1" customHeight="1" x14ac:dyDescent="0.25">
      <c r="A7003" t="s">
        <v>13196</v>
      </c>
      <c r="B7003" t="s">
        <v>13197</v>
      </c>
    </row>
    <row r="7004" spans="1:2" ht="112" hidden="1" customHeight="1" x14ac:dyDescent="0.25">
      <c r="A7004" t="s">
        <v>13192</v>
      </c>
      <c r="B7004" t="s">
        <v>13198</v>
      </c>
    </row>
    <row r="7005" spans="1:2" ht="112" hidden="1" customHeight="1" x14ac:dyDescent="0.25">
      <c r="A7005" t="s">
        <v>13199</v>
      </c>
      <c r="B7005" t="s">
        <v>13200</v>
      </c>
    </row>
    <row r="7006" spans="1:2" ht="112" hidden="1" customHeight="1" x14ac:dyDescent="0.25">
      <c r="A7006" t="s">
        <v>13193</v>
      </c>
      <c r="B7006" t="s">
        <v>13201</v>
      </c>
    </row>
    <row r="7007" spans="1:2" ht="112" hidden="1" customHeight="1" x14ac:dyDescent="0.25">
      <c r="A7007" t="s">
        <v>13202</v>
      </c>
      <c r="B7007" t="s">
        <v>13203</v>
      </c>
    </row>
    <row r="7008" spans="1:2" ht="112" hidden="1" customHeight="1" x14ac:dyDescent="0.25">
      <c r="A7008" t="s">
        <v>13204</v>
      </c>
      <c r="B7008" t="s">
        <v>13205</v>
      </c>
    </row>
    <row r="7009" spans="1:2" ht="112" hidden="1" customHeight="1" x14ac:dyDescent="0.25">
      <c r="A7009" t="s">
        <v>13208</v>
      </c>
      <c r="B7009" t="s">
        <v>13236</v>
      </c>
    </row>
    <row r="7010" spans="1:2" ht="112" hidden="1" customHeight="1" x14ac:dyDescent="0.25">
      <c r="A7010" t="s">
        <v>13209</v>
      </c>
      <c r="B7010" t="s">
        <v>13237</v>
      </c>
    </row>
    <row r="7011" spans="1:2" ht="112" hidden="1" customHeight="1" x14ac:dyDescent="0.25">
      <c r="A7011" t="s">
        <v>13210</v>
      </c>
      <c r="B7011" t="s">
        <v>13238</v>
      </c>
    </row>
    <row r="7012" spans="1:2" ht="112" hidden="1" customHeight="1" x14ac:dyDescent="0.25">
      <c r="A7012" t="s">
        <v>13211</v>
      </c>
      <c r="B7012" t="s">
        <v>13239</v>
      </c>
    </row>
    <row r="7013" spans="1:2" ht="112" hidden="1" customHeight="1" x14ac:dyDescent="0.25">
      <c r="A7013" t="s">
        <v>13212</v>
      </c>
      <c r="B7013" t="s">
        <v>13240</v>
      </c>
    </row>
    <row r="7014" spans="1:2" ht="112" hidden="1" customHeight="1" x14ac:dyDescent="0.25">
      <c r="A7014" t="s">
        <v>13213</v>
      </c>
      <c r="B7014" t="s">
        <v>13241</v>
      </c>
    </row>
    <row r="7015" spans="1:2" ht="112" hidden="1" customHeight="1" x14ac:dyDescent="0.25">
      <c r="A7015" t="s">
        <v>13214</v>
      </c>
      <c r="B7015" t="s">
        <v>13242</v>
      </c>
    </row>
    <row r="7016" spans="1:2" ht="112" hidden="1" customHeight="1" x14ac:dyDescent="0.25">
      <c r="A7016" t="s">
        <v>13215</v>
      </c>
      <c r="B7016" t="s">
        <v>13243</v>
      </c>
    </row>
    <row r="7017" spans="1:2" ht="112" hidden="1" customHeight="1" x14ac:dyDescent="0.25">
      <c r="A7017" t="s">
        <v>13216</v>
      </c>
      <c r="B7017" t="s">
        <v>13244</v>
      </c>
    </row>
    <row r="7018" spans="1:2" ht="112" hidden="1" customHeight="1" x14ac:dyDescent="0.25">
      <c r="A7018" t="s">
        <v>13217</v>
      </c>
      <c r="B7018" t="s">
        <v>13245</v>
      </c>
    </row>
    <row r="7019" spans="1:2" ht="112" hidden="1" customHeight="1" x14ac:dyDescent="0.25">
      <c r="A7019" t="s">
        <v>13218</v>
      </c>
      <c r="B7019" t="s">
        <v>13246</v>
      </c>
    </row>
    <row r="7020" spans="1:2" ht="112" hidden="1" customHeight="1" x14ac:dyDescent="0.25">
      <c r="A7020" t="s">
        <v>13219</v>
      </c>
      <c r="B7020" t="s">
        <v>13247</v>
      </c>
    </row>
    <row r="7021" spans="1:2" ht="112" hidden="1" customHeight="1" x14ac:dyDescent="0.25">
      <c r="A7021" t="s">
        <v>13220</v>
      </c>
      <c r="B7021" t="s">
        <v>13248</v>
      </c>
    </row>
    <row r="7022" spans="1:2" ht="112" hidden="1" customHeight="1" x14ac:dyDescent="0.25">
      <c r="A7022" t="s">
        <v>13221</v>
      </c>
      <c r="B7022" t="s">
        <v>13249</v>
      </c>
    </row>
    <row r="7023" spans="1:2" ht="112" hidden="1" customHeight="1" x14ac:dyDescent="0.25">
      <c r="A7023" t="s">
        <v>13222</v>
      </c>
      <c r="B7023" s="56" t="s">
        <v>13340</v>
      </c>
    </row>
    <row r="7024" spans="1:2" ht="112" hidden="1" customHeight="1" x14ac:dyDescent="0.25">
      <c r="A7024" t="s">
        <v>13223</v>
      </c>
      <c r="B7024" t="s">
        <v>13250</v>
      </c>
    </row>
    <row r="7025" spans="1:2" ht="112" hidden="1" customHeight="1" x14ac:dyDescent="0.25">
      <c r="A7025" t="s">
        <v>13224</v>
      </c>
      <c r="B7025" t="s">
        <v>13251</v>
      </c>
    </row>
    <row r="7026" spans="1:2" ht="112" hidden="1" customHeight="1" x14ac:dyDescent="0.25">
      <c r="A7026" t="s">
        <v>13225</v>
      </c>
      <c r="B7026" t="s">
        <v>13252</v>
      </c>
    </row>
    <row r="7027" spans="1:2" ht="112" hidden="1" customHeight="1" x14ac:dyDescent="0.25">
      <c r="A7027" t="s">
        <v>13226</v>
      </c>
      <c r="B7027" t="s">
        <v>13253</v>
      </c>
    </row>
    <row r="7028" spans="1:2" ht="112" hidden="1" customHeight="1" x14ac:dyDescent="0.25">
      <c r="A7028" t="s">
        <v>13227</v>
      </c>
      <c r="B7028" t="s">
        <v>13254</v>
      </c>
    </row>
    <row r="7029" spans="1:2" ht="112" hidden="1" customHeight="1" x14ac:dyDescent="0.25">
      <c r="A7029" t="s">
        <v>13228</v>
      </c>
      <c r="B7029" t="s">
        <v>13255</v>
      </c>
    </row>
    <row r="7030" spans="1:2" ht="112" hidden="1" customHeight="1" x14ac:dyDescent="0.25">
      <c r="A7030" t="s">
        <v>13229</v>
      </c>
      <c r="B7030" s="56" t="s">
        <v>13339</v>
      </c>
    </row>
    <row r="7031" spans="1:2" ht="112" hidden="1" customHeight="1" x14ac:dyDescent="0.25">
      <c r="A7031" t="s">
        <v>13230</v>
      </c>
      <c r="B7031" t="s">
        <v>13256</v>
      </c>
    </row>
    <row r="7032" spans="1:2" ht="112" hidden="1" customHeight="1" x14ac:dyDescent="0.25">
      <c r="A7032" t="s">
        <v>13231</v>
      </c>
      <c r="B7032" s="56" t="s">
        <v>13263</v>
      </c>
    </row>
    <row r="7033" spans="1:2" ht="112" hidden="1" customHeight="1" x14ac:dyDescent="0.25">
      <c r="A7033" t="s">
        <v>13232</v>
      </c>
      <c r="B7033" t="s">
        <v>13257</v>
      </c>
    </row>
    <row r="7034" spans="1:2" ht="112" hidden="1" customHeight="1" x14ac:dyDescent="0.25">
      <c r="A7034" t="s">
        <v>13233</v>
      </c>
      <c r="B7034" t="s">
        <v>13258</v>
      </c>
    </row>
    <row r="7035" spans="1:2" ht="112" hidden="1" customHeight="1" x14ac:dyDescent="0.25">
      <c r="A7035" t="s">
        <v>13234</v>
      </c>
      <c r="B7035" t="s">
        <v>13259</v>
      </c>
    </row>
    <row r="7036" spans="1:2" ht="112" hidden="1" customHeight="1" x14ac:dyDescent="0.25">
      <c r="A7036" t="s">
        <v>13235</v>
      </c>
      <c r="B7036" t="s">
        <v>13260</v>
      </c>
    </row>
    <row r="7037" spans="1:2" ht="112" hidden="1" customHeight="1" x14ac:dyDescent="0.25">
      <c r="A7037" t="s">
        <v>13261</v>
      </c>
      <c r="B7037" s="56" t="s">
        <v>13262</v>
      </c>
    </row>
    <row r="7038" spans="1:2" ht="112" hidden="1" customHeight="1" x14ac:dyDescent="0.25">
      <c r="A7038" t="s">
        <v>13264</v>
      </c>
      <c r="B7038" t="s">
        <v>13300</v>
      </c>
    </row>
    <row r="7039" spans="1:2" ht="112" hidden="1" customHeight="1" x14ac:dyDescent="0.25">
      <c r="A7039" t="s">
        <v>13265</v>
      </c>
      <c r="B7039" t="s">
        <v>13301</v>
      </c>
    </row>
    <row r="7040" spans="1:2" ht="112" hidden="1" customHeight="1" x14ac:dyDescent="0.25">
      <c r="A7040" t="s">
        <v>13266</v>
      </c>
      <c r="B7040" t="s">
        <v>13302</v>
      </c>
    </row>
    <row r="7041" spans="1:2" ht="112" hidden="1" customHeight="1" x14ac:dyDescent="0.25">
      <c r="A7041" t="s">
        <v>13267</v>
      </c>
      <c r="B7041" t="s">
        <v>13303</v>
      </c>
    </row>
    <row r="7042" spans="1:2" ht="112" hidden="1" customHeight="1" x14ac:dyDescent="0.25">
      <c r="A7042" t="s">
        <v>13268</v>
      </c>
      <c r="B7042" t="s">
        <v>13304</v>
      </c>
    </row>
    <row r="7043" spans="1:2" ht="112" hidden="1" customHeight="1" x14ac:dyDescent="0.25">
      <c r="A7043" t="s">
        <v>13268</v>
      </c>
      <c r="B7043" t="s">
        <v>13304</v>
      </c>
    </row>
    <row r="7044" spans="1:2" ht="112" hidden="1" customHeight="1" x14ac:dyDescent="0.25">
      <c r="A7044" t="s">
        <v>13269</v>
      </c>
      <c r="B7044" t="s">
        <v>13305</v>
      </c>
    </row>
    <row r="7045" spans="1:2" ht="112" hidden="1" customHeight="1" x14ac:dyDescent="0.25">
      <c r="A7045" t="s">
        <v>13270</v>
      </c>
      <c r="B7045" t="s">
        <v>13306</v>
      </c>
    </row>
    <row r="7046" spans="1:2" ht="112" hidden="1" customHeight="1" x14ac:dyDescent="0.25">
      <c r="A7046" t="s">
        <v>13271</v>
      </c>
      <c r="B7046" t="s">
        <v>13307</v>
      </c>
    </row>
    <row r="7047" spans="1:2" ht="112" hidden="1" customHeight="1" x14ac:dyDescent="0.25">
      <c r="A7047" t="s">
        <v>13272</v>
      </c>
      <c r="B7047" t="s">
        <v>13308</v>
      </c>
    </row>
    <row r="7048" spans="1:2" ht="112" hidden="1" customHeight="1" x14ac:dyDescent="0.25">
      <c r="A7048" t="s">
        <v>13273</v>
      </c>
      <c r="B7048" t="s">
        <v>13309</v>
      </c>
    </row>
    <row r="7049" spans="1:2" ht="112" hidden="1" customHeight="1" x14ac:dyDescent="0.25">
      <c r="A7049" t="s">
        <v>13274</v>
      </c>
      <c r="B7049" t="s">
        <v>13310</v>
      </c>
    </row>
    <row r="7050" spans="1:2" ht="112" hidden="1" customHeight="1" x14ac:dyDescent="0.25">
      <c r="A7050" t="s">
        <v>13275</v>
      </c>
      <c r="B7050" t="s">
        <v>13311</v>
      </c>
    </row>
    <row r="7051" spans="1:2" ht="112" hidden="1" customHeight="1" x14ac:dyDescent="0.25">
      <c r="A7051" t="s">
        <v>13276</v>
      </c>
      <c r="B7051" t="s">
        <v>13312</v>
      </c>
    </row>
    <row r="7052" spans="1:2" ht="112" hidden="1" customHeight="1" x14ac:dyDescent="0.25">
      <c r="A7052" t="s">
        <v>13277</v>
      </c>
      <c r="B7052" t="s">
        <v>13313</v>
      </c>
    </row>
    <row r="7053" spans="1:2" ht="112" hidden="1" customHeight="1" x14ac:dyDescent="0.25">
      <c r="A7053" t="s">
        <v>13278</v>
      </c>
      <c r="B7053" t="s">
        <v>13314</v>
      </c>
    </row>
    <row r="7054" spans="1:2" ht="112" hidden="1" customHeight="1" x14ac:dyDescent="0.25">
      <c r="A7054" t="s">
        <v>13279</v>
      </c>
      <c r="B7054" t="s">
        <v>13315</v>
      </c>
    </row>
    <row r="7055" spans="1:2" ht="112" hidden="1" customHeight="1" x14ac:dyDescent="0.25">
      <c r="A7055" t="s">
        <v>13280</v>
      </c>
      <c r="B7055" t="s">
        <v>13316</v>
      </c>
    </row>
    <row r="7056" spans="1:2" ht="112" hidden="1" customHeight="1" x14ac:dyDescent="0.25">
      <c r="A7056" t="s">
        <v>13281</v>
      </c>
      <c r="B7056" t="s">
        <v>13317</v>
      </c>
    </row>
    <row r="7057" spans="1:2" ht="112" hidden="1" customHeight="1" x14ac:dyDescent="0.25">
      <c r="A7057" t="s">
        <v>13282</v>
      </c>
      <c r="B7057" t="s">
        <v>13318</v>
      </c>
    </row>
    <row r="7058" spans="1:2" ht="112" hidden="1" customHeight="1" x14ac:dyDescent="0.25">
      <c r="A7058" t="s">
        <v>13283</v>
      </c>
      <c r="B7058" t="s">
        <v>13319</v>
      </c>
    </row>
    <row r="7059" spans="1:2" ht="112" hidden="1" customHeight="1" x14ac:dyDescent="0.25">
      <c r="A7059" t="s">
        <v>13284</v>
      </c>
      <c r="B7059" t="s">
        <v>13320</v>
      </c>
    </row>
    <row r="7060" spans="1:2" ht="112" hidden="1" customHeight="1" x14ac:dyDescent="0.25">
      <c r="A7060" t="s">
        <v>13285</v>
      </c>
      <c r="B7060" t="s">
        <v>13321</v>
      </c>
    </row>
    <row r="7061" spans="1:2" ht="112" hidden="1" customHeight="1" x14ac:dyDescent="0.25">
      <c r="A7061" t="s">
        <v>13286</v>
      </c>
      <c r="B7061" t="s">
        <v>13322</v>
      </c>
    </row>
    <row r="7062" spans="1:2" ht="112" hidden="1" customHeight="1" x14ac:dyDescent="0.25">
      <c r="A7062" t="s">
        <v>13287</v>
      </c>
      <c r="B7062" t="s">
        <v>13323</v>
      </c>
    </row>
    <row r="7063" spans="1:2" ht="112" hidden="1" customHeight="1" x14ac:dyDescent="0.25">
      <c r="A7063" t="s">
        <v>13288</v>
      </c>
      <c r="B7063" t="s">
        <v>13324</v>
      </c>
    </row>
    <row r="7064" spans="1:2" ht="112" hidden="1" customHeight="1" x14ac:dyDescent="0.25">
      <c r="A7064" t="s">
        <v>13289</v>
      </c>
      <c r="B7064" t="s">
        <v>13325</v>
      </c>
    </row>
    <row r="7065" spans="1:2" ht="112" hidden="1" customHeight="1" x14ac:dyDescent="0.25">
      <c r="A7065" t="s">
        <v>13290</v>
      </c>
      <c r="B7065" t="s">
        <v>13326</v>
      </c>
    </row>
    <row r="7066" spans="1:2" ht="112" hidden="1" customHeight="1" x14ac:dyDescent="0.25">
      <c r="A7066" t="s">
        <v>13291</v>
      </c>
      <c r="B7066" t="s">
        <v>13327</v>
      </c>
    </row>
    <row r="7067" spans="1:2" ht="112" hidden="1" customHeight="1" x14ac:dyDescent="0.25">
      <c r="A7067" t="s">
        <v>13292</v>
      </c>
      <c r="B7067" t="s">
        <v>13328</v>
      </c>
    </row>
    <row r="7068" spans="1:2" ht="112" hidden="1" customHeight="1" x14ac:dyDescent="0.25">
      <c r="A7068" t="s">
        <v>13293</v>
      </c>
      <c r="B7068" t="s">
        <v>13329</v>
      </c>
    </row>
    <row r="7069" spans="1:2" ht="112" hidden="1" customHeight="1" x14ac:dyDescent="0.25">
      <c r="A7069" t="s">
        <v>13294</v>
      </c>
      <c r="B7069" t="s">
        <v>13330</v>
      </c>
    </row>
    <row r="7070" spans="1:2" ht="112" hidden="1" customHeight="1" x14ac:dyDescent="0.25">
      <c r="A7070" t="s">
        <v>13295</v>
      </c>
      <c r="B7070" t="s">
        <v>13331</v>
      </c>
    </row>
    <row r="7071" spans="1:2" ht="112" hidden="1" customHeight="1" x14ac:dyDescent="0.25">
      <c r="A7071" t="s">
        <v>13296</v>
      </c>
      <c r="B7071" t="s">
        <v>13332</v>
      </c>
    </row>
    <row r="7072" spans="1:2" ht="112" hidden="1" customHeight="1" x14ac:dyDescent="0.25">
      <c r="A7072" t="s">
        <v>13297</v>
      </c>
      <c r="B7072" t="s">
        <v>13333</v>
      </c>
    </row>
    <row r="7073" spans="1:2" ht="112" hidden="1" customHeight="1" x14ac:dyDescent="0.25">
      <c r="A7073" t="s">
        <v>13298</v>
      </c>
      <c r="B7073" t="s">
        <v>13334</v>
      </c>
    </row>
    <row r="7074" spans="1:2" ht="112" hidden="1" customHeight="1" x14ac:dyDescent="0.25">
      <c r="A7074" t="s">
        <v>13299</v>
      </c>
      <c r="B7074" t="s">
        <v>13335</v>
      </c>
    </row>
    <row r="7075" spans="1:2" ht="112" hidden="1" customHeight="1" x14ac:dyDescent="0.25">
      <c r="A7075" t="s">
        <v>13336</v>
      </c>
      <c r="B7075" t="s">
        <v>13337</v>
      </c>
    </row>
    <row r="7076" spans="1:2" ht="112" hidden="1" customHeight="1" x14ac:dyDescent="0.25">
      <c r="A7076" t="s">
        <v>13341</v>
      </c>
      <c r="B7076" t="s">
        <v>13342</v>
      </c>
    </row>
    <row r="7077" spans="1:2" ht="112" hidden="1" customHeight="1" x14ac:dyDescent="0.25">
      <c r="A7077" t="s">
        <v>13343</v>
      </c>
      <c r="B7077" t="s">
        <v>13344</v>
      </c>
    </row>
    <row r="7078" spans="1:2" ht="112" hidden="1" customHeight="1" x14ac:dyDescent="0.25">
      <c r="A7078" t="s">
        <v>13345</v>
      </c>
      <c r="B7078" s="56" t="s">
        <v>13352</v>
      </c>
    </row>
    <row r="7079" spans="1:2" ht="112" hidden="1" customHeight="1" x14ac:dyDescent="0.25">
      <c r="A7079" t="s">
        <v>13346</v>
      </c>
      <c r="B7079" t="s">
        <v>13347</v>
      </c>
    </row>
    <row r="7080" spans="1:2" ht="112" hidden="1" customHeight="1" x14ac:dyDescent="0.25">
      <c r="A7080" t="s">
        <v>13353</v>
      </c>
      <c r="B7080" t="s">
        <v>13355</v>
      </c>
    </row>
    <row r="7081" spans="1:2" ht="112" hidden="1" customHeight="1" x14ac:dyDescent="0.25">
      <c r="A7081" t="s">
        <v>13354</v>
      </c>
      <c r="B7081" t="s">
        <v>13356</v>
      </c>
    </row>
    <row r="7082" spans="1:2" ht="112" hidden="1" customHeight="1" x14ac:dyDescent="0.25">
      <c r="A7082" t="s">
        <v>13357</v>
      </c>
      <c r="B7082" t="s">
        <v>13358</v>
      </c>
    </row>
    <row r="7083" spans="1:2" ht="112" hidden="1" customHeight="1" x14ac:dyDescent="0.25">
      <c r="A7083" t="s">
        <v>13359</v>
      </c>
      <c r="B7083" t="s">
        <v>13360</v>
      </c>
    </row>
    <row r="7084" spans="1:2" ht="112" hidden="1" customHeight="1" x14ac:dyDescent="0.25">
      <c r="A7084" t="s">
        <v>13282</v>
      </c>
      <c r="B7084" t="s">
        <v>13318</v>
      </c>
    </row>
    <row r="7085" spans="1:2" ht="112" hidden="1" customHeight="1" x14ac:dyDescent="0.25">
      <c r="A7085" t="s">
        <v>13361</v>
      </c>
      <c r="B7085" t="s">
        <v>13362</v>
      </c>
    </row>
    <row r="7086" spans="1:2" ht="112" hidden="1" customHeight="1" x14ac:dyDescent="0.25">
      <c r="A7086" t="s">
        <v>13364</v>
      </c>
      <c r="B7086" t="s">
        <v>13371</v>
      </c>
    </row>
    <row r="7087" spans="1:2" ht="112" hidden="1" customHeight="1" x14ac:dyDescent="0.25">
      <c r="A7087" t="s">
        <v>13365</v>
      </c>
      <c r="B7087" t="s">
        <v>13372</v>
      </c>
    </row>
    <row r="7088" spans="1:2" ht="112" hidden="1" customHeight="1" x14ac:dyDescent="0.25">
      <c r="A7088" t="s">
        <v>13366</v>
      </c>
      <c r="B7088" t="s">
        <v>13373</v>
      </c>
    </row>
    <row r="7089" spans="1:2" ht="112" hidden="1" customHeight="1" x14ac:dyDescent="0.25">
      <c r="A7089" t="s">
        <v>13367</v>
      </c>
      <c r="B7089" t="s">
        <v>13374</v>
      </c>
    </row>
    <row r="7090" spans="1:2" ht="112" hidden="1" customHeight="1" x14ac:dyDescent="0.25">
      <c r="A7090" t="s">
        <v>13368</v>
      </c>
      <c r="B7090" t="s">
        <v>13375</v>
      </c>
    </row>
    <row r="7091" spans="1:2" ht="112" hidden="1" customHeight="1" x14ac:dyDescent="0.25">
      <c r="A7091" t="s">
        <v>13369</v>
      </c>
      <c r="B7091" t="s">
        <v>13376</v>
      </c>
    </row>
    <row r="7092" spans="1:2" ht="112" hidden="1" customHeight="1" x14ac:dyDescent="0.25">
      <c r="A7092" t="s">
        <v>13370</v>
      </c>
      <c r="B7092" t="s">
        <v>13377</v>
      </c>
    </row>
    <row r="7093" spans="1:2" ht="112" hidden="1" customHeight="1" x14ac:dyDescent="0.25">
      <c r="A7093" t="s">
        <v>13378</v>
      </c>
      <c r="B7093" t="s">
        <v>13379</v>
      </c>
    </row>
    <row r="7094" spans="1:2" ht="112" hidden="1" customHeight="1" x14ac:dyDescent="0.25">
      <c r="A7094" t="s">
        <v>13381</v>
      </c>
      <c r="B7094" t="s">
        <v>13382</v>
      </c>
    </row>
    <row r="7095" spans="1:2" ht="112" hidden="1" customHeight="1" x14ac:dyDescent="0.25">
      <c r="A7095" t="s">
        <v>13383</v>
      </c>
      <c r="B7095" t="s">
        <v>13384</v>
      </c>
    </row>
    <row r="7096" spans="1:2" ht="112" hidden="1" customHeight="1" x14ac:dyDescent="0.25">
      <c r="A7096" t="s">
        <v>13387</v>
      </c>
      <c r="B7096" t="s">
        <v>13388</v>
      </c>
    </row>
    <row r="7097" spans="1:2" ht="112" hidden="1" customHeight="1" x14ac:dyDescent="0.25">
      <c r="A7097" t="s">
        <v>13391</v>
      </c>
      <c r="B7097" t="s">
        <v>13393</v>
      </c>
    </row>
    <row r="7098" spans="1:2" ht="112" hidden="1" customHeight="1" x14ac:dyDescent="0.25">
      <c r="A7098" t="s">
        <v>13392</v>
      </c>
      <c r="B7098" t="s">
        <v>13394</v>
      </c>
    </row>
    <row r="7099" spans="1:2" ht="112" hidden="1" customHeight="1" x14ac:dyDescent="0.25">
      <c r="A7099" t="s">
        <v>13395</v>
      </c>
      <c r="B7099" t="s">
        <v>13396</v>
      </c>
    </row>
    <row r="7100" spans="1:2" ht="112" hidden="1" customHeight="1" x14ac:dyDescent="0.25">
      <c r="A7100" t="s">
        <v>13397</v>
      </c>
      <c r="B7100" t="s">
        <v>13403</v>
      </c>
    </row>
    <row r="7101" spans="1:2" ht="112" hidden="1" customHeight="1" x14ac:dyDescent="0.25">
      <c r="A7101" t="s">
        <v>13398</v>
      </c>
      <c r="B7101" t="s">
        <v>13404</v>
      </c>
    </row>
    <row r="7102" spans="1:2" ht="112" hidden="1" customHeight="1" x14ac:dyDescent="0.25">
      <c r="A7102" t="s">
        <v>13399</v>
      </c>
      <c r="B7102" t="s">
        <v>13405</v>
      </c>
    </row>
    <row r="7103" spans="1:2" ht="112" hidden="1" customHeight="1" x14ac:dyDescent="0.25">
      <c r="A7103" t="s">
        <v>13400</v>
      </c>
      <c r="B7103" t="s">
        <v>13406</v>
      </c>
    </row>
    <row r="7104" spans="1:2" ht="112" hidden="1" customHeight="1" x14ac:dyDescent="0.25">
      <c r="A7104" t="s">
        <v>13401</v>
      </c>
      <c r="B7104" t="s">
        <v>13407</v>
      </c>
    </row>
    <row r="7105" spans="1:2" ht="112" hidden="1" customHeight="1" x14ac:dyDescent="0.25">
      <c r="A7105" t="s">
        <v>13402</v>
      </c>
      <c r="B7105" t="s">
        <v>13408</v>
      </c>
    </row>
    <row r="7106" spans="1:2" ht="112" hidden="1" customHeight="1" x14ac:dyDescent="0.25">
      <c r="A7106" t="s">
        <v>13409</v>
      </c>
      <c r="B7106" t="s">
        <v>13410</v>
      </c>
    </row>
    <row r="7107" spans="1:2" ht="112" hidden="1" customHeight="1" x14ac:dyDescent="0.25">
      <c r="A7107" t="s">
        <v>13411</v>
      </c>
      <c r="B7107" t="s">
        <v>13412</v>
      </c>
    </row>
    <row r="7108" spans="1:2" ht="112" hidden="1" customHeight="1" x14ac:dyDescent="0.25">
      <c r="A7108" t="s">
        <v>13414</v>
      </c>
      <c r="B7108" t="s">
        <v>13433</v>
      </c>
    </row>
    <row r="7109" spans="1:2" ht="112" hidden="1" customHeight="1" x14ac:dyDescent="0.25">
      <c r="A7109" t="s">
        <v>13415</v>
      </c>
      <c r="B7109" t="s">
        <v>13434</v>
      </c>
    </row>
    <row r="7110" spans="1:2" ht="112" hidden="1" customHeight="1" x14ac:dyDescent="0.25">
      <c r="A7110" t="s">
        <v>13416</v>
      </c>
      <c r="B7110" t="s">
        <v>13435</v>
      </c>
    </row>
    <row r="7111" spans="1:2" ht="112" hidden="1" customHeight="1" x14ac:dyDescent="0.25">
      <c r="A7111" t="s">
        <v>13383</v>
      </c>
      <c r="B7111" t="s">
        <v>13384</v>
      </c>
    </row>
    <row r="7112" spans="1:2" ht="112" hidden="1" customHeight="1" x14ac:dyDescent="0.25">
      <c r="A7112" t="s">
        <v>13417</v>
      </c>
      <c r="B7112" t="s">
        <v>13436</v>
      </c>
    </row>
    <row r="7113" spans="1:2" ht="112" hidden="1" customHeight="1" x14ac:dyDescent="0.25">
      <c r="A7113" t="s">
        <v>13418</v>
      </c>
      <c r="B7113" t="s">
        <v>13437</v>
      </c>
    </row>
    <row r="7114" spans="1:2" ht="112" hidden="1" customHeight="1" x14ac:dyDescent="0.25">
      <c r="A7114" t="s">
        <v>13419</v>
      </c>
      <c r="B7114" t="s">
        <v>13438</v>
      </c>
    </row>
    <row r="7115" spans="1:2" ht="112" hidden="1" customHeight="1" x14ac:dyDescent="0.25">
      <c r="A7115" t="s">
        <v>13420</v>
      </c>
      <c r="B7115" t="s">
        <v>13439</v>
      </c>
    </row>
    <row r="7116" spans="1:2" ht="112" hidden="1" customHeight="1" x14ac:dyDescent="0.25">
      <c r="A7116" t="s">
        <v>13421</v>
      </c>
      <c r="B7116" t="s">
        <v>13440</v>
      </c>
    </row>
    <row r="7117" spans="1:2" ht="112" hidden="1" customHeight="1" x14ac:dyDescent="0.25">
      <c r="A7117" t="s">
        <v>13422</v>
      </c>
      <c r="B7117" t="s">
        <v>13441</v>
      </c>
    </row>
    <row r="7118" spans="1:2" ht="112" hidden="1" customHeight="1" x14ac:dyDescent="0.25">
      <c r="A7118" t="s">
        <v>13423</v>
      </c>
      <c r="B7118" t="s">
        <v>13442</v>
      </c>
    </row>
    <row r="7119" spans="1:2" ht="112" hidden="1" customHeight="1" x14ac:dyDescent="0.25">
      <c r="A7119" t="s">
        <v>13424</v>
      </c>
      <c r="B7119" t="s">
        <v>13443</v>
      </c>
    </row>
    <row r="7120" spans="1:2" ht="112" hidden="1" customHeight="1" x14ac:dyDescent="0.25">
      <c r="A7120" t="s">
        <v>13425</v>
      </c>
      <c r="B7120" t="s">
        <v>13444</v>
      </c>
    </row>
    <row r="7121" spans="1:2" ht="112" hidden="1" customHeight="1" x14ac:dyDescent="0.25">
      <c r="A7121" t="s">
        <v>13426</v>
      </c>
      <c r="B7121" t="s">
        <v>13445</v>
      </c>
    </row>
    <row r="7122" spans="1:2" ht="112" hidden="1" customHeight="1" x14ac:dyDescent="0.25">
      <c r="A7122" t="s">
        <v>13427</v>
      </c>
      <c r="B7122" t="s">
        <v>13446</v>
      </c>
    </row>
    <row r="7123" spans="1:2" ht="112" hidden="1" customHeight="1" x14ac:dyDescent="0.25">
      <c r="A7123" t="s">
        <v>13428</v>
      </c>
      <c r="B7123" t="s">
        <v>13447</v>
      </c>
    </row>
    <row r="7124" spans="1:2" ht="112" hidden="1" customHeight="1" x14ac:dyDescent="0.25">
      <c r="A7124" t="s">
        <v>13429</v>
      </c>
      <c r="B7124" t="s">
        <v>13448</v>
      </c>
    </row>
    <row r="7125" spans="1:2" ht="112" hidden="1" customHeight="1" x14ac:dyDescent="0.25">
      <c r="A7125" t="s">
        <v>13430</v>
      </c>
      <c r="B7125" t="s">
        <v>13449</v>
      </c>
    </row>
    <row r="7126" spans="1:2" ht="112" hidden="1" customHeight="1" x14ac:dyDescent="0.25">
      <c r="A7126" t="s">
        <v>13431</v>
      </c>
      <c r="B7126" t="s">
        <v>13450</v>
      </c>
    </row>
    <row r="7127" spans="1:2" ht="112" hidden="1" customHeight="1" x14ac:dyDescent="0.25">
      <c r="A7127" t="s">
        <v>13432</v>
      </c>
      <c r="B7127" t="s">
        <v>13451</v>
      </c>
    </row>
    <row r="7128" spans="1:2" ht="112" hidden="1" customHeight="1" x14ac:dyDescent="0.25">
      <c r="A7128" t="s">
        <v>13453</v>
      </c>
      <c r="B7128" t="s">
        <v>13454</v>
      </c>
    </row>
    <row r="7129" spans="1:2" ht="112" hidden="1" customHeight="1" x14ac:dyDescent="0.25">
      <c r="A7129" t="s">
        <v>13455</v>
      </c>
      <c r="B7129" t="s">
        <v>13458</v>
      </c>
    </row>
    <row r="7130" spans="1:2" ht="112" hidden="1" customHeight="1" x14ac:dyDescent="0.25">
      <c r="A7130" t="s">
        <v>13456</v>
      </c>
      <c r="B7130" t="s">
        <v>13459</v>
      </c>
    </row>
    <row r="7131" spans="1:2" ht="112" hidden="1" customHeight="1" x14ac:dyDescent="0.25">
      <c r="A7131" t="s">
        <v>13457</v>
      </c>
      <c r="B7131" t="s">
        <v>13460</v>
      </c>
    </row>
    <row r="7132" spans="1:2" ht="112" hidden="1" customHeight="1" x14ac:dyDescent="0.25">
      <c r="A7132" t="s">
        <v>13461</v>
      </c>
      <c r="B7132" t="s">
        <v>13464</v>
      </c>
    </row>
    <row r="7133" spans="1:2" ht="112" hidden="1" customHeight="1" x14ac:dyDescent="0.25">
      <c r="A7133" t="s">
        <v>13462</v>
      </c>
      <c r="B7133" t="s">
        <v>13465</v>
      </c>
    </row>
    <row r="7134" spans="1:2" ht="112" hidden="1" customHeight="1" x14ac:dyDescent="0.25">
      <c r="A7134" t="s">
        <v>13466</v>
      </c>
      <c r="B7134" t="s">
        <v>13470</v>
      </c>
    </row>
    <row r="7135" spans="1:2" ht="112" hidden="1" customHeight="1" x14ac:dyDescent="0.25">
      <c r="A7135" t="s">
        <v>13467</v>
      </c>
      <c r="B7135" t="s">
        <v>13471</v>
      </c>
    </row>
    <row r="7136" spans="1:2" ht="112" hidden="1" customHeight="1" x14ac:dyDescent="0.25">
      <c r="A7136" t="s">
        <v>13468</v>
      </c>
      <c r="B7136" t="s">
        <v>13472</v>
      </c>
    </row>
    <row r="7137" spans="1:2" ht="112" hidden="1" customHeight="1" x14ac:dyDescent="0.25">
      <c r="A7137" t="s">
        <v>13469</v>
      </c>
      <c r="B7137" t="s">
        <v>13473</v>
      </c>
    </row>
    <row r="7138" spans="1:2" ht="112" hidden="1" customHeight="1" x14ac:dyDescent="0.25">
      <c r="A7138" t="s">
        <v>13469</v>
      </c>
      <c r="B7138" t="s">
        <v>13483</v>
      </c>
    </row>
    <row r="7139" spans="1:2" ht="112" hidden="1" customHeight="1" x14ac:dyDescent="0.25">
      <c r="A7139" t="s">
        <v>13474</v>
      </c>
      <c r="B7139" t="s">
        <v>13484</v>
      </c>
    </row>
    <row r="7140" spans="1:2" ht="112" hidden="1" customHeight="1" x14ac:dyDescent="0.25">
      <c r="A7140" t="s">
        <v>13475</v>
      </c>
      <c r="B7140" t="s">
        <v>13485</v>
      </c>
    </row>
    <row r="7141" spans="1:2" ht="112" hidden="1" customHeight="1" x14ac:dyDescent="0.25">
      <c r="A7141" t="s">
        <v>13476</v>
      </c>
      <c r="B7141" t="s">
        <v>13486</v>
      </c>
    </row>
    <row r="7142" spans="1:2" ht="112" hidden="1" customHeight="1" x14ac:dyDescent="0.25">
      <c r="A7142" t="s">
        <v>13477</v>
      </c>
      <c r="B7142" t="s">
        <v>13487</v>
      </c>
    </row>
    <row r="7143" spans="1:2" ht="112" hidden="1" customHeight="1" x14ac:dyDescent="0.25">
      <c r="A7143" t="s">
        <v>13478</v>
      </c>
      <c r="B7143" s="56" t="s">
        <v>13616</v>
      </c>
    </row>
    <row r="7144" spans="1:2" ht="112" hidden="1" customHeight="1" x14ac:dyDescent="0.25">
      <c r="A7144" t="s">
        <v>13479</v>
      </c>
      <c r="B7144" t="s">
        <v>13488</v>
      </c>
    </row>
    <row r="7145" spans="1:2" ht="112" hidden="1" customHeight="1" x14ac:dyDescent="0.25">
      <c r="A7145" t="s">
        <v>13480</v>
      </c>
      <c r="B7145" t="s">
        <v>13489</v>
      </c>
    </row>
    <row r="7146" spans="1:2" ht="112" hidden="1" customHeight="1" x14ac:dyDescent="0.25">
      <c r="A7146" t="s">
        <v>13481</v>
      </c>
      <c r="B7146" t="s">
        <v>13490</v>
      </c>
    </row>
    <row r="7147" spans="1:2" ht="112" hidden="1" customHeight="1" x14ac:dyDescent="0.25">
      <c r="A7147" t="s">
        <v>13482</v>
      </c>
      <c r="B7147" t="s">
        <v>13491</v>
      </c>
    </row>
    <row r="7148" spans="1:2" ht="112" hidden="1" customHeight="1" x14ac:dyDescent="0.25">
      <c r="A7148" t="s">
        <v>13492</v>
      </c>
      <c r="B7148" t="s">
        <v>13496</v>
      </c>
    </row>
    <row r="7149" spans="1:2" ht="112" hidden="1" customHeight="1" x14ac:dyDescent="0.25">
      <c r="A7149" t="s">
        <v>13493</v>
      </c>
      <c r="B7149" t="s">
        <v>13497</v>
      </c>
    </row>
    <row r="7150" spans="1:2" ht="112" hidden="1" customHeight="1" x14ac:dyDescent="0.25">
      <c r="A7150" t="s">
        <v>13494</v>
      </c>
      <c r="B7150" t="s">
        <v>13498</v>
      </c>
    </row>
    <row r="7151" spans="1:2" ht="112" hidden="1" customHeight="1" x14ac:dyDescent="0.25">
      <c r="A7151" t="s">
        <v>13495</v>
      </c>
      <c r="B7151" t="s">
        <v>13499</v>
      </c>
    </row>
    <row r="7152" spans="1:2" ht="112" hidden="1" customHeight="1" x14ac:dyDescent="0.25">
      <c r="A7152" t="s">
        <v>13504</v>
      </c>
      <c r="B7152" t="s">
        <v>13509</v>
      </c>
    </row>
    <row r="7153" spans="1:2" ht="112" hidden="1" customHeight="1" x14ac:dyDescent="0.25">
      <c r="A7153" t="s">
        <v>13505</v>
      </c>
      <c r="B7153" t="s">
        <v>13510</v>
      </c>
    </row>
    <row r="7154" spans="1:2" ht="112" hidden="1" customHeight="1" x14ac:dyDescent="0.25">
      <c r="A7154" t="s">
        <v>13506</v>
      </c>
      <c r="B7154" t="s">
        <v>13511</v>
      </c>
    </row>
    <row r="7155" spans="1:2" ht="112" hidden="1" customHeight="1" x14ac:dyDescent="0.25">
      <c r="A7155" t="s">
        <v>13507</v>
      </c>
      <c r="B7155" t="s">
        <v>13512</v>
      </c>
    </row>
    <row r="7156" spans="1:2" ht="112" hidden="1" customHeight="1" x14ac:dyDescent="0.25">
      <c r="A7156" t="s">
        <v>13508</v>
      </c>
      <c r="B7156" t="s">
        <v>13513</v>
      </c>
    </row>
    <row r="7157" spans="1:2" ht="112" hidden="1" customHeight="1" x14ac:dyDescent="0.25">
      <c r="A7157" t="s">
        <v>13514</v>
      </c>
      <c r="B7157" t="s">
        <v>13515</v>
      </c>
    </row>
    <row r="7158" spans="1:2" ht="112" hidden="1" customHeight="1" x14ac:dyDescent="0.25">
      <c r="A7158" t="s">
        <v>13518</v>
      </c>
      <c r="B7158" t="s">
        <v>13519</v>
      </c>
    </row>
    <row r="7159" spans="1:2" ht="112" hidden="1" customHeight="1" x14ac:dyDescent="0.25">
      <c r="A7159" t="s">
        <v>13520</v>
      </c>
      <c r="B7159" t="s">
        <v>13528</v>
      </c>
    </row>
    <row r="7160" spans="1:2" ht="112" hidden="1" customHeight="1" x14ac:dyDescent="0.25">
      <c r="A7160" t="s">
        <v>13521</v>
      </c>
      <c r="B7160" t="s">
        <v>13529</v>
      </c>
    </row>
    <row r="7161" spans="1:2" ht="112" hidden="1" customHeight="1" x14ac:dyDescent="0.25">
      <c r="A7161" t="s">
        <v>13522</v>
      </c>
      <c r="B7161" t="s">
        <v>13530</v>
      </c>
    </row>
    <row r="7162" spans="1:2" ht="112" hidden="1" customHeight="1" x14ac:dyDescent="0.25">
      <c r="A7162" t="s">
        <v>13523</v>
      </c>
      <c r="B7162" t="s">
        <v>13531</v>
      </c>
    </row>
    <row r="7163" spans="1:2" ht="112" hidden="1" customHeight="1" x14ac:dyDescent="0.25">
      <c r="A7163" t="s">
        <v>13524</v>
      </c>
      <c r="B7163" t="s">
        <v>13532</v>
      </c>
    </row>
    <row r="7164" spans="1:2" ht="112" hidden="1" customHeight="1" x14ac:dyDescent="0.25">
      <c r="A7164" t="s">
        <v>13525</v>
      </c>
      <c r="B7164" t="s">
        <v>13533</v>
      </c>
    </row>
    <row r="7165" spans="1:2" ht="112" hidden="1" customHeight="1" x14ac:dyDescent="0.25">
      <c r="A7165" t="s">
        <v>13526</v>
      </c>
      <c r="B7165" t="s">
        <v>13534</v>
      </c>
    </row>
    <row r="7166" spans="1:2" ht="112" hidden="1" customHeight="1" x14ac:dyDescent="0.25">
      <c r="A7166" t="s">
        <v>13527</v>
      </c>
      <c r="B7166" t="s">
        <v>13535</v>
      </c>
    </row>
    <row r="7167" spans="1:2" ht="112" hidden="1" customHeight="1" x14ac:dyDescent="0.25">
      <c r="A7167" t="s">
        <v>13536</v>
      </c>
      <c r="B7167" t="s">
        <v>13537</v>
      </c>
    </row>
    <row r="7168" spans="1:2" ht="112" hidden="1" customHeight="1" x14ac:dyDescent="0.25">
      <c r="A7168" t="s">
        <v>13539</v>
      </c>
      <c r="B7168" t="s">
        <v>13541</v>
      </c>
    </row>
    <row r="7169" spans="1:2" ht="112" hidden="1" customHeight="1" x14ac:dyDescent="0.25">
      <c r="A7169" t="s">
        <v>13540</v>
      </c>
      <c r="B7169" t="s">
        <v>13542</v>
      </c>
    </row>
    <row r="7170" spans="1:2" ht="112" hidden="1" customHeight="1" x14ac:dyDescent="0.25">
      <c r="A7170" t="s">
        <v>13543</v>
      </c>
      <c r="B7170" t="s">
        <v>13544</v>
      </c>
    </row>
    <row r="7171" spans="1:2" ht="112" hidden="1" customHeight="1" x14ac:dyDescent="0.25">
      <c r="A7171" t="s">
        <v>13553</v>
      </c>
      <c r="B7171" t="s">
        <v>13559</v>
      </c>
    </row>
    <row r="7172" spans="1:2" ht="112" hidden="1" customHeight="1" x14ac:dyDescent="0.25">
      <c r="A7172" t="s">
        <v>13554</v>
      </c>
      <c r="B7172" t="s">
        <v>13560</v>
      </c>
    </row>
    <row r="7173" spans="1:2" ht="112" hidden="1" customHeight="1" x14ac:dyDescent="0.25">
      <c r="A7173" t="s">
        <v>13555</v>
      </c>
      <c r="B7173" t="s">
        <v>13561</v>
      </c>
    </row>
    <row r="7174" spans="1:2" ht="112" hidden="1" customHeight="1" x14ac:dyDescent="0.25">
      <c r="A7174" t="s">
        <v>13556</v>
      </c>
      <c r="B7174" t="s">
        <v>13562</v>
      </c>
    </row>
    <row r="7175" spans="1:2" ht="112" hidden="1" customHeight="1" x14ac:dyDescent="0.25">
      <c r="A7175" t="s">
        <v>13557</v>
      </c>
      <c r="B7175" t="s">
        <v>13563</v>
      </c>
    </row>
    <row r="7176" spans="1:2" ht="112" hidden="1" customHeight="1" x14ac:dyDescent="0.25">
      <c r="A7176" t="s">
        <v>13558</v>
      </c>
      <c r="B7176" t="s">
        <v>13564</v>
      </c>
    </row>
    <row r="7177" spans="1:2" ht="112" hidden="1" customHeight="1" x14ac:dyDescent="0.25">
      <c r="A7177" t="s">
        <v>13568</v>
      </c>
      <c r="B7177" t="s">
        <v>13570</v>
      </c>
    </row>
    <row r="7178" spans="1:2" ht="112" hidden="1" customHeight="1" x14ac:dyDescent="0.25">
      <c r="A7178" t="s">
        <v>13569</v>
      </c>
      <c r="B7178" s="56" t="s">
        <v>13617</v>
      </c>
    </row>
    <row r="7179" spans="1:2" ht="112" hidden="1" customHeight="1" x14ac:dyDescent="0.25">
      <c r="A7179" t="s">
        <v>13571</v>
      </c>
      <c r="B7179" t="s">
        <v>13572</v>
      </c>
    </row>
    <row r="7180" spans="1:2" ht="112" hidden="1" customHeight="1" x14ac:dyDescent="0.25">
      <c r="A7180" t="s">
        <v>13573</v>
      </c>
      <c r="B7180" t="s">
        <v>13576</v>
      </c>
    </row>
    <row r="7181" spans="1:2" ht="112" hidden="1" customHeight="1" x14ac:dyDescent="0.25">
      <c r="A7181" t="s">
        <v>13574</v>
      </c>
      <c r="B7181" t="s">
        <v>13577</v>
      </c>
    </row>
    <row r="7182" spans="1:2" ht="112" hidden="1" customHeight="1" x14ac:dyDescent="0.25">
      <c r="A7182" t="s">
        <v>13575</v>
      </c>
      <c r="B7182" t="s">
        <v>13578</v>
      </c>
    </row>
    <row r="7183" spans="1:2" ht="112" hidden="1" customHeight="1" x14ac:dyDescent="0.25">
      <c r="A7183" t="s">
        <v>13606</v>
      </c>
      <c r="B7183" t="s">
        <v>13608</v>
      </c>
    </row>
    <row r="7184" spans="1:2" ht="112" hidden="1" customHeight="1" x14ac:dyDescent="0.25">
      <c r="A7184" t="s">
        <v>13607</v>
      </c>
      <c r="B7184" s="56" t="s">
        <v>13609</v>
      </c>
    </row>
    <row r="7185" spans="1:2" ht="112" hidden="1" customHeight="1" x14ac:dyDescent="0.25">
      <c r="A7185" t="s">
        <v>13610</v>
      </c>
      <c r="B7185" t="s">
        <v>13611</v>
      </c>
    </row>
    <row r="7186" spans="1:2" ht="112" hidden="1" customHeight="1" x14ac:dyDescent="0.25">
      <c r="A7186" t="s">
        <v>13612</v>
      </c>
      <c r="B7186" t="s">
        <v>13614</v>
      </c>
    </row>
    <row r="7187" spans="1:2" ht="112" hidden="1" customHeight="1" x14ac:dyDescent="0.25">
      <c r="A7187" t="s">
        <v>13613</v>
      </c>
      <c r="B7187" t="s">
        <v>13615</v>
      </c>
    </row>
    <row r="7188" spans="1:2" ht="112" hidden="1" customHeight="1" x14ac:dyDescent="0.25">
      <c r="A7188" t="s">
        <v>13618</v>
      </c>
      <c r="B7188" t="s">
        <v>13619</v>
      </c>
    </row>
    <row r="7189" spans="1:2" ht="112" customHeight="1" x14ac:dyDescent="0.25">
      <c r="A7189" t="s">
        <v>13621</v>
      </c>
      <c r="B7189" t="s">
        <v>13626</v>
      </c>
    </row>
    <row r="7190" spans="1:2" ht="112" customHeight="1" x14ac:dyDescent="0.25">
      <c r="A7190" t="s">
        <v>13622</v>
      </c>
      <c r="B7190" t="s">
        <v>13627</v>
      </c>
    </row>
    <row r="7191" spans="1:2" ht="112" customHeight="1" x14ac:dyDescent="0.25">
      <c r="A7191" t="s">
        <v>13623</v>
      </c>
      <c r="B7191" t="s">
        <v>13628</v>
      </c>
    </row>
    <row r="7192" spans="1:2" ht="112" customHeight="1" x14ac:dyDescent="0.25">
      <c r="A7192" t="s">
        <v>13624</v>
      </c>
      <c r="B7192" t="s">
        <v>13629</v>
      </c>
    </row>
    <row r="7193" spans="1:2" ht="112" customHeight="1" x14ac:dyDescent="0.25">
      <c r="A7193" t="s">
        <v>13625</v>
      </c>
      <c r="B7193" t="s">
        <v>13630</v>
      </c>
    </row>
    <row r="7194" spans="1:2" ht="112" customHeight="1" x14ac:dyDescent="0.25">
      <c r="A7194" t="s">
        <v>13631</v>
      </c>
      <c r="B7194" t="s">
        <v>13636</v>
      </c>
    </row>
    <row r="7195" spans="1:2" ht="112" customHeight="1" x14ac:dyDescent="0.25">
      <c r="A7195" t="s">
        <v>13632</v>
      </c>
      <c r="B7195" t="s">
        <v>13637</v>
      </c>
    </row>
    <row r="7196" spans="1:2" ht="112" customHeight="1" x14ac:dyDescent="0.25">
      <c r="A7196" t="s">
        <v>13633</v>
      </c>
      <c r="B7196" t="s">
        <v>13638</v>
      </c>
    </row>
    <row r="7197" spans="1:2" ht="112" customHeight="1" x14ac:dyDescent="0.25">
      <c r="A7197" t="s">
        <v>13634</v>
      </c>
      <c r="B7197" t="s">
        <v>13639</v>
      </c>
    </row>
    <row r="7198" spans="1:2" ht="112" customHeight="1" x14ac:dyDescent="0.25">
      <c r="A7198" t="s">
        <v>13635</v>
      </c>
      <c r="B7198" t="s">
        <v>13640</v>
      </c>
    </row>
    <row r="7199" spans="1:2" ht="112" customHeight="1" x14ac:dyDescent="0.25">
      <c r="A7199" t="s">
        <v>13641</v>
      </c>
      <c r="B7199" t="s">
        <v>13642</v>
      </c>
    </row>
    <row r="7200" spans="1:2" ht="112" customHeight="1" x14ac:dyDescent="0.25">
      <c r="A7200" t="s">
        <v>13643</v>
      </c>
      <c r="B7200" t="s">
        <v>13645</v>
      </c>
    </row>
    <row r="7201" spans="1:2" ht="112" customHeight="1" x14ac:dyDescent="0.25">
      <c r="A7201" t="s">
        <v>13660</v>
      </c>
      <c r="B7201" s="56" t="s">
        <v>13661</v>
      </c>
    </row>
    <row r="7202" spans="1:2" ht="112" customHeight="1" x14ac:dyDescent="0.25">
      <c r="A7202" t="s">
        <v>13644</v>
      </c>
      <c r="B7202" t="s">
        <v>13646</v>
      </c>
    </row>
    <row r="7203" spans="1:2" ht="112" customHeight="1" x14ac:dyDescent="0.25">
      <c r="A7203" t="s">
        <v>13647</v>
      </c>
      <c r="B7203" t="s">
        <v>13648</v>
      </c>
    </row>
    <row r="7204" spans="1:2" ht="112" customHeight="1" x14ac:dyDescent="0.25">
      <c r="A7204" t="s">
        <v>13649</v>
      </c>
      <c r="B7204" t="s">
        <v>13658</v>
      </c>
    </row>
    <row r="7205" spans="1:2" ht="112" customHeight="1" x14ac:dyDescent="0.25">
      <c r="A7205" t="s">
        <v>13654</v>
      </c>
      <c r="B7205" t="s">
        <v>13659</v>
      </c>
    </row>
  </sheetData>
  <sheetProtection deleteRows="0" autoFilter="0"/>
  <protectedRanges>
    <protectedRange password="CA78" sqref="C1:L1" name="乱七八糟"/>
    <protectedRange password="CA78" sqref="A1:B1048543" name="添加标签"/>
  </protectedRanges>
  <autoFilter ref="A1:B7188">
    <filterColumn colId="1">
      <filters>
        <filter val="ART.EBT170454_x000a_COMP:95%PL 5%EA_x000a_WIDTH:152CM_x000a_WEIGHT:400G/M"/>
      </filters>
    </filterColumn>
  </autoFilter>
  <phoneticPr fontId="51" type="noConversion"/>
  <hyperlinks>
    <hyperlink ref="C1" display="_x000a_info@ebtex.com.cn"/>
  </hyperlinks>
  <pageMargins left="7.874015748031496E-2" right="0" top="0" bottom="0" header="0" footer="0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9464" r:id="rId4" name="粘贴标签信息">
          <controlPr defaultSize="0" autoLine="0" r:id="rId5">
            <anchor moveWithCells="1">
              <from>
                <xdr:col>6</xdr:col>
                <xdr:colOff>457200</xdr:colOff>
                <xdr:row>0</xdr:row>
                <xdr:rowOff>666750</xdr:rowOff>
              </from>
              <to>
                <xdr:col>8</xdr:col>
                <xdr:colOff>336550</xdr:colOff>
                <xdr:row>0</xdr:row>
                <xdr:rowOff>1104900</xdr:rowOff>
              </to>
            </anchor>
          </controlPr>
        </control>
      </mc:Choice>
      <mc:Fallback>
        <control shapeId="19464" r:id="rId4" name="粘贴标签信息"/>
      </mc:Fallback>
    </mc:AlternateContent>
    <mc:AlternateContent xmlns:mc="http://schemas.openxmlformats.org/markup-compatibility/2006">
      <mc:Choice Requires="x14">
        <control shapeId="19463" r:id="rId6" name="选择位置">
          <controlPr defaultSize="0" autoLine="0" r:id="rId7">
            <anchor moveWithCells="1">
              <from>
                <xdr:col>4</xdr:col>
                <xdr:colOff>533400</xdr:colOff>
                <xdr:row>0</xdr:row>
                <xdr:rowOff>666750</xdr:rowOff>
              </from>
              <to>
                <xdr:col>6</xdr:col>
                <xdr:colOff>590550</xdr:colOff>
                <xdr:row>0</xdr:row>
                <xdr:rowOff>1104900</xdr:rowOff>
              </to>
            </anchor>
          </controlPr>
        </control>
      </mc:Choice>
      <mc:Fallback>
        <control shapeId="19463" r:id="rId6" name="选择位置"/>
      </mc:Fallback>
    </mc:AlternateContent>
    <mc:AlternateContent xmlns:mc="http://schemas.openxmlformats.org/markup-compatibility/2006">
      <mc:Choice Requires="x14">
        <control shapeId="19461" r:id="rId8" name="保存">
          <controlPr defaultSize="0" autoLine="0" r:id="rId9">
            <anchor moveWithCells="1">
              <from>
                <xdr:col>8</xdr:col>
                <xdr:colOff>190500</xdr:colOff>
                <xdr:row>0</xdr:row>
                <xdr:rowOff>660400</xdr:rowOff>
              </from>
              <to>
                <xdr:col>10</xdr:col>
                <xdr:colOff>171450</xdr:colOff>
                <xdr:row>0</xdr:row>
                <xdr:rowOff>1098550</xdr:rowOff>
              </to>
            </anchor>
          </controlPr>
        </control>
      </mc:Choice>
      <mc:Fallback>
        <control shapeId="19461" r:id="rId8" name="保存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O361"/>
  <sheetViews>
    <sheetView zoomScaleNormal="100" workbookViewId="0">
      <selection activeCell="B3" sqref="B3"/>
    </sheetView>
  </sheetViews>
  <sheetFormatPr defaultColWidth="9" defaultRowHeight="14" x14ac:dyDescent="0.25"/>
  <cols>
    <col min="1" max="1" width="18" style="69" bestFit="1" customWidth="1"/>
    <col min="2" max="2" width="12" style="62" customWidth="1"/>
    <col min="3" max="3" width="10.36328125" style="11" customWidth="1"/>
    <col min="4" max="4" width="9.36328125" style="60" bestFit="1" customWidth="1"/>
    <col min="5" max="5" width="6.36328125" style="70" customWidth="1"/>
    <col min="6" max="6" width="10.26953125" style="70" customWidth="1"/>
    <col min="7" max="7" width="10.08984375" style="70" customWidth="1"/>
    <col min="8" max="8" width="16.26953125" style="70" customWidth="1"/>
    <col min="9" max="9" width="11.08984375" style="70" customWidth="1"/>
    <col min="10" max="10" width="23.7265625" style="71" customWidth="1"/>
    <col min="11" max="11" width="9" style="6"/>
    <col min="12" max="12" width="6.08984375" style="6" customWidth="1"/>
    <col min="13" max="13" width="9.7265625" style="6" customWidth="1"/>
    <col min="14" max="15" width="6.08984375" style="6" customWidth="1"/>
    <col min="16" max="16384" width="9" style="6"/>
  </cols>
  <sheetData>
    <row r="1" spans="1:15" ht="28" x14ac:dyDescent="0.25">
      <c r="A1" s="74" t="s">
        <v>7910</v>
      </c>
      <c r="B1" s="75" t="s">
        <v>7911</v>
      </c>
      <c r="E1" s="161" t="s">
        <v>8783</v>
      </c>
      <c r="F1" s="161"/>
      <c r="G1" s="162"/>
      <c r="H1" s="76" t="s">
        <v>8784</v>
      </c>
      <c r="I1" s="76" t="s">
        <v>8785</v>
      </c>
      <c r="J1" s="77" t="s">
        <v>7912</v>
      </c>
      <c r="L1" s="163" t="s">
        <v>7914</v>
      </c>
      <c r="M1" s="163"/>
      <c r="N1" s="163"/>
      <c r="O1" s="163"/>
    </row>
    <row r="2" spans="1:15" ht="19" x14ac:dyDescent="0.25">
      <c r="A2" s="80" t="str">
        <f t="shared" ref="A2:A7" si="0">IF(LEN(B2),"EBT"&amp;B2,"")</f>
        <v>EBT170730</v>
      </c>
      <c r="B2" s="142">
        <v>170730</v>
      </c>
      <c r="C2" s="10" t="str">
        <f>IF(LEN(需打标签!A2)=0,"",IFERROR(VLOOKUP(需打标签!A:A,标签details!A:B,1,0),"无标签"))</f>
        <v>EBT170730</v>
      </c>
      <c r="D2" s="60" t="str">
        <f>IF(LEN(IFERROR(VLOOKUP(A:A,意大利库存款!A:A,1,0),""))&gt;2,"意大利库存","")</f>
        <v/>
      </c>
      <c r="E2" s="70" t="str">
        <f>IF(LEN(A2),"IHZ17","")</f>
        <v>IHZ17</v>
      </c>
      <c r="F2" s="78" t="s">
        <v>13565</v>
      </c>
      <c r="G2" s="79"/>
      <c r="H2" s="86" t="s">
        <v>13566</v>
      </c>
      <c r="I2" s="70">
        <f ca="1">IF(LEN(A2),TODAY(),"")</f>
        <v>42942</v>
      </c>
      <c r="L2" s="73" t="s">
        <v>7913</v>
      </c>
      <c r="M2" s="73" t="s">
        <v>7915</v>
      </c>
      <c r="N2" s="73" t="s">
        <v>8169</v>
      </c>
      <c r="O2" s="73" t="s">
        <v>10121</v>
      </c>
    </row>
    <row r="3" spans="1:15" ht="19" x14ac:dyDescent="0.25">
      <c r="A3" s="80" t="str">
        <f t="shared" si="0"/>
        <v/>
      </c>
      <c r="B3" s="142"/>
      <c r="C3" s="10" t="str">
        <f>IF(LEN(需打标签!A3)=0,"",IFERROR(VLOOKUP(需打标签!A:A,标签details!A:B,1,0),"无标签"))</f>
        <v/>
      </c>
      <c r="D3" s="60" t="str">
        <f>IF(LEN(IFERROR(VLOOKUP(A:A,意大利库存款!A:A,1,0),""))&gt;2,"意大利库存","")</f>
        <v/>
      </c>
      <c r="E3" s="78" t="str">
        <f t="shared" ref="E3:E5" si="1">IF(LEN(A3),"IHZ17","")</f>
        <v/>
      </c>
      <c r="F3" s="78" t="s">
        <v>13565</v>
      </c>
      <c r="H3" s="86" t="s">
        <v>13567</v>
      </c>
      <c r="I3" s="78" t="str">
        <f t="shared" ref="I3:I4" ca="1" si="2">IF(LEN(A3),TODAY(),"")</f>
        <v/>
      </c>
    </row>
    <row r="4" spans="1:15" ht="19" x14ac:dyDescent="0.25">
      <c r="A4" s="80" t="str">
        <f t="shared" si="0"/>
        <v/>
      </c>
      <c r="B4" s="142"/>
      <c r="C4" s="10" t="str">
        <f>IF(LEN(需打标签!A4)=0,"",IFERROR(VLOOKUP(需打标签!A:A,标签details!A:B,1,0),"无标签"))</f>
        <v/>
      </c>
      <c r="D4" s="60" t="str">
        <f>IF(LEN(IFERROR(VLOOKUP(A:A,意大利库存款!A:A,1,0),""))&gt;2,"意大利库存","")</f>
        <v/>
      </c>
      <c r="E4" s="78" t="str">
        <f t="shared" si="1"/>
        <v/>
      </c>
      <c r="F4" s="78" t="s">
        <v>13500</v>
      </c>
      <c r="H4" s="79" t="s">
        <v>13501</v>
      </c>
      <c r="I4" s="78" t="str">
        <f t="shared" ca="1" si="2"/>
        <v/>
      </c>
    </row>
    <row r="5" spans="1:15" ht="19" x14ac:dyDescent="0.25">
      <c r="A5" s="80" t="str">
        <f t="shared" si="0"/>
        <v/>
      </c>
      <c r="B5" s="142"/>
      <c r="C5" s="10" t="str">
        <f>IF(LEN(需打标签!A5)=0,"",IFERROR(VLOOKUP(需打标签!A:A,标签details!A:B,1,0),"无标签"))</f>
        <v/>
      </c>
      <c r="D5" s="60" t="str">
        <f>IF(LEN(IFERROR(VLOOKUP(A:A,意大利库存款!A:A,1,0),""))&gt;2,"意大利库存","")</f>
        <v/>
      </c>
      <c r="E5" s="78" t="str">
        <f t="shared" si="1"/>
        <v/>
      </c>
      <c r="F5" s="78" t="s">
        <v>13500</v>
      </c>
      <c r="H5" s="70" t="s">
        <v>13502</v>
      </c>
      <c r="I5" s="70" t="str">
        <f t="shared" ref="I5:I66" ca="1" si="3">IF(LEN(A5),TODAY(),"")</f>
        <v/>
      </c>
    </row>
    <row r="6" spans="1:15" ht="19" x14ac:dyDescent="0.25">
      <c r="A6" s="80" t="str">
        <f t="shared" si="0"/>
        <v/>
      </c>
      <c r="B6" s="142"/>
      <c r="C6" s="10" t="str">
        <f>IF(LEN(需打标签!A6)=0,"",IFERROR(VLOOKUP(需打标签!A:A,标签details!A:B,1,0),"无标签"))</f>
        <v/>
      </c>
      <c r="D6" s="60" t="str">
        <f>IF(LEN(IFERROR(VLOOKUP(A:A,意大利库存款!A:A,1,0),""))&gt;2,"意大利库存","")</f>
        <v/>
      </c>
      <c r="E6" s="78" t="str">
        <f t="shared" ref="E6:E8" si="4">IF(LEN(A6),"IHZ16","")</f>
        <v/>
      </c>
      <c r="F6" s="78"/>
      <c r="H6" s="87"/>
      <c r="I6" s="70" t="str">
        <f t="shared" ca="1" si="3"/>
        <v/>
      </c>
    </row>
    <row r="7" spans="1:15" ht="19" x14ac:dyDescent="0.25">
      <c r="A7" s="80" t="str">
        <f t="shared" si="0"/>
        <v/>
      </c>
      <c r="B7" s="142"/>
      <c r="C7" s="10" t="str">
        <f>IF(LEN(需打标签!A7)=0,"",IFERROR(VLOOKUP(需打标签!A:A,标签details!A:B,1,0),"无标签"))</f>
        <v/>
      </c>
      <c r="D7" s="60" t="str">
        <f>IF(LEN(IFERROR(VLOOKUP(A:A,意大利库存款!A:A,1,0),""))&gt;2,"意大利库存","")</f>
        <v/>
      </c>
      <c r="E7" s="78" t="str">
        <f t="shared" si="4"/>
        <v/>
      </c>
      <c r="F7" s="78"/>
      <c r="H7" s="87"/>
      <c r="I7" s="70" t="str">
        <f t="shared" ca="1" si="3"/>
        <v/>
      </c>
    </row>
    <row r="8" spans="1:15" ht="19" x14ac:dyDescent="0.25">
      <c r="A8" s="80" t="str">
        <f>IF(LEN(B8),"EBT"&amp;B8,"")</f>
        <v/>
      </c>
      <c r="B8" s="142"/>
      <c r="C8" s="10" t="str">
        <f>IF(LEN(需打标签!A8)=0,"",IFERROR(VLOOKUP(需打标签!A:A,标签details!A:B,1,0),"无标签"))</f>
        <v/>
      </c>
      <c r="D8" s="60" t="str">
        <f>IF(LEN(IFERROR(VLOOKUP(A:A,意大利库存款!A:A,1,0),""))&gt;2,"意大利库存","")</f>
        <v/>
      </c>
      <c r="E8" s="78" t="str">
        <f t="shared" si="4"/>
        <v/>
      </c>
      <c r="I8" s="70" t="str">
        <f t="shared" ca="1" si="3"/>
        <v/>
      </c>
    </row>
    <row r="9" spans="1:15" ht="19" x14ac:dyDescent="0.25">
      <c r="A9" s="80" t="str">
        <f t="shared" ref="A9:A14" si="5">IF(LEN(B9),"EBT"&amp;B9,"")</f>
        <v/>
      </c>
      <c r="B9" s="142"/>
      <c r="C9" s="10" t="str">
        <f>IF(LEN(需打标签!A9)=0,"",IFERROR(VLOOKUP(需打标签!A:A,标签details!A:B,1,0),"无标签"))</f>
        <v/>
      </c>
      <c r="D9" s="60" t="str">
        <f>IF(LEN(IFERROR(VLOOKUP(A:A,意大利库存款!A:A,1,0),""))&gt;2,"意大利库存","")</f>
        <v/>
      </c>
      <c r="E9" s="70" t="str">
        <f t="shared" ref="E9:E66" si="6">IF(LEN(A9),"IHZ16","")</f>
        <v/>
      </c>
      <c r="I9" s="70" t="str">
        <f t="shared" ca="1" si="3"/>
        <v/>
      </c>
    </row>
    <row r="10" spans="1:15" ht="19" x14ac:dyDescent="0.25">
      <c r="A10" s="80" t="str">
        <f t="shared" si="5"/>
        <v/>
      </c>
      <c r="B10" s="142"/>
      <c r="C10" s="10" t="str">
        <f>IF(LEN(需打标签!A10)=0,"",IFERROR(VLOOKUP(需打标签!A:A,标签details!A:B,1,0),"无标签"))</f>
        <v/>
      </c>
      <c r="D10" s="60" t="str">
        <f>IF(LEN(IFERROR(VLOOKUP(A:A,意大利库存款!A:A,1,0),""))&gt;2,"意大利库存","")</f>
        <v/>
      </c>
      <c r="E10" s="70" t="str">
        <f t="shared" si="6"/>
        <v/>
      </c>
      <c r="I10" s="70" t="str">
        <f t="shared" ca="1" si="3"/>
        <v/>
      </c>
    </row>
    <row r="11" spans="1:15" ht="19" x14ac:dyDescent="0.25">
      <c r="A11" s="80" t="str">
        <f t="shared" si="5"/>
        <v/>
      </c>
      <c r="B11" s="142"/>
      <c r="C11" s="10" t="str">
        <f>IF(LEN(需打标签!A11)=0,"",IFERROR(VLOOKUP(需打标签!A:A,标签details!A:B,1,0),"无标签"))</f>
        <v/>
      </c>
      <c r="D11" s="60" t="str">
        <f>IF(LEN(IFERROR(VLOOKUP(A:A,意大利库存款!A:A,1,0),""))&gt;2,"意大利库存","")</f>
        <v/>
      </c>
      <c r="E11" s="70" t="str">
        <f t="shared" si="6"/>
        <v/>
      </c>
      <c r="I11" s="70" t="str">
        <f t="shared" ca="1" si="3"/>
        <v/>
      </c>
    </row>
    <row r="12" spans="1:15" ht="19" x14ac:dyDescent="0.25">
      <c r="A12" s="80" t="str">
        <f t="shared" si="5"/>
        <v/>
      </c>
      <c r="B12" s="142"/>
      <c r="C12" s="10" t="str">
        <f>IF(LEN(需打标签!A12)=0,"",IFERROR(VLOOKUP(需打标签!A:A,标签details!A:B,1,0),"无标签"))</f>
        <v/>
      </c>
      <c r="D12" s="60" t="str">
        <f>IF(LEN(IFERROR(VLOOKUP(A:A,意大利库存款!A:A,1,0),""))&gt;2,"意大利库存","")</f>
        <v/>
      </c>
      <c r="E12" s="70" t="str">
        <f t="shared" si="6"/>
        <v/>
      </c>
      <c r="I12" s="70" t="str">
        <f t="shared" ca="1" si="3"/>
        <v/>
      </c>
    </row>
    <row r="13" spans="1:15" ht="19" x14ac:dyDescent="0.25">
      <c r="A13" s="80" t="str">
        <f t="shared" si="5"/>
        <v/>
      </c>
      <c r="B13" s="142"/>
      <c r="C13" s="10" t="str">
        <f>IF(LEN(需打标签!A13)=0,"",IFERROR(VLOOKUP(需打标签!A:A,标签details!A:B,1,0),"无标签"))</f>
        <v/>
      </c>
      <c r="D13" s="60" t="str">
        <f>IF(LEN(IFERROR(VLOOKUP(A:A,意大利库存款!A:A,1,0),""))&gt;2,"意大利库存","")</f>
        <v/>
      </c>
      <c r="E13" s="70" t="str">
        <f t="shared" si="6"/>
        <v/>
      </c>
      <c r="I13" s="70" t="str">
        <f t="shared" ca="1" si="3"/>
        <v/>
      </c>
    </row>
    <row r="14" spans="1:15" ht="19" x14ac:dyDescent="0.25">
      <c r="A14" s="80" t="str">
        <f t="shared" si="5"/>
        <v/>
      </c>
      <c r="B14" s="142"/>
      <c r="C14" s="10" t="str">
        <f>IF(LEN(需打标签!A14)=0,"",IFERROR(VLOOKUP(需打标签!A:A,标签details!A:B,1,0),"无标签"))</f>
        <v/>
      </c>
      <c r="D14" s="60" t="str">
        <f>IF(LEN(IFERROR(VLOOKUP(A:A,意大利库存款!A:A,1,0),""))&gt;2,"意大利库存","")</f>
        <v/>
      </c>
      <c r="E14" s="70" t="str">
        <f t="shared" si="6"/>
        <v/>
      </c>
      <c r="I14" s="70" t="str">
        <f t="shared" ca="1" si="3"/>
        <v/>
      </c>
    </row>
    <row r="15" spans="1:15" ht="19" x14ac:dyDescent="0.25">
      <c r="A15" s="68" t="str">
        <f t="shared" ref="A15:A66" si="7">IF(LEN(B15),"EBT"&amp;B15,"")</f>
        <v/>
      </c>
      <c r="B15" s="142"/>
      <c r="C15" s="10" t="str">
        <f>IF(LEN(需打标签!A15)=0,"",IFERROR(VLOOKUP(需打标签!A:A,标签details!A:B,1,0),"无标签"))</f>
        <v/>
      </c>
      <c r="D15" s="60" t="str">
        <f>IF(LEN(IFERROR(VLOOKUP(A:A,意大利库存款!A:A,1,0),""))&gt;2,"意大利库存","")</f>
        <v/>
      </c>
      <c r="E15" s="70" t="str">
        <f t="shared" si="6"/>
        <v/>
      </c>
      <c r="I15" s="70" t="str">
        <f t="shared" ca="1" si="3"/>
        <v/>
      </c>
    </row>
    <row r="16" spans="1:15" x14ac:dyDescent="0.25">
      <c r="A16" s="80" t="str">
        <f t="shared" si="7"/>
        <v/>
      </c>
      <c r="B16" s="80"/>
      <c r="C16" s="10" t="str">
        <f>IF(LEN(需打标签!A16)=0,"",IFERROR(VLOOKUP(需打标签!A:A,标签details!A:B,1,0),"无标签"))</f>
        <v/>
      </c>
      <c r="D16" s="60" t="str">
        <f>IF(LEN(IFERROR(VLOOKUP(A:A,意大利库存款!A:A,1,0),""))&gt;2,"意大利库存","")</f>
        <v/>
      </c>
      <c r="E16" s="70" t="str">
        <f t="shared" si="6"/>
        <v/>
      </c>
      <c r="I16" s="70" t="str">
        <f t="shared" ca="1" si="3"/>
        <v/>
      </c>
    </row>
    <row r="17" spans="1:9" x14ac:dyDescent="0.25">
      <c r="A17" s="80" t="str">
        <f t="shared" si="7"/>
        <v/>
      </c>
      <c r="B17" s="80"/>
      <c r="C17" s="10" t="str">
        <f>IF(LEN(需打标签!A17)=0,"",IFERROR(VLOOKUP(需打标签!A:A,标签details!A:B,1,0),"无标签"))</f>
        <v/>
      </c>
      <c r="D17" s="60" t="str">
        <f>IF(LEN(IFERROR(VLOOKUP(A:A,意大利库存款!A:A,1,0),""))&gt;2,"意大利库存","")</f>
        <v/>
      </c>
      <c r="E17" s="70" t="str">
        <f t="shared" si="6"/>
        <v/>
      </c>
      <c r="I17" s="70" t="str">
        <f t="shared" ca="1" si="3"/>
        <v/>
      </c>
    </row>
    <row r="18" spans="1:9" x14ac:dyDescent="0.25">
      <c r="A18" s="80" t="str">
        <f t="shared" si="7"/>
        <v/>
      </c>
      <c r="B18" s="80"/>
      <c r="C18" s="10" t="str">
        <f>IF(LEN(需打标签!A18)=0,"",IFERROR(VLOOKUP(需打标签!A:A,标签details!A:B,1,0),"无标签"))</f>
        <v/>
      </c>
      <c r="D18" s="60" t="str">
        <f>IF(LEN(IFERROR(VLOOKUP(A:A,意大利库存款!A:A,1,0),""))&gt;2,"意大利库存","")</f>
        <v/>
      </c>
      <c r="E18" s="70" t="str">
        <f t="shared" si="6"/>
        <v/>
      </c>
      <c r="I18" s="70" t="str">
        <f t="shared" ca="1" si="3"/>
        <v/>
      </c>
    </row>
    <row r="19" spans="1:9" x14ac:dyDescent="0.25">
      <c r="A19" s="80" t="str">
        <f t="shared" si="7"/>
        <v/>
      </c>
      <c r="B19" s="80"/>
      <c r="C19" s="10" t="str">
        <f>IF(LEN(需打标签!A19)=0,"",IFERROR(VLOOKUP(需打标签!A:A,标签details!A:B,1,0),"无标签"))</f>
        <v/>
      </c>
      <c r="D19" s="60" t="str">
        <f>IF(LEN(IFERROR(VLOOKUP(A:A,意大利库存款!A:A,1,0),""))&gt;2,"意大利库存","")</f>
        <v/>
      </c>
      <c r="E19" s="70" t="str">
        <f t="shared" si="6"/>
        <v/>
      </c>
      <c r="I19" s="70" t="str">
        <f t="shared" ca="1" si="3"/>
        <v/>
      </c>
    </row>
    <row r="20" spans="1:9" x14ac:dyDescent="0.25">
      <c r="A20" s="80" t="str">
        <f t="shared" si="7"/>
        <v/>
      </c>
      <c r="B20" s="80"/>
      <c r="C20" s="10" t="str">
        <f>IF(LEN(需打标签!A20)=0,"",IFERROR(VLOOKUP(需打标签!A:A,标签details!A:B,1,0),"无标签"))</f>
        <v/>
      </c>
      <c r="D20" s="60" t="str">
        <f>IF(LEN(IFERROR(VLOOKUP(A:A,意大利库存款!A:A,1,0),""))&gt;2,"意大利库存","")</f>
        <v/>
      </c>
      <c r="E20" s="70" t="str">
        <f t="shared" si="6"/>
        <v/>
      </c>
      <c r="I20" s="70" t="str">
        <f t="shared" ca="1" si="3"/>
        <v/>
      </c>
    </row>
    <row r="21" spans="1:9" x14ac:dyDescent="0.25">
      <c r="A21" s="80" t="str">
        <f t="shared" si="7"/>
        <v/>
      </c>
      <c r="B21" s="80"/>
      <c r="C21" s="10" t="str">
        <f>IF(LEN(需打标签!A21)=0,"",IFERROR(VLOOKUP(需打标签!A:A,标签details!A:B,1,0),"无标签"))</f>
        <v/>
      </c>
      <c r="D21" s="60" t="str">
        <f>IF(LEN(IFERROR(VLOOKUP(A:A,意大利库存款!A:A,1,0),""))&gt;2,"意大利库存","")</f>
        <v/>
      </c>
      <c r="E21" s="70" t="str">
        <f t="shared" si="6"/>
        <v/>
      </c>
      <c r="I21" s="70" t="str">
        <f t="shared" ca="1" si="3"/>
        <v/>
      </c>
    </row>
    <row r="22" spans="1:9" x14ac:dyDescent="0.25">
      <c r="A22" s="80" t="str">
        <f t="shared" si="7"/>
        <v/>
      </c>
      <c r="B22" s="80"/>
      <c r="C22" s="10" t="str">
        <f>IF(LEN(需打标签!A22)=0,"",IFERROR(VLOOKUP(需打标签!A:A,标签details!A:B,1,0),"无标签"))</f>
        <v/>
      </c>
      <c r="D22" s="60" t="str">
        <f>IF(LEN(IFERROR(VLOOKUP(A:A,意大利库存款!A:A,1,0),""))&gt;2,"意大利库存","")</f>
        <v/>
      </c>
      <c r="E22" s="70" t="str">
        <f t="shared" si="6"/>
        <v/>
      </c>
      <c r="I22" s="70" t="str">
        <f t="shared" ca="1" si="3"/>
        <v/>
      </c>
    </row>
    <row r="23" spans="1:9" ht="19" x14ac:dyDescent="0.25">
      <c r="A23" s="80" t="str">
        <f t="shared" si="7"/>
        <v/>
      </c>
      <c r="B23" s="142"/>
      <c r="C23" s="10" t="str">
        <f>IF(LEN(需打标签!A23)=0,"",IFERROR(VLOOKUP(需打标签!A:A,标签details!A:B,1,0),"无标签"))</f>
        <v/>
      </c>
      <c r="D23" s="60" t="str">
        <f>IF(LEN(IFERROR(VLOOKUP(A:A,意大利库存款!A:A,1,0),""))&gt;2,"意大利库存","")</f>
        <v/>
      </c>
      <c r="E23" s="70" t="str">
        <f t="shared" si="6"/>
        <v/>
      </c>
      <c r="I23" s="70" t="str">
        <f t="shared" ca="1" si="3"/>
        <v/>
      </c>
    </row>
    <row r="24" spans="1:9" ht="19" x14ac:dyDescent="0.25">
      <c r="A24" s="80" t="str">
        <f t="shared" si="7"/>
        <v/>
      </c>
      <c r="B24" s="142"/>
      <c r="C24" s="10" t="str">
        <f>IF(LEN(需打标签!A24)=0,"",IFERROR(VLOOKUP(需打标签!A:A,标签details!A:B,1,0),"无标签"))</f>
        <v/>
      </c>
      <c r="D24" s="60" t="str">
        <f>IF(LEN(IFERROR(VLOOKUP(A:A,意大利库存款!A:A,1,0),""))&gt;2,"意大利库存","")</f>
        <v/>
      </c>
      <c r="E24" s="70" t="str">
        <f t="shared" si="6"/>
        <v/>
      </c>
      <c r="I24" s="70" t="str">
        <f t="shared" ca="1" si="3"/>
        <v/>
      </c>
    </row>
    <row r="25" spans="1:9" ht="19" x14ac:dyDescent="0.25">
      <c r="A25" s="68" t="str">
        <f t="shared" si="7"/>
        <v/>
      </c>
      <c r="B25" s="142"/>
      <c r="C25" s="10" t="str">
        <f>IF(LEN(需打标签!A25)=0,"",IFERROR(VLOOKUP(需打标签!A:A,标签details!A:B,1,0),"无标签"))</f>
        <v/>
      </c>
      <c r="D25" s="60" t="str">
        <f>IF(LEN(IFERROR(VLOOKUP(A:A,意大利库存款!A:A,1,0),""))&gt;2,"意大利库存","")</f>
        <v/>
      </c>
      <c r="E25" s="70" t="str">
        <f t="shared" si="6"/>
        <v/>
      </c>
      <c r="I25" s="70" t="str">
        <f t="shared" ca="1" si="3"/>
        <v/>
      </c>
    </row>
    <row r="26" spans="1:9" ht="19" x14ac:dyDescent="0.25">
      <c r="A26" s="68" t="str">
        <f t="shared" si="7"/>
        <v/>
      </c>
      <c r="B26" s="142"/>
      <c r="C26" s="10" t="str">
        <f>IF(LEN(需打标签!A26)=0,"",IFERROR(VLOOKUP(需打标签!A:A,标签details!A:B,1,0),"无标签"))</f>
        <v/>
      </c>
      <c r="D26" s="60" t="str">
        <f>IF(LEN(IFERROR(VLOOKUP(A:A,意大利库存款!A:A,1,0),""))&gt;2,"意大利库存","")</f>
        <v/>
      </c>
      <c r="E26" s="70" t="str">
        <f t="shared" si="6"/>
        <v/>
      </c>
      <c r="I26" s="70" t="str">
        <f t="shared" ca="1" si="3"/>
        <v/>
      </c>
    </row>
    <row r="27" spans="1:9" ht="19" x14ac:dyDescent="0.25">
      <c r="A27" s="68" t="str">
        <f t="shared" si="7"/>
        <v/>
      </c>
      <c r="B27" s="142"/>
      <c r="C27" s="10" t="str">
        <f>IF(LEN(需打标签!A27)=0,"",IFERROR(VLOOKUP(需打标签!A:A,标签details!A:B,1,0),"无标签"))</f>
        <v/>
      </c>
      <c r="D27" s="60" t="str">
        <f>IF(LEN(IFERROR(VLOOKUP(A:A,意大利库存款!A:A,1,0),""))&gt;2,"意大利库存","")</f>
        <v/>
      </c>
      <c r="E27" s="70" t="str">
        <f t="shared" si="6"/>
        <v/>
      </c>
      <c r="I27" s="70" t="str">
        <f t="shared" ca="1" si="3"/>
        <v/>
      </c>
    </row>
    <row r="28" spans="1:9" ht="19" x14ac:dyDescent="0.25">
      <c r="A28" s="68" t="str">
        <f>IF(LEN(B28),"EBT"&amp;B28,"")</f>
        <v/>
      </c>
      <c r="B28" s="142"/>
      <c r="C28" s="10" t="str">
        <f>IF(LEN(需打标签!A28)=0,"",IFERROR(VLOOKUP(需打标签!A:A,标签details!A:B,1,0),"无标签"))</f>
        <v/>
      </c>
      <c r="D28" s="60" t="str">
        <f>IF(LEN(IFERROR(VLOOKUP(A:A,意大利库存款!A:A,1,0),""))&gt;2,"意大利库存","")</f>
        <v/>
      </c>
      <c r="E28" s="70" t="str">
        <f t="shared" si="6"/>
        <v/>
      </c>
      <c r="I28" s="70" t="str">
        <f t="shared" ca="1" si="3"/>
        <v/>
      </c>
    </row>
    <row r="29" spans="1:9" ht="19" x14ac:dyDescent="0.25">
      <c r="A29" s="68" t="str">
        <f t="shared" si="7"/>
        <v/>
      </c>
      <c r="B29" s="142"/>
      <c r="C29" s="10" t="str">
        <f>IF(LEN(需打标签!A29)=0,"",IFERROR(VLOOKUP(需打标签!A:A,标签details!A:B,1,0),"无标签"))</f>
        <v/>
      </c>
      <c r="D29" s="60" t="str">
        <f>IF(LEN(IFERROR(VLOOKUP(A:A,意大利库存款!A:A,1,0),""))&gt;2,"意大利库存","")</f>
        <v/>
      </c>
      <c r="E29" s="70" t="str">
        <f t="shared" si="6"/>
        <v/>
      </c>
      <c r="I29" s="70" t="str">
        <f t="shared" ca="1" si="3"/>
        <v/>
      </c>
    </row>
    <row r="30" spans="1:9" ht="19" x14ac:dyDescent="0.25">
      <c r="A30" s="68" t="str">
        <f t="shared" si="7"/>
        <v/>
      </c>
      <c r="B30" s="142"/>
      <c r="C30" s="10" t="str">
        <f>IF(LEN(需打标签!A30)=0,"",IFERROR(VLOOKUP(需打标签!A:A,标签details!A:B,1,0),"无标签"))</f>
        <v/>
      </c>
      <c r="D30" s="60" t="str">
        <f>IF(LEN(IFERROR(VLOOKUP(A:A,意大利库存款!A:A,1,0),""))&gt;2,"意大利库存","")</f>
        <v/>
      </c>
      <c r="E30" s="70" t="str">
        <f t="shared" si="6"/>
        <v/>
      </c>
      <c r="I30" s="70" t="str">
        <f t="shared" ca="1" si="3"/>
        <v/>
      </c>
    </row>
    <row r="31" spans="1:9" ht="19" x14ac:dyDescent="0.25">
      <c r="A31" s="68" t="str">
        <f t="shared" si="7"/>
        <v/>
      </c>
      <c r="B31" s="142"/>
      <c r="C31" s="10" t="str">
        <f>IF(LEN(需打标签!A31)=0,"",IFERROR(VLOOKUP(需打标签!A:A,标签details!A:B,1,0),"无标签"))</f>
        <v/>
      </c>
      <c r="D31" s="60" t="str">
        <f>IF(LEN(IFERROR(VLOOKUP(A:A,意大利库存款!A:A,1,0),""))&gt;2,"意大利库存","")</f>
        <v/>
      </c>
      <c r="E31" s="70" t="str">
        <f t="shared" si="6"/>
        <v/>
      </c>
      <c r="I31" s="70" t="str">
        <f t="shared" ca="1" si="3"/>
        <v/>
      </c>
    </row>
    <row r="32" spans="1:9" ht="19" x14ac:dyDescent="0.25">
      <c r="A32" s="68" t="str">
        <f t="shared" si="7"/>
        <v/>
      </c>
      <c r="B32" s="141"/>
      <c r="C32" s="10" t="str">
        <f>IF(LEN(需打标签!A32)=0,"",IFERROR(VLOOKUP(需打标签!A:A,标签details!A:B,1,0),"无标签"))</f>
        <v/>
      </c>
      <c r="D32" s="60" t="str">
        <f>IF(LEN(IFERROR(VLOOKUP(A:A,意大利库存款!A:A,1,0),""))&gt;2,"意大利库存","")</f>
        <v/>
      </c>
      <c r="E32" s="70" t="str">
        <f t="shared" si="6"/>
        <v/>
      </c>
      <c r="I32" s="70" t="str">
        <f t="shared" ca="1" si="3"/>
        <v/>
      </c>
    </row>
    <row r="33" spans="1:9" ht="19" x14ac:dyDescent="0.25">
      <c r="A33" s="68" t="str">
        <f t="shared" si="7"/>
        <v/>
      </c>
      <c r="B33" s="141"/>
      <c r="C33" s="10" t="str">
        <f>IF(LEN(需打标签!A33)=0,"",IFERROR(VLOOKUP(需打标签!A:A,标签details!A:B,1,0),"无标签"))</f>
        <v/>
      </c>
      <c r="D33" s="60" t="str">
        <f>IF(LEN(IFERROR(VLOOKUP(A:A,意大利库存款!A:A,1,0),""))&gt;2,"意大利库存","")</f>
        <v/>
      </c>
      <c r="E33" s="70" t="str">
        <f t="shared" si="6"/>
        <v/>
      </c>
      <c r="I33" s="70" t="str">
        <f t="shared" ca="1" si="3"/>
        <v/>
      </c>
    </row>
    <row r="34" spans="1:9" ht="19" x14ac:dyDescent="0.25">
      <c r="A34" s="80" t="str">
        <f t="shared" si="7"/>
        <v/>
      </c>
      <c r="B34" s="141"/>
      <c r="C34" s="10" t="str">
        <f>IF(LEN(需打标签!A34)=0,"",IFERROR(VLOOKUP(需打标签!A:A,标签details!A:B,1,0),"无标签"))</f>
        <v/>
      </c>
      <c r="D34" s="60" t="str">
        <f>IF(LEN(IFERROR(VLOOKUP(A:A,意大利库存款!A:A,1,0),""))&gt;2,"意大利库存","")</f>
        <v/>
      </c>
      <c r="E34" s="70" t="str">
        <f t="shared" si="6"/>
        <v/>
      </c>
      <c r="I34" s="70" t="str">
        <f t="shared" ca="1" si="3"/>
        <v/>
      </c>
    </row>
    <row r="35" spans="1:9" ht="19" x14ac:dyDescent="0.25">
      <c r="A35" s="68" t="str">
        <f t="shared" si="7"/>
        <v/>
      </c>
      <c r="B35" s="141"/>
      <c r="C35" s="10" t="str">
        <f>IF(LEN(需打标签!A35)=0,"",IFERROR(VLOOKUP(需打标签!A:A,标签details!A:B,1,0),"无标签"))</f>
        <v/>
      </c>
      <c r="D35" s="60" t="str">
        <f>IF(LEN(IFERROR(VLOOKUP(A:A,意大利库存款!A:A,1,0),""))&gt;2,"意大利库存","")</f>
        <v/>
      </c>
      <c r="E35" s="70" t="str">
        <f t="shared" si="6"/>
        <v/>
      </c>
      <c r="I35" s="70" t="str">
        <f t="shared" ca="1" si="3"/>
        <v/>
      </c>
    </row>
    <row r="36" spans="1:9" x14ac:dyDescent="0.25">
      <c r="A36" s="68" t="str">
        <f t="shared" si="7"/>
        <v/>
      </c>
      <c r="B36" s="133"/>
      <c r="C36" s="10" t="str">
        <f>IF(LEN(需打标签!A36)=0,"",IFERROR(VLOOKUP(需打标签!A:A,标签details!A:B,1,0),"无标签"))</f>
        <v/>
      </c>
      <c r="D36" s="60" t="str">
        <f>IF(LEN(IFERROR(VLOOKUP(A:A,意大利库存款!A:A,1,0),""))&gt;2,"意大利库存","")</f>
        <v/>
      </c>
      <c r="E36" s="70" t="str">
        <f t="shared" si="6"/>
        <v/>
      </c>
      <c r="I36" s="70" t="str">
        <f t="shared" ca="1" si="3"/>
        <v/>
      </c>
    </row>
    <row r="37" spans="1:9" x14ac:dyDescent="0.25">
      <c r="A37" s="68" t="str">
        <f t="shared" si="7"/>
        <v/>
      </c>
      <c r="B37" s="133"/>
      <c r="C37" s="10" t="str">
        <f>IF(LEN(需打标签!A37)=0,"",IFERROR(VLOOKUP(需打标签!A:A,标签details!A:B,1,0),"无标签"))</f>
        <v/>
      </c>
      <c r="D37" s="60" t="str">
        <f>IF(LEN(IFERROR(VLOOKUP(A:A,意大利库存款!A:A,1,0),""))&gt;2,"意大利库存","")</f>
        <v/>
      </c>
      <c r="E37" s="70" t="str">
        <f t="shared" si="6"/>
        <v/>
      </c>
      <c r="I37" s="70" t="str">
        <f t="shared" ca="1" si="3"/>
        <v/>
      </c>
    </row>
    <row r="38" spans="1:9" ht="18" x14ac:dyDescent="0.25">
      <c r="A38" s="68" t="str">
        <f t="shared" si="7"/>
        <v/>
      </c>
      <c r="B38" s="91"/>
      <c r="C38" s="10" t="str">
        <f>IF(LEN(需打标签!A38)=0,"",IFERROR(VLOOKUP(需打标签!A:A,标签details!A:B,1,0),"无标签"))</f>
        <v/>
      </c>
      <c r="D38" s="60" t="str">
        <f>IF(LEN(IFERROR(VLOOKUP(A:A,意大利库存款!A:A,1,0),""))&gt;2,"意大利库存","")</f>
        <v/>
      </c>
      <c r="E38" s="70" t="str">
        <f t="shared" si="6"/>
        <v/>
      </c>
      <c r="I38" s="70" t="str">
        <f t="shared" ca="1" si="3"/>
        <v/>
      </c>
    </row>
    <row r="39" spans="1:9" ht="18" x14ac:dyDescent="0.25">
      <c r="A39" s="68" t="str">
        <f t="shared" si="7"/>
        <v/>
      </c>
      <c r="B39" s="91"/>
      <c r="C39" s="10" t="str">
        <f>IF(LEN(需打标签!A39)=0,"",IFERROR(VLOOKUP(需打标签!A:A,标签details!A:B,1,0),"无标签"))</f>
        <v/>
      </c>
      <c r="D39" s="60" t="str">
        <f>IF(LEN(IFERROR(VLOOKUP(A:A,意大利库存款!A:A,1,0),""))&gt;2,"意大利库存","")</f>
        <v/>
      </c>
      <c r="E39" s="70" t="str">
        <f t="shared" si="6"/>
        <v/>
      </c>
      <c r="I39" s="70" t="str">
        <f t="shared" ca="1" si="3"/>
        <v/>
      </c>
    </row>
    <row r="40" spans="1:9" ht="18" x14ac:dyDescent="0.25">
      <c r="A40" s="68" t="str">
        <f t="shared" si="7"/>
        <v/>
      </c>
      <c r="B40" s="90"/>
      <c r="C40" s="10" t="str">
        <f>IF(LEN(需打标签!A40)=0,"",IFERROR(VLOOKUP(需打标签!A:A,标签details!A:B,1,0),"无标签"))</f>
        <v/>
      </c>
      <c r="D40" s="60" t="str">
        <f>IF(LEN(IFERROR(VLOOKUP(A:A,意大利库存款!A:A,1,0),""))&gt;2,"意大利库存","")</f>
        <v/>
      </c>
      <c r="E40" s="70" t="str">
        <f t="shared" si="6"/>
        <v/>
      </c>
      <c r="I40" s="70" t="str">
        <f t="shared" ca="1" si="3"/>
        <v/>
      </c>
    </row>
    <row r="41" spans="1:9" ht="18" x14ac:dyDescent="0.25">
      <c r="A41" s="68" t="str">
        <f t="shared" si="7"/>
        <v/>
      </c>
      <c r="B41" s="91"/>
      <c r="C41" s="10" t="str">
        <f>IF(LEN(需打标签!A41)=0,"",IFERROR(VLOOKUP(需打标签!A:A,标签details!A:B,1,0),"无标签"))</f>
        <v/>
      </c>
      <c r="D41" s="60" t="str">
        <f>IF(LEN(IFERROR(VLOOKUP(A:A,意大利库存款!A:A,1,0),""))&gt;2,"意大利库存","")</f>
        <v/>
      </c>
      <c r="E41" s="70" t="str">
        <f t="shared" si="6"/>
        <v/>
      </c>
      <c r="I41" s="70" t="str">
        <f t="shared" ca="1" si="3"/>
        <v/>
      </c>
    </row>
    <row r="42" spans="1:9" ht="18" x14ac:dyDescent="0.25">
      <c r="A42" s="68" t="str">
        <f t="shared" si="7"/>
        <v/>
      </c>
      <c r="B42" s="91"/>
      <c r="C42" s="10" t="str">
        <f>IF(LEN(需打标签!A42)=0,"",IFERROR(VLOOKUP(需打标签!A:A,标签details!A:B,1,0),"无标签"))</f>
        <v/>
      </c>
      <c r="D42" s="60" t="str">
        <f>IF(LEN(IFERROR(VLOOKUP(A:A,意大利库存款!A:A,1,0),""))&gt;2,"意大利库存","")</f>
        <v/>
      </c>
      <c r="E42" s="70" t="str">
        <f t="shared" si="6"/>
        <v/>
      </c>
      <c r="I42" s="70" t="str">
        <f t="shared" ca="1" si="3"/>
        <v/>
      </c>
    </row>
    <row r="43" spans="1:9" ht="18" x14ac:dyDescent="0.25">
      <c r="A43" s="68" t="str">
        <f t="shared" si="7"/>
        <v/>
      </c>
      <c r="B43" s="90"/>
      <c r="C43" s="10" t="str">
        <f>IF(LEN(需打标签!A43)=0,"",IFERROR(VLOOKUP(需打标签!A:A,标签details!A:B,1,0),"无标签"))</f>
        <v/>
      </c>
      <c r="D43" s="60" t="str">
        <f>IF(LEN(IFERROR(VLOOKUP(A:A,意大利库存款!A:A,1,0),""))&gt;2,"意大利库存","")</f>
        <v/>
      </c>
      <c r="E43" s="70" t="str">
        <f t="shared" si="6"/>
        <v/>
      </c>
      <c r="I43" s="70" t="str">
        <f t="shared" ca="1" si="3"/>
        <v/>
      </c>
    </row>
    <row r="44" spans="1:9" ht="18" x14ac:dyDescent="0.25">
      <c r="A44" s="68" t="str">
        <f t="shared" si="7"/>
        <v/>
      </c>
      <c r="B44" s="90"/>
      <c r="C44" s="10" t="str">
        <f>IF(LEN(需打标签!A44)=0,"",IFERROR(VLOOKUP(需打标签!A:A,标签details!A:B,1,0),"无标签"))</f>
        <v/>
      </c>
      <c r="D44" s="60" t="str">
        <f>IF(LEN(IFERROR(VLOOKUP(A:A,意大利库存款!A:A,1,0),""))&gt;2,"意大利库存","")</f>
        <v/>
      </c>
      <c r="E44" s="70" t="str">
        <f t="shared" si="6"/>
        <v/>
      </c>
      <c r="I44" s="70" t="str">
        <f t="shared" ca="1" si="3"/>
        <v/>
      </c>
    </row>
    <row r="45" spans="1:9" ht="18" x14ac:dyDescent="0.25">
      <c r="A45" s="68" t="str">
        <f t="shared" si="7"/>
        <v/>
      </c>
      <c r="B45" s="91"/>
      <c r="C45" s="10" t="str">
        <f>IF(LEN(需打标签!A45)=0,"",IFERROR(VLOOKUP(需打标签!A:A,标签details!A:B,1,0),"无标签"))</f>
        <v/>
      </c>
      <c r="D45" s="60" t="str">
        <f>IF(LEN(IFERROR(VLOOKUP(A:A,意大利库存款!A:A,1,0),""))&gt;2,"意大利库存","")</f>
        <v/>
      </c>
      <c r="E45" s="70" t="str">
        <f t="shared" si="6"/>
        <v/>
      </c>
      <c r="I45" s="70" t="str">
        <f t="shared" ca="1" si="3"/>
        <v/>
      </c>
    </row>
    <row r="46" spans="1:9" ht="18" x14ac:dyDescent="0.25">
      <c r="A46" s="68" t="str">
        <f t="shared" si="7"/>
        <v/>
      </c>
      <c r="B46" s="91"/>
      <c r="C46" s="10" t="str">
        <f>IF(LEN(需打标签!A46)=0,"",IFERROR(VLOOKUP(需打标签!A:A,标签details!A:B,1,0),"无标签"))</f>
        <v/>
      </c>
      <c r="D46" s="60" t="str">
        <f>IF(LEN(IFERROR(VLOOKUP(A:A,意大利库存款!A:A,1,0),""))&gt;2,"意大利库存","")</f>
        <v/>
      </c>
      <c r="E46" s="70" t="str">
        <f t="shared" si="6"/>
        <v/>
      </c>
      <c r="I46" s="70" t="str">
        <f t="shared" ca="1" si="3"/>
        <v/>
      </c>
    </row>
    <row r="47" spans="1:9" ht="18" x14ac:dyDescent="0.25">
      <c r="A47" s="68" t="str">
        <f t="shared" si="7"/>
        <v/>
      </c>
      <c r="B47" s="91"/>
      <c r="C47" s="10" t="str">
        <f>IF(LEN(需打标签!A47)=0,"",IFERROR(VLOOKUP(需打标签!A:A,标签details!A:B,1,0),"无标签"))</f>
        <v/>
      </c>
      <c r="D47" s="60" t="str">
        <f>IF(LEN(IFERROR(VLOOKUP(A:A,意大利库存款!A:A,1,0),""))&gt;2,"意大利库存","")</f>
        <v/>
      </c>
      <c r="E47" s="70" t="str">
        <f t="shared" si="6"/>
        <v/>
      </c>
      <c r="I47" s="70" t="str">
        <f t="shared" ca="1" si="3"/>
        <v/>
      </c>
    </row>
    <row r="48" spans="1:9" ht="18" x14ac:dyDescent="0.25">
      <c r="A48" s="68" t="str">
        <f t="shared" si="7"/>
        <v/>
      </c>
      <c r="B48" s="91"/>
      <c r="C48" s="10" t="str">
        <f>IF(LEN(需打标签!A48)=0,"",IFERROR(VLOOKUP(需打标签!A:A,标签details!A:B,1,0),"无标签"))</f>
        <v/>
      </c>
      <c r="D48" s="60" t="str">
        <f>IF(LEN(IFERROR(VLOOKUP(A:A,意大利库存款!A:A,1,0),""))&gt;2,"意大利库存","")</f>
        <v/>
      </c>
      <c r="E48" s="70" t="str">
        <f t="shared" si="6"/>
        <v/>
      </c>
      <c r="I48" s="70" t="str">
        <f t="shared" ca="1" si="3"/>
        <v/>
      </c>
    </row>
    <row r="49" spans="1:9" ht="18" x14ac:dyDescent="0.25">
      <c r="A49" s="68" t="str">
        <f t="shared" si="7"/>
        <v/>
      </c>
      <c r="B49" s="91"/>
      <c r="C49" s="10" t="str">
        <f>IF(LEN(需打标签!A49)=0,"",IFERROR(VLOOKUP(需打标签!A:A,标签details!A:B,1,0),"无标签"))</f>
        <v/>
      </c>
      <c r="D49" s="60" t="str">
        <f>IF(LEN(IFERROR(VLOOKUP(A:A,意大利库存款!A:A,1,0),""))&gt;2,"意大利库存","")</f>
        <v/>
      </c>
      <c r="E49" s="70" t="str">
        <f t="shared" si="6"/>
        <v/>
      </c>
      <c r="I49" s="70" t="str">
        <f t="shared" ca="1" si="3"/>
        <v/>
      </c>
    </row>
    <row r="50" spans="1:9" ht="18" x14ac:dyDescent="0.25">
      <c r="A50" s="68" t="str">
        <f t="shared" si="7"/>
        <v/>
      </c>
      <c r="B50" s="91"/>
      <c r="C50" s="10" t="str">
        <f>IF(LEN(需打标签!A50)=0,"",IFERROR(VLOOKUP(需打标签!A:A,标签details!A:B,1,0),"无标签"))</f>
        <v/>
      </c>
      <c r="D50" s="60" t="str">
        <f>IF(LEN(IFERROR(VLOOKUP(A:A,意大利库存款!A:A,1,0),""))&gt;2,"意大利库存","")</f>
        <v/>
      </c>
      <c r="E50" s="70" t="str">
        <f t="shared" si="6"/>
        <v/>
      </c>
      <c r="I50" s="70" t="str">
        <f t="shared" ca="1" si="3"/>
        <v/>
      </c>
    </row>
    <row r="51" spans="1:9" ht="18" x14ac:dyDescent="0.25">
      <c r="A51" s="68" t="str">
        <f t="shared" si="7"/>
        <v/>
      </c>
      <c r="B51" s="91"/>
      <c r="C51" s="10" t="str">
        <f>IF(LEN(需打标签!A51)=0,"",IFERROR(VLOOKUP(需打标签!A:A,标签details!A:B,1,0),"无标签"))</f>
        <v/>
      </c>
      <c r="D51" s="60" t="str">
        <f>IF(LEN(IFERROR(VLOOKUP(A:A,意大利库存款!A:A,1,0),""))&gt;2,"意大利库存","")</f>
        <v/>
      </c>
      <c r="E51" s="70" t="str">
        <f t="shared" si="6"/>
        <v/>
      </c>
      <c r="I51" s="70" t="str">
        <f t="shared" ca="1" si="3"/>
        <v/>
      </c>
    </row>
    <row r="52" spans="1:9" ht="18" x14ac:dyDescent="0.25">
      <c r="A52" s="68" t="str">
        <f t="shared" si="7"/>
        <v/>
      </c>
      <c r="B52" s="90"/>
      <c r="C52" s="10" t="str">
        <f>IF(LEN(需打标签!A52)=0,"",IFERROR(VLOOKUP(需打标签!A:A,标签details!A:B,1,0),"无标签"))</f>
        <v/>
      </c>
      <c r="D52" s="60" t="str">
        <f>IF(LEN(IFERROR(VLOOKUP(A:A,意大利库存款!A:A,1,0),""))&gt;2,"意大利库存","")</f>
        <v/>
      </c>
      <c r="E52" s="70" t="str">
        <f t="shared" si="6"/>
        <v/>
      </c>
      <c r="I52" s="70" t="str">
        <f t="shared" ca="1" si="3"/>
        <v/>
      </c>
    </row>
    <row r="53" spans="1:9" ht="18" x14ac:dyDescent="0.25">
      <c r="A53" s="68" t="str">
        <f t="shared" si="7"/>
        <v/>
      </c>
      <c r="B53" s="90"/>
      <c r="C53" s="10" t="str">
        <f>IF(LEN(需打标签!A53)=0,"",IFERROR(VLOOKUP(需打标签!A:A,标签details!A:B,1,0),"无标签"))</f>
        <v/>
      </c>
      <c r="D53" s="60" t="str">
        <f>IF(LEN(IFERROR(VLOOKUP(A:A,意大利库存款!A:A,1,0),""))&gt;2,"意大利库存","")</f>
        <v/>
      </c>
      <c r="E53" s="70" t="str">
        <f t="shared" si="6"/>
        <v/>
      </c>
      <c r="I53" s="70" t="str">
        <f t="shared" ca="1" si="3"/>
        <v/>
      </c>
    </row>
    <row r="54" spans="1:9" ht="18" x14ac:dyDescent="0.25">
      <c r="A54" s="68" t="str">
        <f t="shared" si="7"/>
        <v/>
      </c>
      <c r="B54" s="90"/>
      <c r="C54" s="10" t="str">
        <f>IF(LEN(需打标签!A54)=0,"",IFERROR(VLOOKUP(需打标签!A:A,标签details!A:B,1,0),"无标签"))</f>
        <v/>
      </c>
      <c r="D54" s="60" t="str">
        <f>IF(LEN(IFERROR(VLOOKUP(A:A,意大利库存款!A:A,1,0),""))&gt;2,"意大利库存","")</f>
        <v/>
      </c>
      <c r="E54" s="70" t="str">
        <f t="shared" si="6"/>
        <v/>
      </c>
      <c r="I54" s="70" t="str">
        <f t="shared" ca="1" si="3"/>
        <v/>
      </c>
    </row>
    <row r="55" spans="1:9" ht="18" x14ac:dyDescent="0.25">
      <c r="A55" s="68" t="str">
        <f t="shared" si="7"/>
        <v/>
      </c>
      <c r="B55" s="91"/>
      <c r="C55" s="10" t="str">
        <f>IF(LEN(需打标签!A55)=0,"",IFERROR(VLOOKUP(需打标签!A:A,标签details!A:B,1,0),"无标签"))</f>
        <v/>
      </c>
      <c r="D55" s="60" t="str">
        <f>IF(LEN(IFERROR(VLOOKUP(A:A,意大利库存款!A:A,1,0),""))&gt;2,"意大利库存","")</f>
        <v/>
      </c>
      <c r="E55" s="70" t="str">
        <f t="shared" si="6"/>
        <v/>
      </c>
      <c r="I55" s="70" t="str">
        <f t="shared" ca="1" si="3"/>
        <v/>
      </c>
    </row>
    <row r="56" spans="1:9" ht="18" x14ac:dyDescent="0.25">
      <c r="A56" s="68" t="str">
        <f t="shared" si="7"/>
        <v/>
      </c>
      <c r="B56" s="91"/>
      <c r="C56" s="10" t="str">
        <f>IF(LEN(需打标签!A56)=0,"",IFERROR(VLOOKUP(需打标签!A:A,标签details!A:B,1,0),"无标签"))</f>
        <v/>
      </c>
      <c r="D56" s="60" t="str">
        <f>IF(LEN(IFERROR(VLOOKUP(A:A,意大利库存款!A:A,1,0),""))&gt;2,"意大利库存","")</f>
        <v/>
      </c>
      <c r="E56" s="70" t="str">
        <f t="shared" si="6"/>
        <v/>
      </c>
      <c r="I56" s="70" t="str">
        <f t="shared" ca="1" si="3"/>
        <v/>
      </c>
    </row>
    <row r="57" spans="1:9" ht="18" x14ac:dyDescent="0.25">
      <c r="A57" s="68" t="str">
        <f t="shared" si="7"/>
        <v/>
      </c>
      <c r="B57" s="90"/>
      <c r="C57" s="10" t="str">
        <f>IF(LEN(需打标签!A57)=0,"",IFERROR(VLOOKUP(需打标签!A:A,标签details!A:B,1,0),"无标签"))</f>
        <v/>
      </c>
      <c r="D57" s="60" t="str">
        <f>IF(LEN(IFERROR(VLOOKUP(A:A,意大利库存款!A:A,1,0),""))&gt;2,"意大利库存","")</f>
        <v/>
      </c>
      <c r="E57" s="70" t="str">
        <f t="shared" si="6"/>
        <v/>
      </c>
      <c r="I57" s="70" t="str">
        <f t="shared" ca="1" si="3"/>
        <v/>
      </c>
    </row>
    <row r="58" spans="1:9" ht="18" x14ac:dyDescent="0.25">
      <c r="A58" s="68" t="str">
        <f t="shared" si="7"/>
        <v/>
      </c>
      <c r="B58" s="90"/>
      <c r="C58" s="10" t="str">
        <f>IF(LEN(需打标签!A58)=0,"",IFERROR(VLOOKUP(需打标签!A:A,标签details!A:B,1,0),"无标签"))</f>
        <v/>
      </c>
      <c r="D58" s="60" t="str">
        <f>IF(LEN(IFERROR(VLOOKUP(A:A,意大利库存款!A:A,1,0),""))&gt;2,"意大利库存","")</f>
        <v/>
      </c>
      <c r="E58" s="70" t="str">
        <f t="shared" si="6"/>
        <v/>
      </c>
      <c r="I58" s="70" t="str">
        <f t="shared" ca="1" si="3"/>
        <v/>
      </c>
    </row>
    <row r="59" spans="1:9" ht="18" x14ac:dyDescent="0.25">
      <c r="A59" s="68" t="str">
        <f t="shared" si="7"/>
        <v/>
      </c>
      <c r="B59" s="90"/>
      <c r="C59" s="10" t="str">
        <f>IF(LEN(需打标签!A59)=0,"",IFERROR(VLOOKUP(需打标签!A:A,标签details!A:B,1,0),"无标签"))</f>
        <v/>
      </c>
      <c r="D59" s="60" t="str">
        <f>IF(LEN(IFERROR(VLOOKUP(A:A,意大利库存款!A:A,1,0),""))&gt;2,"意大利库存","")</f>
        <v/>
      </c>
      <c r="E59" s="70" t="str">
        <f t="shared" si="6"/>
        <v/>
      </c>
      <c r="I59" s="70" t="str">
        <f t="shared" ca="1" si="3"/>
        <v/>
      </c>
    </row>
    <row r="60" spans="1:9" ht="18" x14ac:dyDescent="0.25">
      <c r="A60" s="68" t="str">
        <f t="shared" si="7"/>
        <v/>
      </c>
      <c r="B60" s="90"/>
      <c r="C60" s="10" t="str">
        <f>IF(LEN(需打标签!A60)=0,"",IFERROR(VLOOKUP(需打标签!A:A,标签details!A:B,1,0),"无标签"))</f>
        <v/>
      </c>
      <c r="D60" s="60" t="str">
        <f>IF(LEN(IFERROR(VLOOKUP(A:A,意大利库存款!A:A,1,0),""))&gt;2,"意大利库存","")</f>
        <v/>
      </c>
      <c r="E60" s="70" t="str">
        <f t="shared" si="6"/>
        <v/>
      </c>
      <c r="I60" s="70" t="str">
        <f t="shared" ca="1" si="3"/>
        <v/>
      </c>
    </row>
    <row r="61" spans="1:9" ht="18" x14ac:dyDescent="0.25">
      <c r="A61" s="68" t="str">
        <f t="shared" si="7"/>
        <v/>
      </c>
      <c r="B61" s="91"/>
      <c r="C61" s="10" t="str">
        <f>IF(LEN(需打标签!A61)=0,"",IFERROR(VLOOKUP(需打标签!A:A,标签details!A:B,1,0),"无标签"))</f>
        <v/>
      </c>
      <c r="D61" s="60" t="str">
        <f>IF(LEN(IFERROR(VLOOKUP(A:A,意大利库存款!A:A,1,0),""))&gt;2,"意大利库存","")</f>
        <v/>
      </c>
      <c r="E61" s="70" t="str">
        <f t="shared" si="6"/>
        <v/>
      </c>
      <c r="I61" s="70" t="str">
        <f t="shared" ca="1" si="3"/>
        <v/>
      </c>
    </row>
    <row r="62" spans="1:9" ht="18" x14ac:dyDescent="0.25">
      <c r="A62" s="68" t="str">
        <f t="shared" si="7"/>
        <v/>
      </c>
      <c r="B62" s="91"/>
      <c r="C62" s="10" t="str">
        <f>IF(LEN(需打标签!A62)=0,"",IFERROR(VLOOKUP(需打标签!A:A,标签details!A:B,1,0),"无标签"))</f>
        <v/>
      </c>
      <c r="D62" s="60" t="str">
        <f>IF(LEN(IFERROR(VLOOKUP(A:A,意大利库存款!A:A,1,0),""))&gt;2,"意大利库存","")</f>
        <v/>
      </c>
      <c r="E62" s="70" t="str">
        <f t="shared" si="6"/>
        <v/>
      </c>
      <c r="I62" s="70" t="str">
        <f t="shared" ca="1" si="3"/>
        <v/>
      </c>
    </row>
    <row r="63" spans="1:9" ht="18" x14ac:dyDescent="0.25">
      <c r="A63" s="68" t="str">
        <f t="shared" si="7"/>
        <v/>
      </c>
      <c r="B63" s="91"/>
      <c r="C63" s="10" t="str">
        <f>IF(LEN(需打标签!A63)=0,"",IFERROR(VLOOKUP(需打标签!A:A,标签details!A:B,1,0),"无标签"))</f>
        <v/>
      </c>
      <c r="D63" s="60" t="str">
        <f>IF(LEN(IFERROR(VLOOKUP(A:A,意大利库存款!A:A,1,0),""))&gt;2,"意大利库存","")</f>
        <v/>
      </c>
      <c r="E63" s="70" t="str">
        <f t="shared" si="6"/>
        <v/>
      </c>
      <c r="I63" s="70" t="str">
        <f t="shared" ca="1" si="3"/>
        <v/>
      </c>
    </row>
    <row r="64" spans="1:9" ht="18" x14ac:dyDescent="0.25">
      <c r="A64" s="68" t="str">
        <f t="shared" si="7"/>
        <v/>
      </c>
      <c r="B64" s="91"/>
      <c r="C64" s="10" t="str">
        <f>IF(LEN(需打标签!A64)=0,"",IFERROR(VLOOKUP(需打标签!A:A,标签details!A:B,1,0),"无标签"))</f>
        <v/>
      </c>
      <c r="D64" s="60" t="str">
        <f>IF(LEN(IFERROR(VLOOKUP(A:A,意大利库存款!A:A,1,0),""))&gt;2,"意大利库存","")</f>
        <v/>
      </c>
      <c r="E64" s="70" t="str">
        <f t="shared" si="6"/>
        <v/>
      </c>
      <c r="I64" s="70" t="str">
        <f t="shared" ca="1" si="3"/>
        <v/>
      </c>
    </row>
    <row r="65" spans="1:9" ht="18" x14ac:dyDescent="0.25">
      <c r="A65" s="68" t="str">
        <f t="shared" si="7"/>
        <v/>
      </c>
      <c r="B65" s="91"/>
      <c r="C65" s="10" t="str">
        <f>IF(LEN(需打标签!A65)=0,"",IFERROR(VLOOKUP(需打标签!A:A,标签details!A:B,1,0),"无标签"))</f>
        <v/>
      </c>
      <c r="D65" s="60" t="str">
        <f>IF(LEN(IFERROR(VLOOKUP(A:A,意大利库存款!A:A,1,0),""))&gt;2,"意大利库存","")</f>
        <v/>
      </c>
      <c r="E65" s="70" t="str">
        <f t="shared" si="6"/>
        <v/>
      </c>
      <c r="I65" s="70" t="str">
        <f t="shared" ca="1" si="3"/>
        <v/>
      </c>
    </row>
    <row r="66" spans="1:9" ht="18" x14ac:dyDescent="0.25">
      <c r="A66" s="68" t="str">
        <f t="shared" si="7"/>
        <v/>
      </c>
      <c r="B66" s="91"/>
      <c r="C66" s="10" t="str">
        <f>IF(LEN(需打标签!A66)=0,"",IFERROR(VLOOKUP(需打标签!A:A,标签details!A:B,1,0),"无标签"))</f>
        <v/>
      </c>
      <c r="D66" s="60" t="str">
        <f>IF(LEN(IFERROR(VLOOKUP(A:A,意大利库存款!A:A,1,0),""))&gt;2,"意大利库存","")</f>
        <v/>
      </c>
      <c r="E66" s="70" t="str">
        <f t="shared" si="6"/>
        <v/>
      </c>
      <c r="I66" s="70" t="str">
        <f t="shared" ca="1" si="3"/>
        <v/>
      </c>
    </row>
    <row r="67" spans="1:9" ht="18" x14ac:dyDescent="0.25">
      <c r="A67" s="68" t="str">
        <f t="shared" ref="A67:A130" si="8">IF(LEN(B67),"EBT"&amp;B67,"")</f>
        <v/>
      </c>
      <c r="B67" s="91"/>
      <c r="C67" s="10" t="str">
        <f>IF(LEN(需打标签!A67)=0,"",IFERROR(VLOOKUP(需打标签!A:A,标签details!A:B,1,0),"无标签"))</f>
        <v/>
      </c>
      <c r="D67" s="60" t="str">
        <f>IF(LEN(IFERROR(VLOOKUP(A:A,意大利库存款!A:A,1,0),""))&gt;2,"意大利库存","")</f>
        <v/>
      </c>
      <c r="E67" s="70" t="str">
        <f t="shared" ref="E67:E130" si="9">IF(LEN(A67),"IHZ16","")</f>
        <v/>
      </c>
      <c r="I67" s="70" t="str">
        <f t="shared" ref="I67:I130" ca="1" si="10">IF(LEN(A67),TODAY(),"")</f>
        <v/>
      </c>
    </row>
    <row r="68" spans="1:9" ht="18" x14ac:dyDescent="0.25">
      <c r="A68" s="68" t="str">
        <f t="shared" si="8"/>
        <v/>
      </c>
      <c r="B68" s="91"/>
      <c r="C68" s="10" t="str">
        <f>IF(LEN(需打标签!A68)=0,"",IFERROR(VLOOKUP(需打标签!A:A,标签details!A:B,1,0),"无标签"))</f>
        <v/>
      </c>
      <c r="D68" s="60" t="str">
        <f>IF(LEN(IFERROR(VLOOKUP(A:A,意大利库存款!A:A,1,0),""))&gt;2,"意大利库存","")</f>
        <v/>
      </c>
      <c r="E68" s="70" t="str">
        <f t="shared" si="9"/>
        <v/>
      </c>
      <c r="I68" s="70" t="str">
        <f t="shared" ca="1" si="10"/>
        <v/>
      </c>
    </row>
    <row r="69" spans="1:9" ht="18" x14ac:dyDescent="0.25">
      <c r="A69" s="68" t="str">
        <f t="shared" si="8"/>
        <v/>
      </c>
      <c r="B69" s="91"/>
      <c r="C69" s="10" t="str">
        <f>IF(LEN(需打标签!A69)=0,"",IFERROR(VLOOKUP(需打标签!A:A,标签details!A:B,1,0),"无标签"))</f>
        <v/>
      </c>
      <c r="D69" s="60" t="str">
        <f>IF(LEN(IFERROR(VLOOKUP(A:A,意大利库存款!A:A,1,0),""))&gt;2,"意大利库存","")</f>
        <v/>
      </c>
      <c r="E69" s="70" t="str">
        <f t="shared" si="9"/>
        <v/>
      </c>
      <c r="I69" s="70" t="str">
        <f t="shared" ca="1" si="10"/>
        <v/>
      </c>
    </row>
    <row r="70" spans="1:9" ht="18" x14ac:dyDescent="0.25">
      <c r="A70" s="68" t="str">
        <f t="shared" si="8"/>
        <v/>
      </c>
      <c r="B70" s="91"/>
      <c r="C70" s="10" t="str">
        <f>IF(LEN(需打标签!A70)=0,"",IFERROR(VLOOKUP(需打标签!A:A,标签details!A:B,1,0),"无标签"))</f>
        <v/>
      </c>
      <c r="D70" s="60" t="str">
        <f>IF(LEN(IFERROR(VLOOKUP(A:A,意大利库存款!A:A,1,0),""))&gt;2,"意大利库存","")</f>
        <v/>
      </c>
      <c r="E70" s="70" t="str">
        <f t="shared" si="9"/>
        <v/>
      </c>
      <c r="I70" s="70" t="str">
        <f t="shared" ca="1" si="10"/>
        <v/>
      </c>
    </row>
    <row r="71" spans="1:9" ht="18" x14ac:dyDescent="0.25">
      <c r="A71" s="68" t="str">
        <f t="shared" si="8"/>
        <v/>
      </c>
      <c r="B71" s="91"/>
      <c r="C71" s="10" t="str">
        <f>IF(LEN(需打标签!A71)=0,"",IFERROR(VLOOKUP(需打标签!A:A,标签details!A:B,1,0),"无标签"))</f>
        <v/>
      </c>
      <c r="D71" s="60" t="str">
        <f>IF(LEN(IFERROR(VLOOKUP(A:A,意大利库存款!A:A,1,0),""))&gt;2,"意大利库存","")</f>
        <v/>
      </c>
      <c r="E71" s="70" t="str">
        <f t="shared" si="9"/>
        <v/>
      </c>
      <c r="I71" s="70" t="str">
        <f t="shared" ca="1" si="10"/>
        <v/>
      </c>
    </row>
    <row r="72" spans="1:9" ht="18" x14ac:dyDescent="0.25">
      <c r="A72" s="68" t="str">
        <f t="shared" si="8"/>
        <v/>
      </c>
      <c r="B72" s="91"/>
      <c r="C72" s="10" t="str">
        <f>IF(LEN(需打标签!A72)=0,"",IFERROR(VLOOKUP(需打标签!A:A,标签details!A:B,1,0),"无标签"))</f>
        <v/>
      </c>
      <c r="D72" s="60" t="str">
        <f>IF(LEN(IFERROR(VLOOKUP(A:A,意大利库存款!A:A,1,0),""))&gt;2,"意大利库存","")</f>
        <v/>
      </c>
      <c r="E72" s="70" t="str">
        <f t="shared" si="9"/>
        <v/>
      </c>
      <c r="I72" s="70" t="str">
        <f t="shared" ca="1" si="10"/>
        <v/>
      </c>
    </row>
    <row r="73" spans="1:9" ht="18" x14ac:dyDescent="0.25">
      <c r="A73" s="68" t="str">
        <f t="shared" si="8"/>
        <v/>
      </c>
      <c r="B73" s="91"/>
      <c r="C73" s="10" t="str">
        <f>IF(LEN(需打标签!A73)=0,"",IFERROR(VLOOKUP(需打标签!A:A,标签details!A:B,1,0),"无标签"))</f>
        <v/>
      </c>
      <c r="D73" s="60" t="str">
        <f>IF(LEN(IFERROR(VLOOKUP(A:A,意大利库存款!A:A,1,0),""))&gt;2,"意大利库存","")</f>
        <v/>
      </c>
      <c r="E73" s="70" t="str">
        <f t="shared" si="9"/>
        <v/>
      </c>
      <c r="I73" s="70" t="str">
        <f t="shared" ca="1" si="10"/>
        <v/>
      </c>
    </row>
    <row r="74" spans="1:9" ht="18" x14ac:dyDescent="0.25">
      <c r="A74" s="68" t="str">
        <f t="shared" si="8"/>
        <v/>
      </c>
      <c r="B74" s="91"/>
      <c r="C74" s="10" t="str">
        <f>IF(LEN(需打标签!A74)=0,"",IFERROR(VLOOKUP(需打标签!A:A,标签details!A:B,1,0),"无标签"))</f>
        <v/>
      </c>
      <c r="D74" s="60" t="str">
        <f>IF(LEN(IFERROR(VLOOKUP(A:A,意大利库存款!A:A,1,0),""))&gt;2,"意大利库存","")</f>
        <v/>
      </c>
      <c r="E74" s="70" t="str">
        <f t="shared" si="9"/>
        <v/>
      </c>
      <c r="I74" s="70" t="str">
        <f t="shared" ca="1" si="10"/>
        <v/>
      </c>
    </row>
    <row r="75" spans="1:9" ht="18" x14ac:dyDescent="0.25">
      <c r="A75" s="68" t="str">
        <f t="shared" si="8"/>
        <v/>
      </c>
      <c r="B75" s="91"/>
      <c r="C75" s="10" t="str">
        <f>IF(LEN(需打标签!A75)=0,"",IFERROR(VLOOKUP(需打标签!A:A,标签details!A:B,1,0),"无标签"))</f>
        <v/>
      </c>
      <c r="D75" s="60" t="str">
        <f>IF(LEN(IFERROR(VLOOKUP(A:A,意大利库存款!A:A,1,0),""))&gt;2,"意大利库存","")</f>
        <v/>
      </c>
      <c r="E75" s="70" t="str">
        <f t="shared" si="9"/>
        <v/>
      </c>
      <c r="I75" s="70" t="str">
        <f t="shared" ca="1" si="10"/>
        <v/>
      </c>
    </row>
    <row r="76" spans="1:9" ht="18" x14ac:dyDescent="0.25">
      <c r="A76" s="68" t="str">
        <f t="shared" si="8"/>
        <v/>
      </c>
      <c r="B76" s="91"/>
      <c r="C76" s="10" t="str">
        <f>IF(LEN(需打标签!A76)=0,"",IFERROR(VLOOKUP(需打标签!A:A,标签details!A:B,1,0),"无标签"))</f>
        <v/>
      </c>
      <c r="D76" s="60" t="str">
        <f>IF(LEN(IFERROR(VLOOKUP(A:A,意大利库存款!A:A,1,0),""))&gt;2,"意大利库存","")</f>
        <v/>
      </c>
      <c r="E76" s="70" t="str">
        <f t="shared" si="9"/>
        <v/>
      </c>
      <c r="I76" s="70" t="str">
        <f t="shared" ca="1" si="10"/>
        <v/>
      </c>
    </row>
    <row r="77" spans="1:9" ht="18" x14ac:dyDescent="0.25">
      <c r="A77" s="68" t="str">
        <f t="shared" si="8"/>
        <v/>
      </c>
      <c r="B77" s="91"/>
      <c r="C77" s="10" t="str">
        <f>IF(LEN(需打标签!A77)=0,"",IFERROR(VLOOKUP(需打标签!A:A,标签details!A:B,1,0),"无标签"))</f>
        <v/>
      </c>
      <c r="D77" s="60" t="str">
        <f>IF(LEN(IFERROR(VLOOKUP(A:A,意大利库存款!A:A,1,0),""))&gt;2,"意大利库存","")</f>
        <v/>
      </c>
      <c r="E77" s="70" t="str">
        <f t="shared" si="9"/>
        <v/>
      </c>
      <c r="I77" s="70" t="str">
        <f t="shared" ca="1" si="10"/>
        <v/>
      </c>
    </row>
    <row r="78" spans="1:9" ht="18" x14ac:dyDescent="0.25">
      <c r="A78" s="68" t="str">
        <f t="shared" si="8"/>
        <v/>
      </c>
      <c r="B78" s="91"/>
      <c r="C78" s="10" t="str">
        <f>IF(LEN(需打标签!A78)=0,"",IFERROR(VLOOKUP(需打标签!A:A,标签details!A:B,1,0),"无标签"))</f>
        <v/>
      </c>
      <c r="D78" s="60" t="str">
        <f>IF(LEN(IFERROR(VLOOKUP(A:A,意大利库存款!A:A,1,0),""))&gt;2,"意大利库存","")</f>
        <v/>
      </c>
      <c r="E78" s="70" t="str">
        <f t="shared" si="9"/>
        <v/>
      </c>
      <c r="I78" s="70" t="str">
        <f t="shared" ca="1" si="10"/>
        <v/>
      </c>
    </row>
    <row r="79" spans="1:9" ht="18" x14ac:dyDescent="0.25">
      <c r="A79" s="68" t="str">
        <f t="shared" si="8"/>
        <v/>
      </c>
      <c r="B79" s="91"/>
      <c r="C79" s="10" t="str">
        <f>IF(LEN(需打标签!A79)=0,"",IFERROR(VLOOKUP(需打标签!A:A,标签details!A:B,1,0),"无标签"))</f>
        <v/>
      </c>
      <c r="D79" s="60" t="str">
        <f>IF(LEN(IFERROR(VLOOKUP(A:A,意大利库存款!A:A,1,0),""))&gt;2,"意大利库存","")</f>
        <v/>
      </c>
      <c r="E79" s="70" t="str">
        <f t="shared" si="9"/>
        <v/>
      </c>
      <c r="I79" s="70" t="str">
        <f t="shared" ca="1" si="10"/>
        <v/>
      </c>
    </row>
    <row r="80" spans="1:9" ht="18" x14ac:dyDescent="0.25">
      <c r="A80" s="68" t="str">
        <f t="shared" si="8"/>
        <v/>
      </c>
      <c r="B80" s="91"/>
      <c r="C80" s="10" t="str">
        <f>IF(LEN(需打标签!A80)=0,"",IFERROR(VLOOKUP(需打标签!A:A,标签details!A:B,1,0),"无标签"))</f>
        <v/>
      </c>
      <c r="D80" s="60" t="str">
        <f>IF(LEN(IFERROR(VLOOKUP(A:A,意大利库存款!A:A,1,0),""))&gt;2,"意大利库存","")</f>
        <v/>
      </c>
      <c r="E80" s="70" t="str">
        <f t="shared" si="9"/>
        <v/>
      </c>
      <c r="I80" s="70" t="str">
        <f t="shared" ca="1" si="10"/>
        <v/>
      </c>
    </row>
    <row r="81" spans="1:9" ht="18" x14ac:dyDescent="0.25">
      <c r="A81" s="68" t="str">
        <f t="shared" si="8"/>
        <v/>
      </c>
      <c r="B81" s="91"/>
      <c r="C81" s="10" t="str">
        <f>IF(LEN(需打标签!A81)=0,"",IFERROR(VLOOKUP(需打标签!A:A,标签details!A:B,1,0),"无标签"))</f>
        <v/>
      </c>
      <c r="D81" s="60" t="str">
        <f>IF(LEN(IFERROR(VLOOKUP(A:A,意大利库存款!A:A,1,0),""))&gt;2,"意大利库存","")</f>
        <v/>
      </c>
      <c r="E81" s="70" t="str">
        <f t="shared" si="9"/>
        <v/>
      </c>
      <c r="I81" s="70" t="str">
        <f t="shared" ca="1" si="10"/>
        <v/>
      </c>
    </row>
    <row r="82" spans="1:9" ht="18" x14ac:dyDescent="0.25">
      <c r="A82" s="68" t="str">
        <f t="shared" si="8"/>
        <v/>
      </c>
      <c r="B82" s="91"/>
      <c r="C82" s="10" t="str">
        <f>IF(LEN(需打标签!A82)=0,"",IFERROR(VLOOKUP(需打标签!A:A,标签details!A:B,1,0),"无标签"))</f>
        <v/>
      </c>
      <c r="D82" s="60" t="str">
        <f>IF(LEN(IFERROR(VLOOKUP(A:A,意大利库存款!A:A,1,0),""))&gt;2,"意大利库存","")</f>
        <v/>
      </c>
      <c r="E82" s="70" t="str">
        <f t="shared" si="9"/>
        <v/>
      </c>
      <c r="I82" s="70" t="str">
        <f t="shared" ca="1" si="10"/>
        <v/>
      </c>
    </row>
    <row r="83" spans="1:9" ht="18" x14ac:dyDescent="0.25">
      <c r="A83" s="68" t="str">
        <f t="shared" si="8"/>
        <v/>
      </c>
      <c r="B83" s="91"/>
      <c r="C83" s="10" t="str">
        <f>IF(LEN(需打标签!A83)=0,"",IFERROR(VLOOKUP(需打标签!A:A,标签details!A:B,1,0),"无标签"))</f>
        <v/>
      </c>
      <c r="D83" s="60" t="str">
        <f>IF(LEN(IFERROR(VLOOKUP(A:A,意大利库存款!A:A,1,0),""))&gt;2,"意大利库存","")</f>
        <v/>
      </c>
      <c r="E83" s="70" t="str">
        <f t="shared" si="9"/>
        <v/>
      </c>
      <c r="I83" s="70" t="str">
        <f t="shared" ca="1" si="10"/>
        <v/>
      </c>
    </row>
    <row r="84" spans="1:9" ht="18" x14ac:dyDescent="0.25">
      <c r="A84" s="68" t="str">
        <f t="shared" si="8"/>
        <v/>
      </c>
      <c r="B84" s="91"/>
      <c r="C84" s="10" t="str">
        <f>IF(LEN(需打标签!A84)=0,"",IFERROR(VLOOKUP(需打标签!A:A,标签details!A:B,1,0),"无标签"))</f>
        <v/>
      </c>
      <c r="D84" s="60" t="str">
        <f>IF(LEN(IFERROR(VLOOKUP(A:A,意大利库存款!A:A,1,0),""))&gt;2,"意大利库存","")</f>
        <v/>
      </c>
      <c r="E84" s="70" t="str">
        <f t="shared" si="9"/>
        <v/>
      </c>
      <c r="I84" s="70" t="str">
        <f t="shared" ca="1" si="10"/>
        <v/>
      </c>
    </row>
    <row r="85" spans="1:9" ht="18" x14ac:dyDescent="0.25">
      <c r="A85" s="68" t="str">
        <f t="shared" si="8"/>
        <v/>
      </c>
      <c r="B85" s="91"/>
      <c r="C85" s="10" t="str">
        <f>IF(LEN(需打标签!A85)=0,"",IFERROR(VLOOKUP(需打标签!A:A,标签details!A:B,1,0),"无标签"))</f>
        <v/>
      </c>
      <c r="D85" s="60" t="str">
        <f>IF(LEN(IFERROR(VLOOKUP(A:A,意大利库存款!A:A,1,0),""))&gt;2,"意大利库存","")</f>
        <v/>
      </c>
      <c r="E85" s="70" t="str">
        <f t="shared" si="9"/>
        <v/>
      </c>
      <c r="I85" s="70" t="str">
        <f t="shared" ca="1" si="10"/>
        <v/>
      </c>
    </row>
    <row r="86" spans="1:9" ht="18" x14ac:dyDescent="0.25">
      <c r="A86" s="68" t="str">
        <f t="shared" si="8"/>
        <v/>
      </c>
      <c r="B86" s="91"/>
      <c r="C86" s="10" t="str">
        <f>IF(LEN(需打标签!A86)=0,"",IFERROR(VLOOKUP(需打标签!A:A,标签details!A:B,1,0),"无标签"))</f>
        <v/>
      </c>
      <c r="D86" s="60" t="str">
        <f>IF(LEN(IFERROR(VLOOKUP(A:A,意大利库存款!A:A,1,0),""))&gt;2,"意大利库存","")</f>
        <v/>
      </c>
      <c r="E86" s="70" t="str">
        <f t="shared" si="9"/>
        <v/>
      </c>
      <c r="I86" s="70" t="str">
        <f t="shared" ca="1" si="10"/>
        <v/>
      </c>
    </row>
    <row r="87" spans="1:9" ht="18" x14ac:dyDescent="0.25">
      <c r="A87" s="68" t="str">
        <f t="shared" si="8"/>
        <v/>
      </c>
      <c r="B87" s="91"/>
      <c r="C87" s="10" t="str">
        <f>IF(LEN(需打标签!A87)=0,"",IFERROR(VLOOKUP(需打标签!A:A,标签details!A:B,1,0),"无标签"))</f>
        <v/>
      </c>
      <c r="D87" s="60" t="str">
        <f>IF(LEN(IFERROR(VLOOKUP(A:A,意大利库存款!A:A,1,0),""))&gt;2,"意大利库存","")</f>
        <v/>
      </c>
      <c r="E87" s="70" t="str">
        <f t="shared" si="9"/>
        <v/>
      </c>
      <c r="I87" s="70" t="str">
        <f t="shared" ca="1" si="10"/>
        <v/>
      </c>
    </row>
    <row r="88" spans="1:9" ht="18" x14ac:dyDescent="0.25">
      <c r="A88" s="68" t="str">
        <f t="shared" si="8"/>
        <v/>
      </c>
      <c r="B88" s="91"/>
      <c r="C88" s="10" t="str">
        <f>IF(LEN(需打标签!A88)=0,"",IFERROR(VLOOKUP(需打标签!A:A,标签details!A:B,1,0),"无标签"))</f>
        <v/>
      </c>
      <c r="D88" s="60" t="str">
        <f>IF(LEN(IFERROR(VLOOKUP(A:A,意大利库存款!A:A,1,0),""))&gt;2,"意大利库存","")</f>
        <v/>
      </c>
      <c r="E88" s="70" t="str">
        <f t="shared" si="9"/>
        <v/>
      </c>
      <c r="I88" s="70" t="str">
        <f t="shared" ca="1" si="10"/>
        <v/>
      </c>
    </row>
    <row r="89" spans="1:9" ht="18" x14ac:dyDescent="0.25">
      <c r="A89" s="68" t="str">
        <f t="shared" si="8"/>
        <v/>
      </c>
      <c r="B89" s="91"/>
      <c r="C89" s="10" t="str">
        <f>IF(LEN(需打标签!A89)=0,"",IFERROR(VLOOKUP(需打标签!A:A,标签details!A:B,1,0),"无标签"))</f>
        <v/>
      </c>
      <c r="D89" s="60" t="str">
        <f>IF(LEN(IFERROR(VLOOKUP(A:A,意大利库存款!A:A,1,0),""))&gt;2,"意大利库存","")</f>
        <v/>
      </c>
      <c r="E89" s="70" t="str">
        <f t="shared" si="9"/>
        <v/>
      </c>
      <c r="I89" s="70" t="str">
        <f t="shared" ca="1" si="10"/>
        <v/>
      </c>
    </row>
    <row r="90" spans="1:9" ht="18" x14ac:dyDescent="0.25">
      <c r="A90" s="68" t="str">
        <f t="shared" si="8"/>
        <v/>
      </c>
      <c r="B90" s="91"/>
      <c r="C90" s="10" t="str">
        <f>IF(LEN(需打标签!A90)=0,"",IFERROR(VLOOKUP(需打标签!A:A,标签details!A:B,1,0),"无标签"))</f>
        <v/>
      </c>
      <c r="D90" s="60" t="str">
        <f>IF(LEN(IFERROR(VLOOKUP(A:A,意大利库存款!A:A,1,0),""))&gt;2,"意大利库存","")</f>
        <v/>
      </c>
      <c r="E90" s="70" t="str">
        <f t="shared" si="9"/>
        <v/>
      </c>
      <c r="I90" s="70" t="str">
        <f t="shared" ca="1" si="10"/>
        <v/>
      </c>
    </row>
    <row r="91" spans="1:9" ht="18" x14ac:dyDescent="0.25">
      <c r="A91" s="68" t="str">
        <f t="shared" si="8"/>
        <v/>
      </c>
      <c r="B91" s="91"/>
      <c r="C91" s="10" t="str">
        <f>IF(LEN(需打标签!A91)=0,"",IFERROR(VLOOKUP(需打标签!A:A,标签details!A:B,1,0),"无标签"))</f>
        <v/>
      </c>
      <c r="D91" s="60" t="str">
        <f>IF(LEN(IFERROR(VLOOKUP(A:A,意大利库存款!A:A,1,0),""))&gt;2,"意大利库存","")</f>
        <v/>
      </c>
      <c r="E91" s="70" t="str">
        <f t="shared" si="9"/>
        <v/>
      </c>
      <c r="I91" s="70" t="str">
        <f t="shared" ca="1" si="10"/>
        <v/>
      </c>
    </row>
    <row r="92" spans="1:9" ht="18" x14ac:dyDescent="0.25">
      <c r="A92" s="68" t="str">
        <f t="shared" si="8"/>
        <v/>
      </c>
      <c r="B92" s="91"/>
      <c r="C92" s="10" t="str">
        <f>IF(LEN(需打标签!A92)=0,"",IFERROR(VLOOKUP(需打标签!A:A,标签details!A:B,1,0),"无标签"))</f>
        <v/>
      </c>
      <c r="D92" s="60" t="str">
        <f>IF(LEN(IFERROR(VLOOKUP(A:A,意大利库存款!A:A,1,0),""))&gt;2,"意大利库存","")</f>
        <v/>
      </c>
      <c r="E92" s="70" t="str">
        <f t="shared" si="9"/>
        <v/>
      </c>
      <c r="I92" s="70" t="str">
        <f t="shared" ca="1" si="10"/>
        <v/>
      </c>
    </row>
    <row r="93" spans="1:9" ht="18" x14ac:dyDescent="0.25">
      <c r="A93" s="68" t="str">
        <f t="shared" si="8"/>
        <v/>
      </c>
      <c r="B93" s="91"/>
      <c r="C93" s="10" t="str">
        <f>IF(LEN(需打标签!A93)=0,"",IFERROR(VLOOKUP(需打标签!A:A,标签details!A:B,1,0),"无标签"))</f>
        <v/>
      </c>
      <c r="D93" s="60" t="str">
        <f>IF(LEN(IFERROR(VLOOKUP(A:A,意大利库存款!A:A,1,0),""))&gt;2,"意大利库存","")</f>
        <v/>
      </c>
      <c r="E93" s="70" t="str">
        <f t="shared" si="9"/>
        <v/>
      </c>
      <c r="I93" s="70" t="str">
        <f t="shared" ca="1" si="10"/>
        <v/>
      </c>
    </row>
    <row r="94" spans="1:9" ht="18" x14ac:dyDescent="0.25">
      <c r="A94" s="68" t="str">
        <f t="shared" si="8"/>
        <v/>
      </c>
      <c r="B94" s="91"/>
      <c r="C94" s="10" t="str">
        <f>IF(LEN(需打标签!A94)=0,"",IFERROR(VLOOKUP(需打标签!A:A,标签details!A:B,1,0),"无标签"))</f>
        <v/>
      </c>
      <c r="D94" s="60" t="str">
        <f>IF(LEN(IFERROR(VLOOKUP(A:A,意大利库存款!A:A,1,0),""))&gt;2,"意大利库存","")</f>
        <v/>
      </c>
      <c r="E94" s="70" t="str">
        <f t="shared" si="9"/>
        <v/>
      </c>
      <c r="I94" s="70" t="str">
        <f t="shared" ca="1" si="10"/>
        <v/>
      </c>
    </row>
    <row r="95" spans="1:9" ht="18" x14ac:dyDescent="0.25">
      <c r="A95" s="68" t="str">
        <f t="shared" si="8"/>
        <v/>
      </c>
      <c r="B95" s="91"/>
      <c r="C95" s="10" t="str">
        <f>IF(LEN(需打标签!A95)=0,"",IFERROR(VLOOKUP(需打标签!A:A,标签details!A:B,1,0),"无标签"))</f>
        <v/>
      </c>
      <c r="D95" s="60" t="str">
        <f>IF(LEN(IFERROR(VLOOKUP(A:A,意大利库存款!A:A,1,0),""))&gt;2,"意大利库存","")</f>
        <v/>
      </c>
      <c r="E95" s="70" t="str">
        <f t="shared" si="9"/>
        <v/>
      </c>
      <c r="I95" s="70" t="str">
        <f t="shared" ca="1" si="10"/>
        <v/>
      </c>
    </row>
    <row r="96" spans="1:9" ht="18" x14ac:dyDescent="0.25">
      <c r="A96" s="68" t="str">
        <f t="shared" si="8"/>
        <v/>
      </c>
      <c r="B96" s="91"/>
      <c r="C96" s="10" t="str">
        <f>IF(LEN(需打标签!A96)=0,"",IFERROR(VLOOKUP(需打标签!A:A,标签details!A:B,1,0),"无标签"))</f>
        <v/>
      </c>
      <c r="D96" s="60" t="str">
        <f>IF(LEN(IFERROR(VLOOKUP(A:A,意大利库存款!A:A,1,0),""))&gt;2,"意大利库存","")</f>
        <v/>
      </c>
      <c r="E96" s="70" t="str">
        <f t="shared" si="9"/>
        <v/>
      </c>
      <c r="I96" s="70" t="str">
        <f t="shared" ca="1" si="10"/>
        <v/>
      </c>
    </row>
    <row r="97" spans="1:9" ht="18" x14ac:dyDescent="0.25">
      <c r="A97" s="68" t="str">
        <f t="shared" si="8"/>
        <v/>
      </c>
      <c r="B97" s="90"/>
      <c r="C97" s="10" t="str">
        <f>IF(LEN(需打标签!A97)=0,"",IFERROR(VLOOKUP(需打标签!A:A,标签details!A:B,1,0),"无标签"))</f>
        <v/>
      </c>
      <c r="D97" s="60" t="str">
        <f>IF(LEN(IFERROR(VLOOKUP(A:A,意大利库存款!A:A,1,0),""))&gt;2,"意大利库存","")</f>
        <v/>
      </c>
      <c r="E97" s="70" t="str">
        <f t="shared" si="9"/>
        <v/>
      </c>
      <c r="I97" s="70" t="str">
        <f t="shared" ca="1" si="10"/>
        <v/>
      </c>
    </row>
    <row r="98" spans="1:9" ht="18" x14ac:dyDescent="0.25">
      <c r="A98" s="68" t="str">
        <f t="shared" si="8"/>
        <v/>
      </c>
      <c r="B98" s="91"/>
      <c r="C98" s="10" t="str">
        <f>IF(LEN(需打标签!A98)=0,"",IFERROR(VLOOKUP(需打标签!A:A,标签details!A:B,1,0),"无标签"))</f>
        <v/>
      </c>
      <c r="D98" s="60" t="str">
        <f>IF(LEN(IFERROR(VLOOKUP(A:A,意大利库存款!A:A,1,0),""))&gt;2,"意大利库存","")</f>
        <v/>
      </c>
      <c r="E98" s="70" t="str">
        <f t="shared" si="9"/>
        <v/>
      </c>
      <c r="I98" s="70" t="str">
        <f t="shared" ca="1" si="10"/>
        <v/>
      </c>
    </row>
    <row r="99" spans="1:9" ht="18" x14ac:dyDescent="0.25">
      <c r="A99" s="68" t="str">
        <f t="shared" si="8"/>
        <v/>
      </c>
      <c r="B99" s="90"/>
      <c r="C99" s="10" t="str">
        <f>IF(LEN(需打标签!A99)=0,"",IFERROR(VLOOKUP(需打标签!A:A,标签details!A:B,1,0),"无标签"))</f>
        <v/>
      </c>
      <c r="D99" s="60" t="str">
        <f>IF(LEN(IFERROR(VLOOKUP(A:A,意大利库存款!A:A,1,0),""))&gt;2,"意大利库存","")</f>
        <v/>
      </c>
      <c r="E99" s="70" t="str">
        <f t="shared" si="9"/>
        <v/>
      </c>
      <c r="I99" s="70" t="str">
        <f t="shared" ca="1" si="10"/>
        <v/>
      </c>
    </row>
    <row r="100" spans="1:9" ht="18" x14ac:dyDescent="0.25">
      <c r="A100" s="68" t="str">
        <f t="shared" si="8"/>
        <v/>
      </c>
      <c r="B100" s="90"/>
      <c r="C100" s="10" t="str">
        <f>IF(LEN(需打标签!A100)=0,"",IFERROR(VLOOKUP(需打标签!A:A,标签details!A:B,1,0),"无标签"))</f>
        <v/>
      </c>
      <c r="D100" s="60" t="str">
        <f>IF(LEN(IFERROR(VLOOKUP(A:A,意大利库存款!A:A,1,0),""))&gt;2,"意大利库存","")</f>
        <v/>
      </c>
      <c r="E100" s="70" t="str">
        <f t="shared" si="9"/>
        <v/>
      </c>
      <c r="I100" s="70" t="str">
        <f t="shared" ca="1" si="10"/>
        <v/>
      </c>
    </row>
    <row r="101" spans="1:9" ht="18" x14ac:dyDescent="0.25">
      <c r="A101" s="68" t="str">
        <f t="shared" si="8"/>
        <v/>
      </c>
      <c r="B101" s="90"/>
      <c r="C101" s="10" t="str">
        <f>IF(LEN(需打标签!A101)=0,"",IFERROR(VLOOKUP(需打标签!A:A,标签details!A:B,1,0),"无标签"))</f>
        <v/>
      </c>
      <c r="D101" s="60" t="str">
        <f>IF(LEN(IFERROR(VLOOKUP(A:A,意大利库存款!A:A,1,0),""))&gt;2,"意大利库存","")</f>
        <v/>
      </c>
      <c r="E101" s="70" t="str">
        <f t="shared" si="9"/>
        <v/>
      </c>
      <c r="I101" s="70" t="str">
        <f t="shared" ca="1" si="10"/>
        <v/>
      </c>
    </row>
    <row r="102" spans="1:9" ht="18" x14ac:dyDescent="0.25">
      <c r="A102" s="68" t="str">
        <f t="shared" si="8"/>
        <v/>
      </c>
      <c r="B102" s="91"/>
      <c r="C102" s="10" t="str">
        <f>IF(LEN(需打标签!A102)=0,"",IFERROR(VLOOKUP(需打标签!A:A,标签details!A:B,1,0),"无标签"))</f>
        <v/>
      </c>
      <c r="D102" s="60" t="str">
        <f>IF(LEN(IFERROR(VLOOKUP(A:A,意大利库存款!A:A,1,0),""))&gt;2,"意大利库存","")</f>
        <v/>
      </c>
      <c r="E102" s="70" t="str">
        <f t="shared" si="9"/>
        <v/>
      </c>
      <c r="I102" s="70" t="str">
        <f t="shared" ca="1" si="10"/>
        <v/>
      </c>
    </row>
    <row r="103" spans="1:9" ht="18" x14ac:dyDescent="0.25">
      <c r="A103" s="68" t="str">
        <f t="shared" si="8"/>
        <v/>
      </c>
      <c r="B103" s="92"/>
      <c r="C103" s="10" t="str">
        <f>IF(LEN(需打标签!A103)=0,"",IFERROR(VLOOKUP(需打标签!A:A,标签details!A:B,1,0),"无标签"))</f>
        <v/>
      </c>
      <c r="D103" s="60" t="str">
        <f>IF(LEN(IFERROR(VLOOKUP(A:A,意大利库存款!A:A,1,0),""))&gt;2,"意大利库存","")</f>
        <v/>
      </c>
      <c r="E103" s="70" t="str">
        <f t="shared" si="9"/>
        <v/>
      </c>
      <c r="I103" s="70" t="str">
        <f t="shared" ca="1" si="10"/>
        <v/>
      </c>
    </row>
    <row r="104" spans="1:9" ht="18" x14ac:dyDescent="0.25">
      <c r="A104" s="68" t="str">
        <f t="shared" si="8"/>
        <v/>
      </c>
      <c r="B104" s="90"/>
      <c r="C104" s="10" t="str">
        <f>IF(LEN(需打标签!A104)=0,"",IFERROR(VLOOKUP(需打标签!A:A,标签details!A:B,1,0),"无标签"))</f>
        <v/>
      </c>
      <c r="D104" s="60" t="str">
        <f>IF(LEN(IFERROR(VLOOKUP(A:A,意大利库存款!A:A,1,0),""))&gt;2,"意大利库存","")</f>
        <v/>
      </c>
      <c r="E104" s="70" t="str">
        <f t="shared" si="9"/>
        <v/>
      </c>
      <c r="I104" s="70" t="str">
        <f t="shared" ca="1" si="10"/>
        <v/>
      </c>
    </row>
    <row r="105" spans="1:9" ht="18" x14ac:dyDescent="0.25">
      <c r="A105" s="68" t="str">
        <f t="shared" si="8"/>
        <v/>
      </c>
      <c r="B105" s="90"/>
      <c r="C105" s="10" t="str">
        <f>IF(LEN(需打标签!A105)=0,"",IFERROR(VLOOKUP(需打标签!A:A,标签details!A:B,1,0),"无标签"))</f>
        <v/>
      </c>
      <c r="D105" s="60" t="str">
        <f>IF(LEN(IFERROR(VLOOKUP(A:A,意大利库存款!A:A,1,0),""))&gt;2,"意大利库存","")</f>
        <v/>
      </c>
      <c r="E105" s="70" t="str">
        <f t="shared" si="9"/>
        <v/>
      </c>
      <c r="I105" s="70" t="str">
        <f t="shared" ca="1" si="10"/>
        <v/>
      </c>
    </row>
    <row r="106" spans="1:9" ht="18" x14ac:dyDescent="0.25">
      <c r="A106" s="68" t="str">
        <f t="shared" si="8"/>
        <v/>
      </c>
      <c r="B106" s="90"/>
      <c r="C106" s="10" t="str">
        <f>IF(LEN(需打标签!A106)=0,"",IFERROR(VLOOKUP(需打标签!A:A,标签details!A:B,1,0),"无标签"))</f>
        <v/>
      </c>
      <c r="D106" s="60" t="str">
        <f>IF(LEN(IFERROR(VLOOKUP(A:A,意大利库存款!A:A,1,0),""))&gt;2,"意大利库存","")</f>
        <v/>
      </c>
      <c r="E106" s="70" t="str">
        <f t="shared" si="9"/>
        <v/>
      </c>
      <c r="I106" s="70" t="str">
        <f t="shared" ca="1" si="10"/>
        <v/>
      </c>
    </row>
    <row r="107" spans="1:9" ht="18" x14ac:dyDescent="0.25">
      <c r="A107" s="68" t="str">
        <f t="shared" si="8"/>
        <v/>
      </c>
      <c r="B107" s="90"/>
      <c r="C107" s="10" t="str">
        <f>IF(LEN(需打标签!A107)=0,"",IFERROR(VLOOKUP(需打标签!A:A,标签details!A:B,1,0),"无标签"))</f>
        <v/>
      </c>
      <c r="D107" s="60" t="str">
        <f>IF(LEN(IFERROR(VLOOKUP(A:A,意大利库存款!A:A,1,0),""))&gt;2,"意大利库存","")</f>
        <v/>
      </c>
      <c r="E107" s="70" t="str">
        <f t="shared" si="9"/>
        <v/>
      </c>
      <c r="I107" s="70" t="str">
        <f t="shared" ca="1" si="10"/>
        <v/>
      </c>
    </row>
    <row r="108" spans="1:9" ht="18" x14ac:dyDescent="0.25">
      <c r="A108" s="68" t="str">
        <f t="shared" si="8"/>
        <v/>
      </c>
      <c r="B108" s="91"/>
      <c r="C108" s="10" t="str">
        <f>IF(LEN(需打标签!A108)=0,"",IFERROR(VLOOKUP(需打标签!A:A,标签details!A:B,1,0),"无标签"))</f>
        <v/>
      </c>
      <c r="D108" s="60" t="str">
        <f>IF(LEN(IFERROR(VLOOKUP(A:A,意大利库存款!A:A,1,0),""))&gt;2,"意大利库存","")</f>
        <v/>
      </c>
      <c r="E108" s="70" t="str">
        <f t="shared" si="9"/>
        <v/>
      </c>
      <c r="I108" s="70" t="str">
        <f t="shared" ca="1" si="10"/>
        <v/>
      </c>
    </row>
    <row r="109" spans="1:9" ht="18" x14ac:dyDescent="0.25">
      <c r="A109" s="68" t="str">
        <f t="shared" si="8"/>
        <v/>
      </c>
      <c r="B109" s="91"/>
      <c r="C109" s="10" t="str">
        <f>IF(LEN(需打标签!A109)=0,"",IFERROR(VLOOKUP(需打标签!A:A,标签details!A:B,1,0),"无标签"))</f>
        <v/>
      </c>
      <c r="D109" s="60" t="str">
        <f>IF(LEN(IFERROR(VLOOKUP(A:A,意大利库存款!A:A,1,0),""))&gt;2,"意大利库存","")</f>
        <v/>
      </c>
      <c r="E109" s="70" t="str">
        <f t="shared" si="9"/>
        <v/>
      </c>
      <c r="I109" s="70" t="str">
        <f t="shared" ca="1" si="10"/>
        <v/>
      </c>
    </row>
    <row r="110" spans="1:9" ht="18" x14ac:dyDescent="0.25">
      <c r="A110" s="68" t="str">
        <f t="shared" si="8"/>
        <v/>
      </c>
      <c r="B110" s="91"/>
      <c r="C110" s="10" t="str">
        <f>IF(LEN(需打标签!A110)=0,"",IFERROR(VLOOKUP(需打标签!A:A,标签details!A:B,1,0),"无标签"))</f>
        <v/>
      </c>
      <c r="D110" s="60" t="str">
        <f>IF(LEN(IFERROR(VLOOKUP(A:A,意大利库存款!A:A,1,0),""))&gt;2,"意大利库存","")</f>
        <v/>
      </c>
      <c r="E110" s="70" t="str">
        <f t="shared" si="9"/>
        <v/>
      </c>
      <c r="I110" s="70" t="str">
        <f t="shared" ca="1" si="10"/>
        <v/>
      </c>
    </row>
    <row r="111" spans="1:9" ht="18" x14ac:dyDescent="0.25">
      <c r="A111" s="68" t="str">
        <f t="shared" si="8"/>
        <v/>
      </c>
      <c r="B111" s="93"/>
      <c r="C111" s="10" t="str">
        <f>IF(LEN(需打标签!A111)=0,"",IFERROR(VLOOKUP(需打标签!A:A,标签details!A:B,1,0),"无标签"))</f>
        <v/>
      </c>
      <c r="D111" s="60" t="str">
        <f>IF(LEN(IFERROR(VLOOKUP(A:A,意大利库存款!A:A,1,0),""))&gt;2,"意大利库存","")</f>
        <v/>
      </c>
      <c r="E111" s="70" t="str">
        <f t="shared" si="9"/>
        <v/>
      </c>
      <c r="I111" s="70" t="str">
        <f t="shared" ca="1" si="10"/>
        <v/>
      </c>
    </row>
    <row r="112" spans="1:9" ht="18" x14ac:dyDescent="0.25">
      <c r="A112" s="68" t="str">
        <f t="shared" si="8"/>
        <v/>
      </c>
      <c r="B112" s="94"/>
      <c r="C112" s="10" t="str">
        <f>IF(LEN(需打标签!A112)=0,"",IFERROR(VLOOKUP(需打标签!A:A,标签details!A:B,1,0),"无标签"))</f>
        <v/>
      </c>
      <c r="D112" s="60" t="str">
        <f>IF(LEN(IFERROR(VLOOKUP(A:A,意大利库存款!A:A,1,0),""))&gt;2,"意大利库存","")</f>
        <v/>
      </c>
      <c r="E112" s="70" t="str">
        <f t="shared" si="9"/>
        <v/>
      </c>
      <c r="I112" s="70" t="str">
        <f t="shared" ca="1" si="10"/>
        <v/>
      </c>
    </row>
    <row r="113" spans="1:9" ht="18" x14ac:dyDescent="0.25">
      <c r="A113" s="68" t="str">
        <f t="shared" si="8"/>
        <v/>
      </c>
      <c r="B113" s="94"/>
      <c r="C113" s="10" t="str">
        <f>IF(LEN(需打标签!A113)=0,"",IFERROR(VLOOKUP(需打标签!A:A,标签details!A:B,1,0),"无标签"))</f>
        <v/>
      </c>
      <c r="D113" s="60" t="str">
        <f>IF(LEN(IFERROR(VLOOKUP(A:A,意大利库存款!A:A,1,0),""))&gt;2,"意大利库存","")</f>
        <v/>
      </c>
      <c r="E113" s="70" t="str">
        <f t="shared" si="9"/>
        <v/>
      </c>
      <c r="I113" s="70" t="str">
        <f t="shared" ca="1" si="10"/>
        <v/>
      </c>
    </row>
    <row r="114" spans="1:9" ht="18" x14ac:dyDescent="0.25">
      <c r="A114" s="68" t="str">
        <f t="shared" si="8"/>
        <v/>
      </c>
      <c r="B114" s="94"/>
      <c r="C114" s="10" t="str">
        <f>IF(LEN(需打标签!A114)=0,"",IFERROR(VLOOKUP(需打标签!A:A,标签details!A:B,1,0),"无标签"))</f>
        <v/>
      </c>
      <c r="D114" s="60" t="str">
        <f>IF(LEN(IFERROR(VLOOKUP(A:A,意大利库存款!A:A,1,0),""))&gt;2,"意大利库存","")</f>
        <v/>
      </c>
      <c r="E114" s="70" t="str">
        <f t="shared" si="9"/>
        <v/>
      </c>
      <c r="I114" s="70" t="str">
        <f t="shared" ca="1" si="10"/>
        <v/>
      </c>
    </row>
    <row r="115" spans="1:9" ht="18" x14ac:dyDescent="0.25">
      <c r="A115" s="68" t="str">
        <f t="shared" si="8"/>
        <v/>
      </c>
      <c r="B115" s="94"/>
      <c r="C115" s="10" t="str">
        <f>IF(LEN(需打标签!A115)=0,"",IFERROR(VLOOKUP(需打标签!A:A,标签details!A:B,1,0),"无标签"))</f>
        <v/>
      </c>
      <c r="D115" s="60" t="str">
        <f>IF(LEN(IFERROR(VLOOKUP(A:A,意大利库存款!A:A,1,0),""))&gt;2,"意大利库存","")</f>
        <v/>
      </c>
      <c r="E115" s="70" t="str">
        <f t="shared" si="9"/>
        <v/>
      </c>
      <c r="I115" s="70" t="str">
        <f t="shared" ca="1" si="10"/>
        <v/>
      </c>
    </row>
    <row r="116" spans="1:9" ht="18" x14ac:dyDescent="0.25">
      <c r="A116" s="68" t="str">
        <f t="shared" si="8"/>
        <v/>
      </c>
      <c r="B116" s="94"/>
      <c r="C116" s="10" t="str">
        <f>IF(LEN(需打标签!A116)=0,"",IFERROR(VLOOKUP(需打标签!A:A,标签details!A:B,1,0),"无标签"))</f>
        <v/>
      </c>
      <c r="D116" s="60" t="str">
        <f>IF(LEN(IFERROR(VLOOKUP(A:A,意大利库存款!A:A,1,0),""))&gt;2,"意大利库存","")</f>
        <v/>
      </c>
      <c r="E116" s="70" t="str">
        <f t="shared" si="9"/>
        <v/>
      </c>
      <c r="I116" s="70" t="str">
        <f t="shared" ca="1" si="10"/>
        <v/>
      </c>
    </row>
    <row r="117" spans="1:9" ht="18" x14ac:dyDescent="0.25">
      <c r="A117" s="68" t="str">
        <f t="shared" si="8"/>
        <v/>
      </c>
      <c r="B117" s="91"/>
      <c r="C117" s="10" t="str">
        <f>IF(LEN(需打标签!A117)=0,"",IFERROR(VLOOKUP(需打标签!A:A,标签details!A:B,1,0),"无标签"))</f>
        <v/>
      </c>
      <c r="D117" s="60" t="str">
        <f>IF(LEN(IFERROR(VLOOKUP(A:A,意大利库存款!A:A,1,0),""))&gt;2,"意大利库存","")</f>
        <v/>
      </c>
      <c r="E117" s="70" t="str">
        <f t="shared" si="9"/>
        <v/>
      </c>
      <c r="I117" s="70" t="str">
        <f t="shared" ca="1" si="10"/>
        <v/>
      </c>
    </row>
    <row r="118" spans="1:9" ht="18" x14ac:dyDescent="0.25">
      <c r="A118" s="68" t="str">
        <f t="shared" si="8"/>
        <v/>
      </c>
      <c r="B118" s="91"/>
      <c r="C118" s="10" t="str">
        <f>IF(LEN(需打标签!A118)=0,"",IFERROR(VLOOKUP(需打标签!A:A,标签details!A:B,1,0),"无标签"))</f>
        <v/>
      </c>
      <c r="D118" s="60" t="str">
        <f>IF(LEN(IFERROR(VLOOKUP(A:A,意大利库存款!A:A,1,0),""))&gt;2,"意大利库存","")</f>
        <v/>
      </c>
      <c r="E118" s="70" t="str">
        <f t="shared" si="9"/>
        <v/>
      </c>
      <c r="I118" s="70" t="str">
        <f t="shared" ca="1" si="10"/>
        <v/>
      </c>
    </row>
    <row r="119" spans="1:9" ht="18" x14ac:dyDescent="0.25">
      <c r="A119" s="68" t="str">
        <f t="shared" si="8"/>
        <v/>
      </c>
      <c r="B119" s="91"/>
      <c r="C119" s="10" t="str">
        <f>IF(LEN(需打标签!A119)=0,"",IFERROR(VLOOKUP(需打标签!A:A,标签details!A:B,1,0),"无标签"))</f>
        <v/>
      </c>
      <c r="D119" s="60" t="str">
        <f>IF(LEN(IFERROR(VLOOKUP(A:A,意大利库存款!A:A,1,0),""))&gt;2,"意大利库存","")</f>
        <v/>
      </c>
      <c r="E119" s="70" t="str">
        <f t="shared" si="9"/>
        <v/>
      </c>
      <c r="I119" s="70" t="str">
        <f t="shared" ca="1" si="10"/>
        <v/>
      </c>
    </row>
    <row r="120" spans="1:9" ht="18" x14ac:dyDescent="0.25">
      <c r="A120" s="68" t="str">
        <f t="shared" si="8"/>
        <v/>
      </c>
      <c r="B120" s="91"/>
      <c r="C120" s="10" t="str">
        <f>IF(LEN(需打标签!A120)=0,"",IFERROR(VLOOKUP(需打标签!A:A,标签details!A:B,1,0),"无标签"))</f>
        <v/>
      </c>
      <c r="D120" s="60" t="str">
        <f>IF(LEN(IFERROR(VLOOKUP(A:A,意大利库存款!A:A,1,0),""))&gt;2,"意大利库存","")</f>
        <v/>
      </c>
      <c r="E120" s="70" t="str">
        <f t="shared" si="9"/>
        <v/>
      </c>
      <c r="I120" s="70" t="str">
        <f t="shared" ca="1" si="10"/>
        <v/>
      </c>
    </row>
    <row r="121" spans="1:9" ht="18" x14ac:dyDescent="0.25">
      <c r="A121" s="68" t="str">
        <f t="shared" si="8"/>
        <v/>
      </c>
      <c r="B121" s="90"/>
      <c r="C121" s="10" t="str">
        <f>IF(LEN(需打标签!A121)=0,"",IFERROR(VLOOKUP(需打标签!A:A,标签details!A:B,1,0),"无标签"))</f>
        <v/>
      </c>
      <c r="D121" s="60" t="str">
        <f>IF(LEN(IFERROR(VLOOKUP(A:A,意大利库存款!A:A,1,0),""))&gt;2,"意大利库存","")</f>
        <v/>
      </c>
      <c r="E121" s="70" t="str">
        <f t="shared" si="9"/>
        <v/>
      </c>
      <c r="I121" s="70" t="str">
        <f t="shared" ca="1" si="10"/>
        <v/>
      </c>
    </row>
    <row r="122" spans="1:9" ht="18" x14ac:dyDescent="0.25">
      <c r="A122" s="68" t="str">
        <f t="shared" si="8"/>
        <v/>
      </c>
      <c r="B122" s="91"/>
      <c r="C122" s="10" t="str">
        <f>IF(LEN(需打标签!A122)=0,"",IFERROR(VLOOKUP(需打标签!A:A,标签details!A:B,1,0),"无标签"))</f>
        <v/>
      </c>
      <c r="D122" s="60" t="str">
        <f>IF(LEN(IFERROR(VLOOKUP(A:A,意大利库存款!A:A,1,0),""))&gt;2,"意大利库存","")</f>
        <v/>
      </c>
      <c r="E122" s="70" t="str">
        <f t="shared" si="9"/>
        <v/>
      </c>
      <c r="I122" s="70" t="str">
        <f t="shared" ca="1" si="10"/>
        <v/>
      </c>
    </row>
    <row r="123" spans="1:9" ht="18" x14ac:dyDescent="0.25">
      <c r="A123" s="68" t="str">
        <f t="shared" si="8"/>
        <v/>
      </c>
      <c r="B123" s="90"/>
      <c r="C123" s="10" t="str">
        <f>IF(LEN(需打标签!A123)=0,"",IFERROR(VLOOKUP(需打标签!A:A,标签details!A:B,1,0),"无标签"))</f>
        <v/>
      </c>
      <c r="D123" s="60" t="str">
        <f>IF(LEN(IFERROR(VLOOKUP(A:A,意大利库存款!A:A,1,0),""))&gt;2,"意大利库存","")</f>
        <v/>
      </c>
      <c r="E123" s="70" t="str">
        <f t="shared" si="9"/>
        <v/>
      </c>
      <c r="I123" s="70" t="str">
        <f t="shared" ca="1" si="10"/>
        <v/>
      </c>
    </row>
    <row r="124" spans="1:9" ht="18" x14ac:dyDescent="0.25">
      <c r="A124" s="68" t="str">
        <f t="shared" si="8"/>
        <v/>
      </c>
      <c r="B124" s="90"/>
      <c r="C124" s="10" t="str">
        <f>IF(LEN(需打标签!A124)=0,"",IFERROR(VLOOKUP(需打标签!A:A,标签details!A:B,1,0),"无标签"))</f>
        <v/>
      </c>
      <c r="D124" s="60" t="str">
        <f>IF(LEN(IFERROR(VLOOKUP(A:A,意大利库存款!A:A,1,0),""))&gt;2,"意大利库存","")</f>
        <v/>
      </c>
      <c r="E124" s="70" t="str">
        <f t="shared" si="9"/>
        <v/>
      </c>
      <c r="I124" s="70" t="str">
        <f t="shared" ca="1" si="10"/>
        <v/>
      </c>
    </row>
    <row r="125" spans="1:9" ht="18" x14ac:dyDescent="0.25">
      <c r="A125" s="68" t="str">
        <f t="shared" si="8"/>
        <v/>
      </c>
      <c r="B125" s="90"/>
      <c r="C125" s="10" t="str">
        <f>IF(LEN(需打标签!A125)=0,"",IFERROR(VLOOKUP(需打标签!A:A,标签details!A:B,1,0),"无标签"))</f>
        <v/>
      </c>
      <c r="D125" s="60" t="str">
        <f>IF(LEN(IFERROR(VLOOKUP(A:A,意大利库存款!A:A,1,0),""))&gt;2,"意大利库存","")</f>
        <v/>
      </c>
      <c r="E125" s="70" t="str">
        <f t="shared" si="9"/>
        <v/>
      </c>
      <c r="I125" s="70" t="str">
        <f t="shared" ca="1" si="10"/>
        <v/>
      </c>
    </row>
    <row r="126" spans="1:9" ht="18" x14ac:dyDescent="0.25">
      <c r="A126" s="68" t="str">
        <f t="shared" si="8"/>
        <v/>
      </c>
      <c r="B126" s="90"/>
      <c r="C126" s="10" t="str">
        <f>IF(LEN(需打标签!A126)=0,"",IFERROR(VLOOKUP(需打标签!A:A,标签details!A:B,1,0),"无标签"))</f>
        <v/>
      </c>
      <c r="D126" s="60" t="str">
        <f>IF(LEN(IFERROR(VLOOKUP(A:A,意大利库存款!A:A,1,0),""))&gt;2,"意大利库存","")</f>
        <v/>
      </c>
      <c r="E126" s="70" t="str">
        <f t="shared" si="9"/>
        <v/>
      </c>
      <c r="I126" s="70" t="str">
        <f t="shared" ca="1" si="10"/>
        <v/>
      </c>
    </row>
    <row r="127" spans="1:9" ht="18" x14ac:dyDescent="0.25">
      <c r="A127" s="68" t="str">
        <f t="shared" si="8"/>
        <v/>
      </c>
      <c r="B127" s="90"/>
      <c r="C127" s="10" t="str">
        <f>IF(LEN(需打标签!A127)=0,"",IFERROR(VLOOKUP(需打标签!A:A,标签details!A:B,1,0),"无标签"))</f>
        <v/>
      </c>
      <c r="D127" s="60" t="str">
        <f>IF(LEN(IFERROR(VLOOKUP(A:A,意大利库存款!A:A,1,0),""))&gt;2,"意大利库存","")</f>
        <v/>
      </c>
      <c r="E127" s="70" t="str">
        <f t="shared" si="9"/>
        <v/>
      </c>
      <c r="I127" s="70" t="str">
        <f t="shared" ca="1" si="10"/>
        <v/>
      </c>
    </row>
    <row r="128" spans="1:9" ht="18" x14ac:dyDescent="0.25">
      <c r="A128" s="68" t="str">
        <f t="shared" si="8"/>
        <v/>
      </c>
      <c r="B128" s="94"/>
      <c r="C128" s="10" t="str">
        <f>IF(LEN(需打标签!A128)=0,"",IFERROR(VLOOKUP(需打标签!A:A,标签details!A:B,1,0),"无标签"))</f>
        <v/>
      </c>
      <c r="D128" s="60" t="str">
        <f>IF(LEN(IFERROR(VLOOKUP(A:A,意大利库存款!A:A,1,0),""))&gt;2,"意大利库存","")</f>
        <v/>
      </c>
      <c r="E128" s="70" t="str">
        <f t="shared" si="9"/>
        <v/>
      </c>
      <c r="I128" s="70" t="str">
        <f t="shared" ca="1" si="10"/>
        <v/>
      </c>
    </row>
    <row r="129" spans="1:9" ht="18" x14ac:dyDescent="0.25">
      <c r="A129" s="68" t="str">
        <f t="shared" si="8"/>
        <v/>
      </c>
      <c r="B129" s="94"/>
      <c r="C129" s="10" t="str">
        <f>IF(LEN(需打标签!A129)=0,"",IFERROR(VLOOKUP(需打标签!A:A,标签details!A:B,1,0),"无标签"))</f>
        <v/>
      </c>
      <c r="D129" s="60" t="str">
        <f>IF(LEN(IFERROR(VLOOKUP(A:A,意大利库存款!A:A,1,0),""))&gt;2,"意大利库存","")</f>
        <v/>
      </c>
      <c r="E129" s="70" t="str">
        <f t="shared" si="9"/>
        <v/>
      </c>
      <c r="I129" s="70" t="str">
        <f t="shared" ca="1" si="10"/>
        <v/>
      </c>
    </row>
    <row r="130" spans="1:9" x14ac:dyDescent="0.25">
      <c r="A130" s="68" t="str">
        <f t="shared" si="8"/>
        <v/>
      </c>
      <c r="B130" s="63"/>
      <c r="C130" s="10" t="str">
        <f>IF(LEN(需打标签!A130)=0,"",IFERROR(VLOOKUP(需打标签!A:A,标签details!A:B,1,0),"无标签"))</f>
        <v/>
      </c>
      <c r="D130" s="60" t="str">
        <f>IF(LEN(IFERROR(VLOOKUP(A:A,意大利库存款!A:A,1,0),""))&gt;2,"意大利库存","")</f>
        <v/>
      </c>
      <c r="E130" s="70" t="str">
        <f t="shared" si="9"/>
        <v/>
      </c>
      <c r="I130" s="70" t="str">
        <f t="shared" ca="1" si="10"/>
        <v/>
      </c>
    </row>
    <row r="131" spans="1:9" x14ac:dyDescent="0.25">
      <c r="A131" s="68" t="str">
        <f t="shared" ref="A131:A194" si="11">IF(LEN(B131),"EBT"&amp;B131,"")</f>
        <v/>
      </c>
      <c r="B131" s="63"/>
      <c r="C131" s="10" t="str">
        <f>IF(LEN(需打标签!A131)=0,"",IFERROR(VLOOKUP(需打标签!A:A,标签details!A:B,1,0),"无标签"))</f>
        <v/>
      </c>
      <c r="D131" s="60" t="str">
        <f>IF(LEN(IFERROR(VLOOKUP(A:A,意大利库存款!A:A,1,0),""))&gt;2,"意大利库存","")</f>
        <v/>
      </c>
      <c r="E131" s="70" t="str">
        <f t="shared" ref="E131:E194" si="12">IF(LEN(A131),"IHZ16","")</f>
        <v/>
      </c>
      <c r="I131" s="70" t="str">
        <f t="shared" ref="I131:I194" ca="1" si="13">IF(LEN(A131),TODAY(),"")</f>
        <v/>
      </c>
    </row>
    <row r="132" spans="1:9" x14ac:dyDescent="0.25">
      <c r="A132" s="68" t="str">
        <f t="shared" si="11"/>
        <v/>
      </c>
      <c r="B132" s="63"/>
      <c r="C132" s="10" t="str">
        <f>IF(LEN(需打标签!A132)=0,"",IFERROR(VLOOKUP(需打标签!A:A,标签details!A:B,1,0),"无标签"))</f>
        <v/>
      </c>
      <c r="D132" s="60" t="str">
        <f>IF(LEN(IFERROR(VLOOKUP(A:A,意大利库存款!A:A,1,0),""))&gt;2,"意大利库存","")</f>
        <v/>
      </c>
      <c r="E132" s="70" t="str">
        <f t="shared" si="12"/>
        <v/>
      </c>
      <c r="I132" s="70" t="str">
        <f t="shared" ca="1" si="13"/>
        <v/>
      </c>
    </row>
    <row r="133" spans="1:9" x14ac:dyDescent="0.25">
      <c r="A133" s="68" t="str">
        <f t="shared" si="11"/>
        <v/>
      </c>
      <c r="B133" s="63"/>
      <c r="C133" s="10" t="str">
        <f>IF(LEN(需打标签!A133)=0,"",IFERROR(VLOOKUP(需打标签!A:A,标签details!A:B,1,0),"无标签"))</f>
        <v/>
      </c>
      <c r="D133" s="60" t="str">
        <f>IF(LEN(IFERROR(VLOOKUP(A:A,意大利库存款!A:A,1,0),""))&gt;2,"意大利库存","")</f>
        <v/>
      </c>
      <c r="E133" s="70" t="str">
        <f t="shared" si="12"/>
        <v/>
      </c>
      <c r="I133" s="70" t="str">
        <f t="shared" ca="1" si="13"/>
        <v/>
      </c>
    </row>
    <row r="134" spans="1:9" x14ac:dyDescent="0.25">
      <c r="A134" s="68" t="str">
        <f t="shared" si="11"/>
        <v/>
      </c>
      <c r="B134" s="63"/>
      <c r="C134" s="10" t="str">
        <f>IF(LEN(需打标签!A134)=0,"",IFERROR(VLOOKUP(需打标签!A:A,标签details!A:B,1,0),"无标签"))</f>
        <v/>
      </c>
      <c r="D134" s="60" t="str">
        <f>IF(LEN(IFERROR(VLOOKUP(A:A,意大利库存款!A:A,1,0),""))&gt;2,"意大利库存","")</f>
        <v/>
      </c>
      <c r="E134" s="70" t="str">
        <f t="shared" si="12"/>
        <v/>
      </c>
      <c r="I134" s="70" t="str">
        <f t="shared" ca="1" si="13"/>
        <v/>
      </c>
    </row>
    <row r="135" spans="1:9" x14ac:dyDescent="0.25">
      <c r="A135" s="68" t="str">
        <f t="shared" si="11"/>
        <v/>
      </c>
      <c r="B135" s="63"/>
      <c r="C135" s="10" t="str">
        <f>IF(LEN(需打标签!A135)=0,"",IFERROR(VLOOKUP(需打标签!A:A,标签details!A:B,1,0),"无标签"))</f>
        <v/>
      </c>
      <c r="D135" s="60" t="str">
        <f>IF(LEN(IFERROR(VLOOKUP(A:A,意大利库存款!A:A,1,0),""))&gt;2,"意大利库存","")</f>
        <v/>
      </c>
      <c r="E135" s="70" t="str">
        <f t="shared" si="12"/>
        <v/>
      </c>
      <c r="I135" s="70" t="str">
        <f t="shared" ca="1" si="13"/>
        <v/>
      </c>
    </row>
    <row r="136" spans="1:9" x14ac:dyDescent="0.25">
      <c r="A136" s="68" t="str">
        <f t="shared" si="11"/>
        <v/>
      </c>
      <c r="B136" s="63"/>
      <c r="C136" s="10" t="str">
        <f>IF(LEN(需打标签!A136)=0,"",IFERROR(VLOOKUP(需打标签!A:A,标签details!A:B,1,0),"无标签"))</f>
        <v/>
      </c>
      <c r="D136" s="60" t="str">
        <f>IF(LEN(IFERROR(VLOOKUP(A:A,意大利库存款!A:A,1,0),""))&gt;2,"意大利库存","")</f>
        <v/>
      </c>
      <c r="E136" s="70" t="str">
        <f t="shared" si="12"/>
        <v/>
      </c>
      <c r="I136" s="70" t="str">
        <f t="shared" ca="1" si="13"/>
        <v/>
      </c>
    </row>
    <row r="137" spans="1:9" x14ac:dyDescent="0.25">
      <c r="A137" s="68" t="str">
        <f t="shared" si="11"/>
        <v/>
      </c>
      <c r="B137" s="63"/>
      <c r="C137" s="10" t="str">
        <f>IF(LEN(需打标签!A137)=0,"",IFERROR(VLOOKUP(需打标签!A:A,标签details!A:B,1,0),"无标签"))</f>
        <v/>
      </c>
      <c r="D137" s="60" t="str">
        <f>IF(LEN(IFERROR(VLOOKUP(A:A,意大利库存款!A:A,1,0),""))&gt;2,"意大利库存","")</f>
        <v/>
      </c>
      <c r="E137" s="70" t="str">
        <f t="shared" si="12"/>
        <v/>
      </c>
      <c r="I137" s="70" t="str">
        <f t="shared" ca="1" si="13"/>
        <v/>
      </c>
    </row>
    <row r="138" spans="1:9" x14ac:dyDescent="0.25">
      <c r="A138" s="68" t="str">
        <f t="shared" si="11"/>
        <v/>
      </c>
      <c r="B138" s="63"/>
      <c r="C138" s="10" t="str">
        <f>IF(LEN(需打标签!A138)=0,"",IFERROR(VLOOKUP(需打标签!A:A,标签details!A:B,1,0),"无标签"))</f>
        <v/>
      </c>
      <c r="D138" s="60" t="str">
        <f>IF(LEN(IFERROR(VLOOKUP(A:A,意大利库存款!A:A,1,0),""))&gt;2,"意大利库存","")</f>
        <v/>
      </c>
      <c r="E138" s="70" t="str">
        <f t="shared" si="12"/>
        <v/>
      </c>
      <c r="I138" s="70" t="str">
        <f t="shared" ca="1" si="13"/>
        <v/>
      </c>
    </row>
    <row r="139" spans="1:9" x14ac:dyDescent="0.25">
      <c r="A139" s="68" t="str">
        <f t="shared" si="11"/>
        <v/>
      </c>
      <c r="B139" s="63"/>
      <c r="C139" s="10" t="str">
        <f>IF(LEN(需打标签!A139)=0,"",IFERROR(VLOOKUP(需打标签!A:A,标签details!A:B,1,0),"无标签"))</f>
        <v/>
      </c>
      <c r="D139" s="60" t="str">
        <f>IF(LEN(IFERROR(VLOOKUP(A:A,意大利库存款!A:A,1,0),""))&gt;2,"意大利库存","")</f>
        <v/>
      </c>
      <c r="E139" s="70" t="str">
        <f t="shared" si="12"/>
        <v/>
      </c>
      <c r="I139" s="70" t="str">
        <f t="shared" ca="1" si="13"/>
        <v/>
      </c>
    </row>
    <row r="140" spans="1:9" x14ac:dyDescent="0.25">
      <c r="A140" s="68" t="str">
        <f t="shared" si="11"/>
        <v/>
      </c>
      <c r="B140" s="63"/>
      <c r="C140" s="10" t="str">
        <f>IF(LEN(需打标签!A140)=0,"",IFERROR(VLOOKUP(需打标签!A:A,标签details!A:B,1,0),"无标签"))</f>
        <v/>
      </c>
      <c r="D140" s="60" t="str">
        <f>IF(LEN(IFERROR(VLOOKUP(A:A,意大利库存款!A:A,1,0),""))&gt;2,"意大利库存","")</f>
        <v/>
      </c>
      <c r="E140" s="70" t="str">
        <f t="shared" si="12"/>
        <v/>
      </c>
      <c r="I140" s="70" t="str">
        <f t="shared" ca="1" si="13"/>
        <v/>
      </c>
    </row>
    <row r="141" spans="1:9" x14ac:dyDescent="0.25">
      <c r="A141" s="68" t="str">
        <f t="shared" si="11"/>
        <v/>
      </c>
      <c r="B141" s="63"/>
      <c r="C141" s="10" t="str">
        <f>IF(LEN(需打标签!A141)=0,"",IFERROR(VLOOKUP(需打标签!A:A,标签details!A:B,1,0),"无标签"))</f>
        <v/>
      </c>
      <c r="D141" s="60" t="str">
        <f>IF(LEN(IFERROR(VLOOKUP(A:A,意大利库存款!A:A,1,0),""))&gt;2,"意大利库存","")</f>
        <v/>
      </c>
      <c r="E141" s="70" t="str">
        <f t="shared" si="12"/>
        <v/>
      </c>
      <c r="I141" s="70" t="str">
        <f t="shared" ca="1" si="13"/>
        <v/>
      </c>
    </row>
    <row r="142" spans="1:9" x14ac:dyDescent="0.25">
      <c r="A142" s="68" t="str">
        <f t="shared" si="11"/>
        <v/>
      </c>
      <c r="B142" s="63"/>
      <c r="C142" s="10" t="str">
        <f>IF(LEN(需打标签!A142)=0,"",IFERROR(VLOOKUP(需打标签!A:A,标签details!A:B,1,0),"无标签"))</f>
        <v/>
      </c>
      <c r="D142" s="60" t="str">
        <f>IF(LEN(IFERROR(VLOOKUP(A:A,意大利库存款!A:A,1,0),""))&gt;2,"意大利库存","")</f>
        <v/>
      </c>
      <c r="E142" s="70" t="str">
        <f t="shared" si="12"/>
        <v/>
      </c>
      <c r="I142" s="70" t="str">
        <f t="shared" ca="1" si="13"/>
        <v/>
      </c>
    </row>
    <row r="143" spans="1:9" x14ac:dyDescent="0.25">
      <c r="A143" s="68" t="str">
        <f t="shared" si="11"/>
        <v/>
      </c>
      <c r="B143" s="63"/>
      <c r="C143" s="10" t="str">
        <f>IF(LEN(需打标签!A143)=0,"",IFERROR(VLOOKUP(需打标签!A:A,标签details!A:B,1,0),"无标签"))</f>
        <v/>
      </c>
      <c r="D143" s="60" t="str">
        <f>IF(LEN(IFERROR(VLOOKUP(A:A,意大利库存款!A:A,1,0),""))&gt;2,"意大利库存","")</f>
        <v/>
      </c>
      <c r="E143" s="70" t="str">
        <f t="shared" si="12"/>
        <v/>
      </c>
      <c r="I143" s="70" t="str">
        <f t="shared" ca="1" si="13"/>
        <v/>
      </c>
    </row>
    <row r="144" spans="1:9" x14ac:dyDescent="0.25">
      <c r="A144" s="68" t="str">
        <f t="shared" si="11"/>
        <v/>
      </c>
      <c r="B144" s="63"/>
      <c r="C144" s="10" t="str">
        <f>IF(LEN(需打标签!A144)=0,"",IFERROR(VLOOKUP(需打标签!A:A,标签details!A:B,1,0),"无标签"))</f>
        <v/>
      </c>
      <c r="D144" s="60" t="str">
        <f>IF(LEN(IFERROR(VLOOKUP(A:A,意大利库存款!A:A,1,0),""))&gt;2,"意大利库存","")</f>
        <v/>
      </c>
      <c r="E144" s="70" t="str">
        <f t="shared" si="12"/>
        <v/>
      </c>
      <c r="I144" s="70" t="str">
        <f t="shared" ca="1" si="13"/>
        <v/>
      </c>
    </row>
    <row r="145" spans="1:9" x14ac:dyDescent="0.25">
      <c r="A145" s="68" t="str">
        <f t="shared" si="11"/>
        <v/>
      </c>
      <c r="B145" s="63"/>
      <c r="C145" s="10" t="str">
        <f>IF(LEN(需打标签!A145)=0,"",IFERROR(VLOOKUP(需打标签!A:A,标签details!A:B,1,0),"无标签"))</f>
        <v/>
      </c>
      <c r="D145" s="60" t="str">
        <f>IF(LEN(IFERROR(VLOOKUP(A:A,意大利库存款!A:A,1,0),""))&gt;2,"意大利库存","")</f>
        <v/>
      </c>
      <c r="E145" s="70" t="str">
        <f t="shared" si="12"/>
        <v/>
      </c>
      <c r="I145" s="70" t="str">
        <f t="shared" ca="1" si="13"/>
        <v/>
      </c>
    </row>
    <row r="146" spans="1:9" x14ac:dyDescent="0.25">
      <c r="A146" s="68" t="str">
        <f t="shared" si="11"/>
        <v/>
      </c>
      <c r="B146" s="63"/>
      <c r="C146" s="10" t="str">
        <f>IF(LEN(需打标签!A146)=0,"",IFERROR(VLOOKUP(需打标签!A:A,标签details!A:B,1,0),"无标签"))</f>
        <v/>
      </c>
      <c r="D146" s="60" t="str">
        <f>IF(LEN(IFERROR(VLOOKUP(A:A,意大利库存款!A:A,1,0),""))&gt;2,"意大利库存","")</f>
        <v/>
      </c>
      <c r="E146" s="70" t="str">
        <f t="shared" si="12"/>
        <v/>
      </c>
      <c r="I146" s="70" t="str">
        <f t="shared" ca="1" si="13"/>
        <v/>
      </c>
    </row>
    <row r="147" spans="1:9" x14ac:dyDescent="0.25">
      <c r="A147" s="68" t="str">
        <f t="shared" si="11"/>
        <v/>
      </c>
      <c r="B147" s="63"/>
      <c r="C147" s="10" t="str">
        <f>IF(LEN(需打标签!A147)=0,"",IFERROR(VLOOKUP(需打标签!A:A,标签details!A:B,1,0),"无标签"))</f>
        <v/>
      </c>
      <c r="D147" s="60" t="str">
        <f>IF(LEN(IFERROR(VLOOKUP(A:A,意大利库存款!A:A,1,0),""))&gt;2,"意大利库存","")</f>
        <v/>
      </c>
      <c r="E147" s="70" t="str">
        <f t="shared" si="12"/>
        <v/>
      </c>
      <c r="I147" s="70" t="str">
        <f t="shared" ca="1" si="13"/>
        <v/>
      </c>
    </row>
    <row r="148" spans="1:9" x14ac:dyDescent="0.25">
      <c r="A148" s="68" t="str">
        <f t="shared" si="11"/>
        <v/>
      </c>
      <c r="B148" s="63"/>
      <c r="C148" s="10" t="str">
        <f>IF(LEN(需打标签!A148)=0,"",IFERROR(VLOOKUP(需打标签!A:A,标签details!A:B,1,0),"无标签"))</f>
        <v/>
      </c>
      <c r="D148" s="60" t="str">
        <f>IF(LEN(IFERROR(VLOOKUP(A:A,意大利库存款!A:A,1,0),""))&gt;2,"意大利库存","")</f>
        <v/>
      </c>
      <c r="E148" s="70" t="str">
        <f t="shared" si="12"/>
        <v/>
      </c>
      <c r="I148" s="70" t="str">
        <f t="shared" ca="1" si="13"/>
        <v/>
      </c>
    </row>
    <row r="149" spans="1:9" x14ac:dyDescent="0.25">
      <c r="A149" s="68" t="str">
        <f t="shared" si="11"/>
        <v/>
      </c>
      <c r="B149" s="63"/>
      <c r="C149" s="10" t="str">
        <f>IF(LEN(需打标签!A149)=0,"",IFERROR(VLOOKUP(需打标签!A:A,标签details!A:B,1,0),"无标签"))</f>
        <v/>
      </c>
      <c r="D149" s="60" t="str">
        <f>IF(LEN(IFERROR(VLOOKUP(A:A,意大利库存款!A:A,1,0),""))&gt;2,"意大利库存","")</f>
        <v/>
      </c>
      <c r="E149" s="70" t="str">
        <f t="shared" si="12"/>
        <v/>
      </c>
      <c r="I149" s="70" t="str">
        <f t="shared" ca="1" si="13"/>
        <v/>
      </c>
    </row>
    <row r="150" spans="1:9" x14ac:dyDescent="0.25">
      <c r="A150" s="68" t="str">
        <f t="shared" si="11"/>
        <v/>
      </c>
      <c r="B150" s="63"/>
      <c r="C150" s="10" t="str">
        <f>IF(LEN(需打标签!A150)=0,"",IFERROR(VLOOKUP(需打标签!A:A,标签details!A:B,1,0),"无标签"))</f>
        <v/>
      </c>
      <c r="D150" s="60" t="str">
        <f>IF(LEN(IFERROR(VLOOKUP(A:A,意大利库存款!A:A,1,0),""))&gt;2,"意大利库存","")</f>
        <v/>
      </c>
      <c r="E150" s="70" t="str">
        <f t="shared" si="12"/>
        <v/>
      </c>
      <c r="I150" s="70" t="str">
        <f t="shared" ca="1" si="13"/>
        <v/>
      </c>
    </row>
    <row r="151" spans="1:9" x14ac:dyDescent="0.25">
      <c r="A151" s="68" t="str">
        <f t="shared" si="11"/>
        <v/>
      </c>
      <c r="B151" s="63"/>
      <c r="C151" s="10" t="str">
        <f>IF(LEN(需打标签!A151)=0,"",IFERROR(VLOOKUP(需打标签!A:A,标签details!A:B,1,0),"无标签"))</f>
        <v/>
      </c>
      <c r="D151" s="60" t="str">
        <f>IF(LEN(IFERROR(VLOOKUP(A:A,意大利库存款!A:A,1,0),""))&gt;2,"意大利库存","")</f>
        <v/>
      </c>
      <c r="E151" s="70" t="str">
        <f t="shared" si="12"/>
        <v/>
      </c>
      <c r="I151" s="70" t="str">
        <f t="shared" ca="1" si="13"/>
        <v/>
      </c>
    </row>
    <row r="152" spans="1:9" x14ac:dyDescent="0.25">
      <c r="A152" s="68" t="str">
        <f t="shared" si="11"/>
        <v/>
      </c>
      <c r="B152" s="63"/>
      <c r="C152" s="10" t="str">
        <f>IF(LEN(需打标签!A152)=0,"",IFERROR(VLOOKUP(需打标签!A:A,标签details!A:B,1,0),"无标签"))</f>
        <v/>
      </c>
      <c r="D152" s="60" t="str">
        <f>IF(LEN(IFERROR(VLOOKUP(A:A,意大利库存款!A:A,1,0),""))&gt;2,"意大利库存","")</f>
        <v/>
      </c>
      <c r="E152" s="70" t="str">
        <f t="shared" si="12"/>
        <v/>
      </c>
      <c r="I152" s="70" t="str">
        <f t="shared" ca="1" si="13"/>
        <v/>
      </c>
    </row>
    <row r="153" spans="1:9" x14ac:dyDescent="0.25">
      <c r="A153" s="68" t="str">
        <f t="shared" si="11"/>
        <v/>
      </c>
      <c r="B153" s="63"/>
      <c r="C153" s="10" t="str">
        <f>IF(LEN(需打标签!A153)=0,"",IFERROR(VLOOKUP(需打标签!A:A,标签details!A:B,1,0),"无标签"))</f>
        <v/>
      </c>
      <c r="D153" s="60" t="str">
        <f>IF(LEN(IFERROR(VLOOKUP(A:A,意大利库存款!A:A,1,0),""))&gt;2,"意大利库存","")</f>
        <v/>
      </c>
      <c r="E153" s="70" t="str">
        <f t="shared" si="12"/>
        <v/>
      </c>
      <c r="I153" s="70" t="str">
        <f t="shared" ca="1" si="13"/>
        <v/>
      </c>
    </row>
    <row r="154" spans="1:9" x14ac:dyDescent="0.25">
      <c r="A154" s="68" t="str">
        <f t="shared" si="11"/>
        <v/>
      </c>
      <c r="B154" s="63"/>
      <c r="C154" s="10" t="str">
        <f>IF(LEN(需打标签!A154)=0,"",IFERROR(VLOOKUP(需打标签!A:A,标签details!A:B,1,0),"无标签"))</f>
        <v/>
      </c>
      <c r="D154" s="60" t="str">
        <f>IF(LEN(IFERROR(VLOOKUP(A:A,意大利库存款!A:A,1,0),""))&gt;2,"意大利库存","")</f>
        <v/>
      </c>
      <c r="E154" s="70" t="str">
        <f t="shared" si="12"/>
        <v/>
      </c>
      <c r="I154" s="70" t="str">
        <f t="shared" ca="1" si="13"/>
        <v/>
      </c>
    </row>
    <row r="155" spans="1:9" x14ac:dyDescent="0.25">
      <c r="A155" s="68" t="str">
        <f t="shared" si="11"/>
        <v/>
      </c>
      <c r="B155" s="63"/>
      <c r="C155" s="10" t="str">
        <f>IF(LEN(需打标签!A155)=0,"",IFERROR(VLOOKUP(需打标签!A:A,标签details!A:B,1,0),"无标签"))</f>
        <v/>
      </c>
      <c r="D155" s="60" t="str">
        <f>IF(LEN(IFERROR(VLOOKUP(A:A,意大利库存款!A:A,1,0),""))&gt;2,"意大利库存","")</f>
        <v/>
      </c>
      <c r="E155" s="70" t="str">
        <f t="shared" si="12"/>
        <v/>
      </c>
      <c r="I155" s="70" t="str">
        <f t="shared" ca="1" si="13"/>
        <v/>
      </c>
    </row>
    <row r="156" spans="1:9" x14ac:dyDescent="0.25">
      <c r="A156" s="68" t="str">
        <f t="shared" si="11"/>
        <v/>
      </c>
      <c r="B156" s="63"/>
      <c r="C156" s="10" t="str">
        <f>IF(LEN(需打标签!A156)=0,"",IFERROR(VLOOKUP(需打标签!A:A,标签details!A:B,1,0),"无标签"))</f>
        <v/>
      </c>
      <c r="D156" s="60" t="str">
        <f>IF(LEN(IFERROR(VLOOKUP(A:A,意大利库存款!A:A,1,0),""))&gt;2,"意大利库存","")</f>
        <v/>
      </c>
      <c r="E156" s="70" t="str">
        <f t="shared" si="12"/>
        <v/>
      </c>
      <c r="I156" s="70" t="str">
        <f t="shared" ca="1" si="13"/>
        <v/>
      </c>
    </row>
    <row r="157" spans="1:9" x14ac:dyDescent="0.25">
      <c r="A157" s="68" t="str">
        <f t="shared" si="11"/>
        <v/>
      </c>
      <c r="B157" s="63"/>
      <c r="C157" s="10" t="str">
        <f>IF(LEN(需打标签!A157)=0,"",IFERROR(VLOOKUP(需打标签!A:A,标签details!A:B,1,0),"无标签"))</f>
        <v/>
      </c>
      <c r="D157" s="60" t="str">
        <f>IF(LEN(IFERROR(VLOOKUP(A:A,意大利库存款!A:A,1,0),""))&gt;2,"意大利库存","")</f>
        <v/>
      </c>
      <c r="E157" s="70" t="str">
        <f t="shared" si="12"/>
        <v/>
      </c>
      <c r="I157" s="70" t="str">
        <f t="shared" ca="1" si="13"/>
        <v/>
      </c>
    </row>
    <row r="158" spans="1:9" x14ac:dyDescent="0.25">
      <c r="A158" s="68" t="str">
        <f t="shared" si="11"/>
        <v/>
      </c>
      <c r="B158" s="63"/>
      <c r="C158" s="10" t="str">
        <f>IF(LEN(需打标签!A158)=0,"",IFERROR(VLOOKUP(需打标签!A:A,标签details!A:B,1,0),"无标签"))</f>
        <v/>
      </c>
      <c r="D158" s="60" t="str">
        <f>IF(LEN(IFERROR(VLOOKUP(A:A,意大利库存款!A:A,1,0),""))&gt;2,"意大利库存","")</f>
        <v/>
      </c>
      <c r="E158" s="70" t="str">
        <f t="shared" si="12"/>
        <v/>
      </c>
      <c r="I158" s="70" t="str">
        <f t="shared" ca="1" si="13"/>
        <v/>
      </c>
    </row>
    <row r="159" spans="1:9" x14ac:dyDescent="0.25">
      <c r="A159" s="68" t="str">
        <f t="shared" si="11"/>
        <v/>
      </c>
      <c r="B159" s="63"/>
      <c r="C159" s="10" t="str">
        <f>IF(LEN(需打标签!A159)=0,"",IFERROR(VLOOKUP(需打标签!A:A,标签details!A:B,1,0),"无标签"))</f>
        <v/>
      </c>
      <c r="D159" s="60" t="str">
        <f>IF(LEN(IFERROR(VLOOKUP(A:A,意大利库存款!A:A,1,0),""))&gt;2,"意大利库存","")</f>
        <v/>
      </c>
      <c r="E159" s="70" t="str">
        <f t="shared" si="12"/>
        <v/>
      </c>
      <c r="I159" s="70" t="str">
        <f t="shared" ca="1" si="13"/>
        <v/>
      </c>
    </row>
    <row r="160" spans="1:9" x14ac:dyDescent="0.25">
      <c r="A160" s="68" t="str">
        <f t="shared" si="11"/>
        <v/>
      </c>
      <c r="B160" s="63"/>
      <c r="C160" s="10" t="str">
        <f>IF(LEN(需打标签!A160)=0,"",IFERROR(VLOOKUP(需打标签!A:A,标签details!A:B,1,0),"无标签"))</f>
        <v/>
      </c>
      <c r="D160" s="60" t="str">
        <f>IF(LEN(IFERROR(VLOOKUP(A:A,意大利库存款!A:A,1,0),""))&gt;2,"意大利库存","")</f>
        <v/>
      </c>
      <c r="E160" s="70" t="str">
        <f t="shared" si="12"/>
        <v/>
      </c>
      <c r="I160" s="70" t="str">
        <f t="shared" ca="1" si="13"/>
        <v/>
      </c>
    </row>
    <row r="161" spans="1:9" x14ac:dyDescent="0.25">
      <c r="A161" s="68" t="str">
        <f t="shared" si="11"/>
        <v/>
      </c>
      <c r="B161" s="63"/>
      <c r="C161" s="10" t="str">
        <f>IF(LEN(需打标签!A161)=0,"",IFERROR(VLOOKUP(需打标签!A:A,标签details!A:B,1,0),"无标签"))</f>
        <v/>
      </c>
      <c r="D161" s="60" t="str">
        <f>IF(LEN(IFERROR(VLOOKUP(A:A,意大利库存款!A:A,1,0),""))&gt;2,"意大利库存","")</f>
        <v/>
      </c>
      <c r="E161" s="70" t="str">
        <f t="shared" si="12"/>
        <v/>
      </c>
      <c r="I161" s="70" t="str">
        <f t="shared" ca="1" si="13"/>
        <v/>
      </c>
    </row>
    <row r="162" spans="1:9" x14ac:dyDescent="0.25">
      <c r="A162" s="68" t="str">
        <f t="shared" si="11"/>
        <v/>
      </c>
      <c r="B162" s="63"/>
      <c r="C162" s="10" t="str">
        <f>IF(LEN(需打标签!A162)=0,"",IFERROR(VLOOKUP(需打标签!A:A,标签details!A:B,1,0),"无标签"))</f>
        <v/>
      </c>
      <c r="D162" s="60" t="str">
        <f>IF(LEN(IFERROR(VLOOKUP(A:A,意大利库存款!A:A,1,0),""))&gt;2,"意大利库存","")</f>
        <v/>
      </c>
      <c r="E162" s="70" t="str">
        <f t="shared" si="12"/>
        <v/>
      </c>
      <c r="I162" s="70" t="str">
        <f t="shared" ca="1" si="13"/>
        <v/>
      </c>
    </row>
    <row r="163" spans="1:9" x14ac:dyDescent="0.25">
      <c r="A163" s="68" t="str">
        <f t="shared" si="11"/>
        <v/>
      </c>
      <c r="B163" s="63"/>
      <c r="C163" s="10" t="str">
        <f>IF(LEN(需打标签!A163)=0,"",IFERROR(VLOOKUP(需打标签!A:A,标签details!A:B,1,0),"无标签"))</f>
        <v/>
      </c>
      <c r="D163" s="60" t="str">
        <f>IF(LEN(IFERROR(VLOOKUP(A:A,意大利库存款!A:A,1,0),""))&gt;2,"意大利库存","")</f>
        <v/>
      </c>
      <c r="E163" s="70" t="str">
        <f t="shared" si="12"/>
        <v/>
      </c>
      <c r="I163" s="70" t="str">
        <f t="shared" ca="1" si="13"/>
        <v/>
      </c>
    </row>
    <row r="164" spans="1:9" x14ac:dyDescent="0.25">
      <c r="A164" s="68" t="str">
        <f t="shared" si="11"/>
        <v/>
      </c>
      <c r="B164" s="63"/>
      <c r="C164" s="10" t="str">
        <f>IF(LEN(需打标签!A164)=0,"",IFERROR(VLOOKUP(需打标签!A:A,标签details!A:B,1,0),"无标签"))</f>
        <v/>
      </c>
      <c r="D164" s="60" t="str">
        <f>IF(LEN(IFERROR(VLOOKUP(A:A,意大利库存款!A:A,1,0),""))&gt;2,"意大利库存","")</f>
        <v/>
      </c>
      <c r="E164" s="70" t="str">
        <f t="shared" si="12"/>
        <v/>
      </c>
      <c r="I164" s="70" t="str">
        <f t="shared" ca="1" si="13"/>
        <v/>
      </c>
    </row>
    <row r="165" spans="1:9" x14ac:dyDescent="0.25">
      <c r="A165" s="68" t="str">
        <f t="shared" si="11"/>
        <v/>
      </c>
      <c r="B165" s="63"/>
      <c r="C165" s="10" t="str">
        <f>IF(LEN(需打标签!A165)=0,"",IFERROR(VLOOKUP(需打标签!A:A,标签details!A:B,1,0),"无标签"))</f>
        <v/>
      </c>
      <c r="D165" s="60" t="str">
        <f>IF(LEN(IFERROR(VLOOKUP(A:A,意大利库存款!A:A,1,0),""))&gt;2,"意大利库存","")</f>
        <v/>
      </c>
      <c r="E165" s="70" t="str">
        <f t="shared" si="12"/>
        <v/>
      </c>
      <c r="I165" s="70" t="str">
        <f t="shared" ca="1" si="13"/>
        <v/>
      </c>
    </row>
    <row r="166" spans="1:9" x14ac:dyDescent="0.25">
      <c r="A166" s="68" t="str">
        <f t="shared" si="11"/>
        <v/>
      </c>
      <c r="B166" s="63"/>
      <c r="C166" s="10" t="str">
        <f>IF(LEN(需打标签!A166)=0,"",IFERROR(VLOOKUP(需打标签!A:A,标签details!A:B,1,0),"无标签"))</f>
        <v/>
      </c>
      <c r="D166" s="60" t="str">
        <f>IF(LEN(IFERROR(VLOOKUP(A:A,意大利库存款!A:A,1,0),""))&gt;2,"意大利库存","")</f>
        <v/>
      </c>
      <c r="E166" s="70" t="str">
        <f t="shared" si="12"/>
        <v/>
      </c>
      <c r="I166" s="70" t="str">
        <f t="shared" ca="1" si="13"/>
        <v/>
      </c>
    </row>
    <row r="167" spans="1:9" x14ac:dyDescent="0.25">
      <c r="A167" s="68" t="str">
        <f t="shared" si="11"/>
        <v/>
      </c>
      <c r="B167" s="63"/>
      <c r="C167" s="10" t="str">
        <f>IF(LEN(需打标签!A167)=0,"",IFERROR(VLOOKUP(需打标签!A:A,标签details!A:B,1,0),"无标签"))</f>
        <v/>
      </c>
      <c r="D167" s="60" t="str">
        <f>IF(LEN(IFERROR(VLOOKUP(A:A,意大利库存款!A:A,1,0),""))&gt;2,"意大利库存","")</f>
        <v/>
      </c>
      <c r="E167" s="70" t="str">
        <f t="shared" si="12"/>
        <v/>
      </c>
      <c r="I167" s="70" t="str">
        <f t="shared" ca="1" si="13"/>
        <v/>
      </c>
    </row>
    <row r="168" spans="1:9" x14ac:dyDescent="0.25">
      <c r="A168" s="68" t="str">
        <f t="shared" si="11"/>
        <v/>
      </c>
      <c r="B168" s="63"/>
      <c r="C168" s="10" t="str">
        <f>IF(LEN(需打标签!A168)=0,"",IFERROR(VLOOKUP(需打标签!A:A,标签details!A:B,1,0),"无标签"))</f>
        <v/>
      </c>
      <c r="D168" s="60" t="str">
        <f>IF(LEN(IFERROR(VLOOKUP(A:A,意大利库存款!A:A,1,0),""))&gt;2,"意大利库存","")</f>
        <v/>
      </c>
      <c r="E168" s="70" t="str">
        <f t="shared" si="12"/>
        <v/>
      </c>
      <c r="I168" s="70" t="str">
        <f t="shared" ca="1" si="13"/>
        <v/>
      </c>
    </row>
    <row r="169" spans="1:9" x14ac:dyDescent="0.25">
      <c r="A169" s="68" t="str">
        <f t="shared" si="11"/>
        <v/>
      </c>
      <c r="B169" s="63"/>
      <c r="C169" s="10" t="str">
        <f>IF(LEN(需打标签!A169)=0,"",IFERROR(VLOOKUP(需打标签!A:A,标签details!A:B,1,0),"无标签"))</f>
        <v/>
      </c>
      <c r="D169" s="60" t="str">
        <f>IF(LEN(IFERROR(VLOOKUP(A:A,意大利库存款!A:A,1,0),""))&gt;2,"意大利库存","")</f>
        <v/>
      </c>
      <c r="E169" s="70" t="str">
        <f t="shared" si="12"/>
        <v/>
      </c>
      <c r="I169" s="70" t="str">
        <f t="shared" ca="1" si="13"/>
        <v/>
      </c>
    </row>
    <row r="170" spans="1:9" x14ac:dyDescent="0.25">
      <c r="A170" s="68" t="str">
        <f t="shared" si="11"/>
        <v/>
      </c>
      <c r="B170" s="63"/>
      <c r="C170" s="10" t="str">
        <f>IF(LEN(需打标签!A170)=0,"",IFERROR(VLOOKUP(需打标签!A:A,标签details!A:B,1,0),"无标签"))</f>
        <v/>
      </c>
      <c r="D170" s="60" t="str">
        <f>IF(LEN(IFERROR(VLOOKUP(A:A,意大利库存款!A:A,1,0),""))&gt;2,"意大利库存","")</f>
        <v/>
      </c>
      <c r="E170" s="70" t="str">
        <f t="shared" si="12"/>
        <v/>
      </c>
      <c r="I170" s="70" t="str">
        <f t="shared" ca="1" si="13"/>
        <v/>
      </c>
    </row>
    <row r="171" spans="1:9" x14ac:dyDescent="0.25">
      <c r="A171" s="68" t="str">
        <f t="shared" si="11"/>
        <v/>
      </c>
      <c r="B171" s="63"/>
      <c r="C171" s="10" t="str">
        <f>IF(LEN(需打标签!A171)=0,"",IFERROR(VLOOKUP(需打标签!A:A,标签details!A:B,1,0),"无标签"))</f>
        <v/>
      </c>
      <c r="D171" s="60" t="str">
        <f>IF(LEN(IFERROR(VLOOKUP(A:A,意大利库存款!A:A,1,0),""))&gt;2,"意大利库存","")</f>
        <v/>
      </c>
      <c r="E171" s="70" t="str">
        <f t="shared" si="12"/>
        <v/>
      </c>
      <c r="I171" s="70" t="str">
        <f t="shared" ca="1" si="13"/>
        <v/>
      </c>
    </row>
    <row r="172" spans="1:9" x14ac:dyDescent="0.25">
      <c r="A172" s="68" t="str">
        <f t="shared" si="11"/>
        <v/>
      </c>
      <c r="B172" s="63"/>
      <c r="C172" s="10" t="str">
        <f>IF(LEN(需打标签!A172)=0,"",IFERROR(VLOOKUP(需打标签!A:A,标签details!A:B,1,0),"无标签"))</f>
        <v/>
      </c>
      <c r="D172" s="60" t="str">
        <f>IF(LEN(IFERROR(VLOOKUP(A:A,意大利库存款!A:A,1,0),""))&gt;2,"意大利库存","")</f>
        <v/>
      </c>
      <c r="E172" s="70" t="str">
        <f t="shared" si="12"/>
        <v/>
      </c>
      <c r="I172" s="70" t="str">
        <f t="shared" ca="1" si="13"/>
        <v/>
      </c>
    </row>
    <row r="173" spans="1:9" x14ac:dyDescent="0.25">
      <c r="A173" s="68" t="str">
        <f t="shared" si="11"/>
        <v/>
      </c>
      <c r="B173" s="63"/>
      <c r="C173" s="10" t="str">
        <f>IF(LEN(需打标签!A173)=0,"",IFERROR(VLOOKUP(需打标签!A:A,标签details!A:B,1,0),"无标签"))</f>
        <v/>
      </c>
      <c r="D173" s="60" t="str">
        <f>IF(LEN(IFERROR(VLOOKUP(A:A,意大利库存款!A:A,1,0),""))&gt;2,"意大利库存","")</f>
        <v/>
      </c>
      <c r="E173" s="70" t="str">
        <f t="shared" si="12"/>
        <v/>
      </c>
      <c r="I173" s="70" t="str">
        <f t="shared" ca="1" si="13"/>
        <v/>
      </c>
    </row>
    <row r="174" spans="1:9" x14ac:dyDescent="0.25">
      <c r="A174" s="68" t="str">
        <f t="shared" si="11"/>
        <v/>
      </c>
      <c r="B174" s="63"/>
      <c r="C174" s="10" t="str">
        <f>IF(LEN(需打标签!A174)=0,"",IFERROR(VLOOKUP(需打标签!A:A,标签details!A:B,1,0),"无标签"))</f>
        <v/>
      </c>
      <c r="D174" s="60" t="str">
        <f>IF(LEN(IFERROR(VLOOKUP(A:A,意大利库存款!A:A,1,0),""))&gt;2,"意大利库存","")</f>
        <v/>
      </c>
      <c r="E174" s="70" t="str">
        <f t="shared" si="12"/>
        <v/>
      </c>
      <c r="I174" s="70" t="str">
        <f t="shared" ca="1" si="13"/>
        <v/>
      </c>
    </row>
    <row r="175" spans="1:9" x14ac:dyDescent="0.25">
      <c r="A175" s="68" t="str">
        <f t="shared" si="11"/>
        <v/>
      </c>
      <c r="B175" s="63"/>
      <c r="C175" s="10" t="str">
        <f>IF(LEN(需打标签!A175)=0,"",IFERROR(VLOOKUP(需打标签!A:A,标签details!A:B,1,0),"无标签"))</f>
        <v/>
      </c>
      <c r="D175" s="60" t="str">
        <f>IF(LEN(IFERROR(VLOOKUP(A:A,意大利库存款!A:A,1,0),""))&gt;2,"意大利库存","")</f>
        <v/>
      </c>
      <c r="E175" s="70" t="str">
        <f t="shared" si="12"/>
        <v/>
      </c>
      <c r="I175" s="70" t="str">
        <f t="shared" ca="1" si="13"/>
        <v/>
      </c>
    </row>
    <row r="176" spans="1:9" x14ac:dyDescent="0.25">
      <c r="A176" s="68" t="str">
        <f t="shared" si="11"/>
        <v/>
      </c>
      <c r="B176" s="63"/>
      <c r="C176" s="10" t="str">
        <f>IF(LEN(需打标签!A176)=0,"",IFERROR(VLOOKUP(需打标签!A:A,标签details!A:B,1,0),"无标签"))</f>
        <v/>
      </c>
      <c r="D176" s="60" t="str">
        <f>IF(LEN(IFERROR(VLOOKUP(A:A,意大利库存款!A:A,1,0),""))&gt;2,"意大利库存","")</f>
        <v/>
      </c>
      <c r="E176" s="70" t="str">
        <f t="shared" si="12"/>
        <v/>
      </c>
      <c r="I176" s="70" t="str">
        <f t="shared" ca="1" si="13"/>
        <v/>
      </c>
    </row>
    <row r="177" spans="1:9" x14ac:dyDescent="0.25">
      <c r="A177" s="68" t="str">
        <f t="shared" si="11"/>
        <v/>
      </c>
      <c r="B177" s="63"/>
      <c r="C177" s="10" t="str">
        <f>IF(LEN(需打标签!A177)=0,"",IFERROR(VLOOKUP(需打标签!A:A,标签details!A:B,1,0),"无标签"))</f>
        <v/>
      </c>
      <c r="D177" s="60" t="str">
        <f>IF(LEN(IFERROR(VLOOKUP(A:A,意大利库存款!A:A,1,0),""))&gt;2,"意大利库存","")</f>
        <v/>
      </c>
      <c r="E177" s="70" t="str">
        <f t="shared" si="12"/>
        <v/>
      </c>
      <c r="I177" s="70" t="str">
        <f t="shared" ca="1" si="13"/>
        <v/>
      </c>
    </row>
    <row r="178" spans="1:9" x14ac:dyDescent="0.25">
      <c r="A178" s="68" t="str">
        <f t="shared" si="11"/>
        <v/>
      </c>
      <c r="B178" s="63"/>
      <c r="C178" s="10" t="str">
        <f>IF(LEN(需打标签!A178)=0,"",IFERROR(VLOOKUP(需打标签!A:A,标签details!A:B,1,0),"无标签"))</f>
        <v/>
      </c>
      <c r="D178" s="60" t="str">
        <f>IF(LEN(IFERROR(VLOOKUP(A:A,意大利库存款!A:A,1,0),""))&gt;2,"意大利库存","")</f>
        <v/>
      </c>
      <c r="E178" s="70" t="str">
        <f t="shared" si="12"/>
        <v/>
      </c>
      <c r="I178" s="70" t="str">
        <f t="shared" ca="1" si="13"/>
        <v/>
      </c>
    </row>
    <row r="179" spans="1:9" x14ac:dyDescent="0.25">
      <c r="A179" s="68" t="str">
        <f t="shared" si="11"/>
        <v/>
      </c>
      <c r="B179" s="63"/>
      <c r="C179" s="10" t="str">
        <f>IF(LEN(需打标签!A179)=0,"",IFERROR(VLOOKUP(需打标签!A:A,标签details!A:B,1,0),"无标签"))</f>
        <v/>
      </c>
      <c r="D179" s="60" t="str">
        <f>IF(LEN(IFERROR(VLOOKUP(A:A,意大利库存款!A:A,1,0),""))&gt;2,"意大利库存","")</f>
        <v/>
      </c>
      <c r="E179" s="70" t="str">
        <f t="shared" si="12"/>
        <v/>
      </c>
      <c r="I179" s="70" t="str">
        <f t="shared" ca="1" si="13"/>
        <v/>
      </c>
    </row>
    <row r="180" spans="1:9" x14ac:dyDescent="0.25">
      <c r="A180" s="68" t="str">
        <f t="shared" si="11"/>
        <v/>
      </c>
      <c r="B180" s="63"/>
      <c r="C180" s="10" t="str">
        <f>IF(LEN(需打标签!A180)=0,"",IFERROR(VLOOKUP(需打标签!A:A,标签details!A:B,1,0),"无标签"))</f>
        <v/>
      </c>
      <c r="D180" s="60" t="str">
        <f>IF(LEN(IFERROR(VLOOKUP(A:A,意大利库存款!A:A,1,0),""))&gt;2,"意大利库存","")</f>
        <v/>
      </c>
      <c r="E180" s="70" t="str">
        <f t="shared" si="12"/>
        <v/>
      </c>
      <c r="I180" s="70" t="str">
        <f t="shared" ca="1" si="13"/>
        <v/>
      </c>
    </row>
    <row r="181" spans="1:9" x14ac:dyDescent="0.25">
      <c r="A181" s="68" t="str">
        <f t="shared" si="11"/>
        <v/>
      </c>
      <c r="B181" s="63"/>
      <c r="C181" s="10" t="str">
        <f>IF(LEN(需打标签!A181)=0,"",IFERROR(VLOOKUP(需打标签!A:A,标签details!A:B,1,0),"无标签"))</f>
        <v/>
      </c>
      <c r="D181" s="60" t="str">
        <f>IF(LEN(IFERROR(VLOOKUP(A:A,意大利库存款!A:A,1,0),""))&gt;2,"意大利库存","")</f>
        <v/>
      </c>
      <c r="E181" s="70" t="str">
        <f t="shared" si="12"/>
        <v/>
      </c>
      <c r="I181" s="70" t="str">
        <f t="shared" ca="1" si="13"/>
        <v/>
      </c>
    </row>
    <row r="182" spans="1:9" x14ac:dyDescent="0.25">
      <c r="A182" s="68" t="str">
        <f t="shared" si="11"/>
        <v/>
      </c>
      <c r="B182" s="63"/>
      <c r="C182" s="10" t="str">
        <f>IF(LEN(需打标签!A182)=0,"",IFERROR(VLOOKUP(需打标签!A:A,标签details!A:B,1,0),"无标签"))</f>
        <v/>
      </c>
      <c r="D182" s="60" t="str">
        <f>IF(LEN(IFERROR(VLOOKUP(A:A,意大利库存款!A:A,1,0),""))&gt;2,"意大利库存","")</f>
        <v/>
      </c>
      <c r="E182" s="70" t="str">
        <f t="shared" si="12"/>
        <v/>
      </c>
      <c r="I182" s="70" t="str">
        <f t="shared" ca="1" si="13"/>
        <v/>
      </c>
    </row>
    <row r="183" spans="1:9" x14ac:dyDescent="0.25">
      <c r="A183" s="68" t="str">
        <f t="shared" si="11"/>
        <v/>
      </c>
      <c r="B183" s="63"/>
      <c r="C183" s="10" t="str">
        <f>IF(LEN(需打标签!A183)=0,"",IFERROR(VLOOKUP(需打标签!A:A,标签details!A:B,1,0),"无标签"))</f>
        <v/>
      </c>
      <c r="D183" s="60" t="str">
        <f>IF(LEN(IFERROR(VLOOKUP(A:A,意大利库存款!A:A,1,0),""))&gt;2,"意大利库存","")</f>
        <v/>
      </c>
      <c r="E183" s="70" t="str">
        <f t="shared" si="12"/>
        <v/>
      </c>
      <c r="I183" s="70" t="str">
        <f t="shared" ca="1" si="13"/>
        <v/>
      </c>
    </row>
    <row r="184" spans="1:9" x14ac:dyDescent="0.25">
      <c r="A184" s="68" t="str">
        <f t="shared" si="11"/>
        <v/>
      </c>
      <c r="B184" s="63"/>
      <c r="C184" s="10" t="str">
        <f>IF(LEN(需打标签!A184)=0,"",IFERROR(VLOOKUP(需打标签!A:A,标签details!A:B,1,0),"无标签"))</f>
        <v/>
      </c>
      <c r="D184" s="60" t="str">
        <f>IF(LEN(IFERROR(VLOOKUP(A:A,意大利库存款!A:A,1,0),""))&gt;2,"意大利库存","")</f>
        <v/>
      </c>
      <c r="E184" s="70" t="str">
        <f t="shared" si="12"/>
        <v/>
      </c>
      <c r="I184" s="70" t="str">
        <f t="shared" ca="1" si="13"/>
        <v/>
      </c>
    </row>
    <row r="185" spans="1:9" x14ac:dyDescent="0.25">
      <c r="A185" s="68" t="str">
        <f t="shared" si="11"/>
        <v/>
      </c>
      <c r="B185" s="63"/>
      <c r="C185" s="10" t="str">
        <f>IF(LEN(需打标签!A185)=0,"",IFERROR(VLOOKUP(需打标签!A:A,标签details!A:B,1,0),"无标签"))</f>
        <v/>
      </c>
      <c r="D185" s="60" t="str">
        <f>IF(LEN(IFERROR(VLOOKUP(A:A,意大利库存款!A:A,1,0),""))&gt;2,"意大利库存","")</f>
        <v/>
      </c>
      <c r="E185" s="70" t="str">
        <f t="shared" si="12"/>
        <v/>
      </c>
      <c r="I185" s="70" t="str">
        <f t="shared" ca="1" si="13"/>
        <v/>
      </c>
    </row>
    <row r="186" spans="1:9" x14ac:dyDescent="0.25">
      <c r="A186" s="68" t="str">
        <f t="shared" si="11"/>
        <v/>
      </c>
      <c r="B186" s="63"/>
      <c r="C186" s="10" t="str">
        <f>IF(LEN(需打标签!A186)=0,"",IFERROR(VLOOKUP(需打标签!A:A,标签details!A:B,1,0),"无标签"))</f>
        <v/>
      </c>
      <c r="D186" s="60" t="str">
        <f>IF(LEN(IFERROR(VLOOKUP(A:A,意大利库存款!A:A,1,0),""))&gt;2,"意大利库存","")</f>
        <v/>
      </c>
      <c r="E186" s="70" t="str">
        <f t="shared" si="12"/>
        <v/>
      </c>
      <c r="I186" s="70" t="str">
        <f t="shared" ca="1" si="13"/>
        <v/>
      </c>
    </row>
    <row r="187" spans="1:9" x14ac:dyDescent="0.25">
      <c r="A187" s="68" t="str">
        <f t="shared" si="11"/>
        <v/>
      </c>
      <c r="B187" s="63"/>
      <c r="C187" s="10" t="str">
        <f>IF(LEN(需打标签!A187)=0,"",IFERROR(VLOOKUP(需打标签!A:A,标签details!A:B,1,0),"无标签"))</f>
        <v/>
      </c>
      <c r="D187" s="60" t="str">
        <f>IF(LEN(IFERROR(VLOOKUP(A:A,意大利库存款!A:A,1,0),""))&gt;2,"意大利库存","")</f>
        <v/>
      </c>
      <c r="E187" s="70" t="str">
        <f t="shared" si="12"/>
        <v/>
      </c>
      <c r="I187" s="70" t="str">
        <f t="shared" ca="1" si="13"/>
        <v/>
      </c>
    </row>
    <row r="188" spans="1:9" x14ac:dyDescent="0.25">
      <c r="A188" s="68" t="str">
        <f t="shared" si="11"/>
        <v/>
      </c>
      <c r="B188" s="63"/>
      <c r="C188" s="10" t="str">
        <f>IF(LEN(需打标签!A188)=0,"",IFERROR(VLOOKUP(需打标签!A:A,标签details!A:B,1,0),"无标签"))</f>
        <v/>
      </c>
      <c r="D188" s="60" t="str">
        <f>IF(LEN(IFERROR(VLOOKUP(A:A,意大利库存款!A:A,1,0),""))&gt;2,"意大利库存","")</f>
        <v/>
      </c>
      <c r="E188" s="70" t="str">
        <f t="shared" si="12"/>
        <v/>
      </c>
      <c r="I188" s="70" t="str">
        <f t="shared" ca="1" si="13"/>
        <v/>
      </c>
    </row>
    <row r="189" spans="1:9" x14ac:dyDescent="0.25">
      <c r="A189" s="68" t="str">
        <f t="shared" si="11"/>
        <v/>
      </c>
      <c r="B189" s="63"/>
      <c r="C189" s="10" t="str">
        <f>IF(LEN(需打标签!A189)=0,"",IFERROR(VLOOKUP(需打标签!A:A,标签details!A:B,1,0),"无标签"))</f>
        <v/>
      </c>
      <c r="D189" s="60" t="str">
        <f>IF(LEN(IFERROR(VLOOKUP(A:A,意大利库存款!A:A,1,0),""))&gt;2,"意大利库存","")</f>
        <v/>
      </c>
      <c r="E189" s="70" t="str">
        <f t="shared" si="12"/>
        <v/>
      </c>
      <c r="I189" s="70" t="str">
        <f t="shared" ca="1" si="13"/>
        <v/>
      </c>
    </row>
    <row r="190" spans="1:9" x14ac:dyDescent="0.25">
      <c r="A190" s="68" t="str">
        <f t="shared" si="11"/>
        <v/>
      </c>
      <c r="B190" s="63"/>
      <c r="C190" s="10" t="str">
        <f>IF(LEN(需打标签!A190)=0,"",IFERROR(VLOOKUP(需打标签!A:A,标签details!A:B,1,0),"无标签"))</f>
        <v/>
      </c>
      <c r="D190" s="60" t="str">
        <f>IF(LEN(IFERROR(VLOOKUP(A:A,意大利库存款!A:A,1,0),""))&gt;2,"意大利库存","")</f>
        <v/>
      </c>
      <c r="E190" s="70" t="str">
        <f t="shared" si="12"/>
        <v/>
      </c>
      <c r="I190" s="70" t="str">
        <f t="shared" ca="1" si="13"/>
        <v/>
      </c>
    </row>
    <row r="191" spans="1:9" x14ac:dyDescent="0.25">
      <c r="A191" s="68" t="str">
        <f t="shared" si="11"/>
        <v/>
      </c>
      <c r="B191" s="63"/>
      <c r="C191" s="10" t="str">
        <f>IF(LEN(需打标签!A191)=0,"",IFERROR(VLOOKUP(需打标签!A:A,标签details!A:B,1,0),"无标签"))</f>
        <v/>
      </c>
      <c r="D191" s="60" t="str">
        <f>IF(LEN(IFERROR(VLOOKUP(A:A,意大利库存款!A:A,1,0),""))&gt;2,"意大利库存","")</f>
        <v/>
      </c>
      <c r="E191" s="70" t="str">
        <f t="shared" si="12"/>
        <v/>
      </c>
      <c r="I191" s="70" t="str">
        <f t="shared" ca="1" si="13"/>
        <v/>
      </c>
    </row>
    <row r="192" spans="1:9" x14ac:dyDescent="0.25">
      <c r="A192" s="68" t="str">
        <f t="shared" si="11"/>
        <v/>
      </c>
      <c r="B192" s="63"/>
      <c r="C192" s="10" t="str">
        <f>IF(LEN(需打标签!A192)=0,"",IFERROR(VLOOKUP(需打标签!A:A,标签details!A:B,1,0),"无标签"))</f>
        <v/>
      </c>
      <c r="D192" s="60" t="str">
        <f>IF(LEN(IFERROR(VLOOKUP(A:A,意大利库存款!A:A,1,0),""))&gt;2,"意大利库存","")</f>
        <v/>
      </c>
      <c r="E192" s="70" t="str">
        <f t="shared" si="12"/>
        <v/>
      </c>
      <c r="I192" s="70" t="str">
        <f t="shared" ca="1" si="13"/>
        <v/>
      </c>
    </row>
    <row r="193" spans="1:9" x14ac:dyDescent="0.25">
      <c r="A193" s="68" t="str">
        <f t="shared" si="11"/>
        <v/>
      </c>
      <c r="B193" s="63"/>
      <c r="C193" s="10" t="str">
        <f>IF(LEN(需打标签!A193)=0,"",IFERROR(VLOOKUP(需打标签!A:A,标签details!A:B,1,0),"无标签"))</f>
        <v/>
      </c>
      <c r="D193" s="60" t="str">
        <f>IF(LEN(IFERROR(VLOOKUP(A:A,意大利库存款!A:A,1,0),""))&gt;2,"意大利库存","")</f>
        <v/>
      </c>
      <c r="E193" s="70" t="str">
        <f t="shared" si="12"/>
        <v/>
      </c>
      <c r="I193" s="70" t="str">
        <f t="shared" ca="1" si="13"/>
        <v/>
      </c>
    </row>
    <row r="194" spans="1:9" x14ac:dyDescent="0.25">
      <c r="A194" s="68" t="str">
        <f t="shared" si="11"/>
        <v/>
      </c>
      <c r="B194" s="63"/>
      <c r="C194" s="10" t="str">
        <f>IF(LEN(需打标签!A194)=0,"",IFERROR(VLOOKUP(需打标签!A:A,标签details!A:B,1,0),"无标签"))</f>
        <v/>
      </c>
      <c r="D194" s="60" t="str">
        <f>IF(LEN(IFERROR(VLOOKUP(A:A,意大利库存款!A:A,1,0),""))&gt;2,"意大利库存","")</f>
        <v/>
      </c>
      <c r="E194" s="70" t="str">
        <f t="shared" si="12"/>
        <v/>
      </c>
      <c r="I194" s="70" t="str">
        <f t="shared" ca="1" si="13"/>
        <v/>
      </c>
    </row>
    <row r="195" spans="1:9" x14ac:dyDescent="0.25">
      <c r="A195" s="68" t="str">
        <f t="shared" ref="A195:A258" si="14">IF(LEN(B195),"EBT"&amp;B195,"")</f>
        <v/>
      </c>
      <c r="B195" s="63"/>
      <c r="C195" s="10" t="str">
        <f>IF(LEN(需打标签!A195)=0,"",IFERROR(VLOOKUP(需打标签!A:A,标签details!A:B,1,0),"无标签"))</f>
        <v/>
      </c>
      <c r="D195" s="60" t="str">
        <f>IF(LEN(IFERROR(VLOOKUP(A:A,意大利库存款!A:A,1,0),""))&gt;2,"意大利库存","")</f>
        <v/>
      </c>
      <c r="E195" s="70" t="str">
        <f t="shared" ref="E195:E258" si="15">IF(LEN(A195),"IHZ16","")</f>
        <v/>
      </c>
      <c r="I195" s="70" t="str">
        <f t="shared" ref="I195:I258" ca="1" si="16">IF(LEN(A195),TODAY(),"")</f>
        <v/>
      </c>
    </row>
    <row r="196" spans="1:9" x14ac:dyDescent="0.25">
      <c r="A196" s="68" t="str">
        <f t="shared" si="14"/>
        <v/>
      </c>
      <c r="B196" s="63"/>
      <c r="C196" s="10" t="str">
        <f>IF(LEN(需打标签!A196)=0,"",IFERROR(VLOOKUP(需打标签!A:A,标签details!A:B,1,0),"无标签"))</f>
        <v/>
      </c>
      <c r="D196" s="60" t="str">
        <f>IF(LEN(IFERROR(VLOOKUP(A:A,意大利库存款!A:A,1,0),""))&gt;2,"意大利库存","")</f>
        <v/>
      </c>
      <c r="E196" s="70" t="str">
        <f t="shared" si="15"/>
        <v/>
      </c>
      <c r="I196" s="70" t="str">
        <f t="shared" ca="1" si="16"/>
        <v/>
      </c>
    </row>
    <row r="197" spans="1:9" x14ac:dyDescent="0.25">
      <c r="A197" s="68" t="str">
        <f t="shared" si="14"/>
        <v/>
      </c>
      <c r="B197" s="63"/>
      <c r="C197" s="10" t="str">
        <f>IF(LEN(需打标签!A197)=0,"",IFERROR(VLOOKUP(需打标签!A:A,标签details!A:B,1,0),"无标签"))</f>
        <v/>
      </c>
      <c r="D197" s="60" t="str">
        <f>IF(LEN(IFERROR(VLOOKUP(A:A,意大利库存款!A:A,1,0),""))&gt;2,"意大利库存","")</f>
        <v/>
      </c>
      <c r="E197" s="70" t="str">
        <f t="shared" si="15"/>
        <v/>
      </c>
      <c r="I197" s="70" t="str">
        <f t="shared" ca="1" si="16"/>
        <v/>
      </c>
    </row>
    <row r="198" spans="1:9" x14ac:dyDescent="0.25">
      <c r="A198" s="68" t="str">
        <f t="shared" si="14"/>
        <v/>
      </c>
      <c r="B198" s="63"/>
      <c r="C198" s="10" t="str">
        <f>IF(LEN(需打标签!A198)=0,"",IFERROR(VLOOKUP(需打标签!A:A,标签details!A:B,1,0),"无标签"))</f>
        <v/>
      </c>
      <c r="D198" s="60" t="str">
        <f>IF(LEN(IFERROR(VLOOKUP(A:A,意大利库存款!A:A,1,0),""))&gt;2,"意大利库存","")</f>
        <v/>
      </c>
      <c r="E198" s="70" t="str">
        <f t="shared" si="15"/>
        <v/>
      </c>
      <c r="I198" s="70" t="str">
        <f t="shared" ca="1" si="16"/>
        <v/>
      </c>
    </row>
    <row r="199" spans="1:9" x14ac:dyDescent="0.25">
      <c r="A199" s="68" t="str">
        <f t="shared" si="14"/>
        <v/>
      </c>
      <c r="B199" s="63"/>
      <c r="C199" s="10" t="str">
        <f>IF(LEN(需打标签!A199)=0,"",IFERROR(VLOOKUP(需打标签!A:A,标签details!A:B,1,0),"无标签"))</f>
        <v/>
      </c>
      <c r="D199" s="60" t="str">
        <f>IF(LEN(IFERROR(VLOOKUP(A:A,意大利库存款!A:A,1,0),""))&gt;2,"意大利库存","")</f>
        <v/>
      </c>
      <c r="E199" s="70" t="str">
        <f t="shared" si="15"/>
        <v/>
      </c>
      <c r="I199" s="70" t="str">
        <f t="shared" ca="1" si="16"/>
        <v/>
      </c>
    </row>
    <row r="200" spans="1:9" x14ac:dyDescent="0.25">
      <c r="A200" s="68" t="str">
        <f t="shared" si="14"/>
        <v/>
      </c>
      <c r="B200" s="63"/>
      <c r="C200" s="10" t="str">
        <f>IF(LEN(需打标签!A200)=0,"",IFERROR(VLOOKUP(需打标签!A:A,标签details!A:B,1,0),"无标签"))</f>
        <v/>
      </c>
      <c r="D200" s="60" t="str">
        <f>IF(LEN(IFERROR(VLOOKUP(A:A,意大利库存款!A:A,1,0),""))&gt;2,"意大利库存","")</f>
        <v/>
      </c>
      <c r="E200" s="70" t="str">
        <f t="shared" si="15"/>
        <v/>
      </c>
      <c r="I200" s="70" t="str">
        <f t="shared" ca="1" si="16"/>
        <v/>
      </c>
    </row>
    <row r="201" spans="1:9" x14ac:dyDescent="0.25">
      <c r="A201" s="68" t="str">
        <f t="shared" si="14"/>
        <v/>
      </c>
      <c r="B201" s="63"/>
      <c r="C201" s="10" t="str">
        <f>IF(LEN(需打标签!A201)=0,"",IFERROR(VLOOKUP(需打标签!A:A,标签details!A:B,1,0),"无标签"))</f>
        <v/>
      </c>
      <c r="D201" s="60" t="str">
        <f>IF(LEN(IFERROR(VLOOKUP(A:A,意大利库存款!A:A,1,0),""))&gt;2,"意大利库存","")</f>
        <v/>
      </c>
      <c r="E201" s="70" t="str">
        <f t="shared" si="15"/>
        <v/>
      </c>
      <c r="I201" s="70" t="str">
        <f t="shared" ca="1" si="16"/>
        <v/>
      </c>
    </row>
    <row r="202" spans="1:9" x14ac:dyDescent="0.25">
      <c r="A202" s="68" t="str">
        <f t="shared" si="14"/>
        <v/>
      </c>
      <c r="B202" s="63"/>
      <c r="C202" s="10" t="str">
        <f>IF(LEN(需打标签!A202)=0,"",IFERROR(VLOOKUP(需打标签!A:A,标签details!A:B,1,0),"无标签"))</f>
        <v/>
      </c>
      <c r="D202" s="60" t="str">
        <f>IF(LEN(IFERROR(VLOOKUP(A:A,意大利库存款!A:A,1,0),""))&gt;2,"意大利库存","")</f>
        <v/>
      </c>
      <c r="E202" s="70" t="str">
        <f t="shared" si="15"/>
        <v/>
      </c>
      <c r="I202" s="70" t="str">
        <f t="shared" ca="1" si="16"/>
        <v/>
      </c>
    </row>
    <row r="203" spans="1:9" x14ac:dyDescent="0.25">
      <c r="A203" s="68" t="str">
        <f t="shared" si="14"/>
        <v/>
      </c>
      <c r="B203" s="63"/>
      <c r="C203" s="10" t="str">
        <f>IF(LEN(需打标签!A203)=0,"",IFERROR(VLOOKUP(需打标签!A:A,标签details!A:B,1,0),"无标签"))</f>
        <v/>
      </c>
      <c r="D203" s="60" t="str">
        <f>IF(LEN(IFERROR(VLOOKUP(A:A,意大利库存款!A:A,1,0),""))&gt;2,"意大利库存","")</f>
        <v/>
      </c>
      <c r="E203" s="70" t="str">
        <f t="shared" si="15"/>
        <v/>
      </c>
      <c r="I203" s="70" t="str">
        <f t="shared" ca="1" si="16"/>
        <v/>
      </c>
    </row>
    <row r="204" spans="1:9" x14ac:dyDescent="0.25">
      <c r="A204" s="68" t="str">
        <f t="shared" si="14"/>
        <v/>
      </c>
      <c r="B204" s="63"/>
      <c r="C204" s="10" t="str">
        <f>IF(LEN(需打标签!A204)=0,"",IFERROR(VLOOKUP(需打标签!A:A,标签details!A:B,1,0),"无标签"))</f>
        <v/>
      </c>
      <c r="D204" s="60" t="str">
        <f>IF(LEN(IFERROR(VLOOKUP(A:A,意大利库存款!A:A,1,0),""))&gt;2,"意大利库存","")</f>
        <v/>
      </c>
      <c r="E204" s="70" t="str">
        <f t="shared" si="15"/>
        <v/>
      </c>
      <c r="I204" s="70" t="str">
        <f t="shared" ca="1" si="16"/>
        <v/>
      </c>
    </row>
    <row r="205" spans="1:9" x14ac:dyDescent="0.25">
      <c r="A205" s="68" t="str">
        <f t="shared" si="14"/>
        <v/>
      </c>
      <c r="B205" s="63"/>
      <c r="C205" s="10" t="str">
        <f>IF(LEN(需打标签!A205)=0,"",IFERROR(VLOOKUP(需打标签!A:A,标签details!A:B,1,0),"无标签"))</f>
        <v/>
      </c>
      <c r="D205" s="60" t="str">
        <f>IF(LEN(IFERROR(VLOOKUP(A:A,意大利库存款!A:A,1,0),""))&gt;2,"意大利库存","")</f>
        <v/>
      </c>
      <c r="E205" s="70" t="str">
        <f t="shared" si="15"/>
        <v/>
      </c>
      <c r="I205" s="70" t="str">
        <f t="shared" ca="1" si="16"/>
        <v/>
      </c>
    </row>
    <row r="206" spans="1:9" x14ac:dyDescent="0.25">
      <c r="A206" s="68" t="str">
        <f t="shared" si="14"/>
        <v/>
      </c>
      <c r="B206" s="63"/>
      <c r="C206" s="10" t="str">
        <f>IF(LEN(需打标签!A206)=0,"",IFERROR(VLOOKUP(需打标签!A:A,标签details!A:B,1,0),"无标签"))</f>
        <v/>
      </c>
      <c r="D206" s="60" t="str">
        <f>IF(LEN(IFERROR(VLOOKUP(A:A,意大利库存款!A:A,1,0),""))&gt;2,"意大利库存","")</f>
        <v/>
      </c>
      <c r="E206" s="70" t="str">
        <f t="shared" si="15"/>
        <v/>
      </c>
      <c r="I206" s="70" t="str">
        <f t="shared" ca="1" si="16"/>
        <v/>
      </c>
    </row>
    <row r="207" spans="1:9" x14ac:dyDescent="0.25">
      <c r="A207" s="68" t="str">
        <f t="shared" si="14"/>
        <v/>
      </c>
      <c r="B207" s="63"/>
      <c r="C207" s="10" t="str">
        <f>IF(LEN(需打标签!A207)=0,"",IFERROR(VLOOKUP(需打标签!A:A,标签details!A:B,1,0),"无标签"))</f>
        <v/>
      </c>
      <c r="D207" s="60" t="str">
        <f>IF(LEN(IFERROR(VLOOKUP(A:A,意大利库存款!A:A,1,0),""))&gt;2,"意大利库存","")</f>
        <v/>
      </c>
      <c r="E207" s="70" t="str">
        <f t="shared" si="15"/>
        <v/>
      </c>
      <c r="I207" s="70" t="str">
        <f t="shared" ca="1" si="16"/>
        <v/>
      </c>
    </row>
    <row r="208" spans="1:9" x14ac:dyDescent="0.25">
      <c r="A208" s="68" t="str">
        <f t="shared" si="14"/>
        <v/>
      </c>
      <c r="B208" s="63"/>
      <c r="C208" s="10" t="str">
        <f>IF(LEN(需打标签!A208)=0,"",IFERROR(VLOOKUP(需打标签!A:A,标签details!A:B,1,0),"无标签"))</f>
        <v/>
      </c>
      <c r="D208" s="60" t="str">
        <f>IF(LEN(IFERROR(VLOOKUP(A:A,意大利库存款!A:A,1,0),""))&gt;2,"意大利库存","")</f>
        <v/>
      </c>
      <c r="E208" s="70" t="str">
        <f t="shared" si="15"/>
        <v/>
      </c>
      <c r="I208" s="70" t="str">
        <f t="shared" ca="1" si="16"/>
        <v/>
      </c>
    </row>
    <row r="209" spans="1:9" x14ac:dyDescent="0.25">
      <c r="A209" s="68" t="str">
        <f t="shared" si="14"/>
        <v/>
      </c>
      <c r="B209" s="63"/>
      <c r="C209" s="10" t="str">
        <f>IF(LEN(需打标签!A209)=0,"",IFERROR(VLOOKUP(需打标签!A:A,标签details!A:B,1,0),"无标签"))</f>
        <v/>
      </c>
      <c r="D209" s="60" t="str">
        <f>IF(LEN(IFERROR(VLOOKUP(A:A,意大利库存款!A:A,1,0),""))&gt;2,"意大利库存","")</f>
        <v/>
      </c>
      <c r="E209" s="70" t="str">
        <f t="shared" si="15"/>
        <v/>
      </c>
      <c r="I209" s="70" t="str">
        <f t="shared" ca="1" si="16"/>
        <v/>
      </c>
    </row>
    <row r="210" spans="1:9" x14ac:dyDescent="0.25">
      <c r="A210" s="68" t="str">
        <f t="shared" si="14"/>
        <v/>
      </c>
      <c r="B210" s="63"/>
      <c r="C210" s="10" t="str">
        <f>IF(LEN(需打标签!A210)=0,"",IFERROR(VLOOKUP(需打标签!A:A,标签details!A:B,1,0),"无标签"))</f>
        <v/>
      </c>
      <c r="D210" s="60" t="str">
        <f>IF(LEN(IFERROR(VLOOKUP(A:A,意大利库存款!A:A,1,0),""))&gt;2,"意大利库存","")</f>
        <v/>
      </c>
      <c r="E210" s="70" t="str">
        <f t="shared" si="15"/>
        <v/>
      </c>
      <c r="I210" s="70" t="str">
        <f t="shared" ca="1" si="16"/>
        <v/>
      </c>
    </row>
    <row r="211" spans="1:9" x14ac:dyDescent="0.25">
      <c r="A211" s="68" t="str">
        <f t="shared" si="14"/>
        <v/>
      </c>
      <c r="B211" s="63"/>
      <c r="C211" s="10" t="str">
        <f>IF(LEN(需打标签!A211)=0,"",IFERROR(VLOOKUP(需打标签!A:A,标签details!A:B,1,0),"无标签"))</f>
        <v/>
      </c>
      <c r="D211" s="60" t="str">
        <f>IF(LEN(IFERROR(VLOOKUP(A:A,意大利库存款!A:A,1,0),""))&gt;2,"意大利库存","")</f>
        <v/>
      </c>
      <c r="E211" s="70" t="str">
        <f t="shared" si="15"/>
        <v/>
      </c>
      <c r="I211" s="70" t="str">
        <f t="shared" ca="1" si="16"/>
        <v/>
      </c>
    </row>
    <row r="212" spans="1:9" x14ac:dyDescent="0.25">
      <c r="A212" s="68" t="str">
        <f t="shared" si="14"/>
        <v/>
      </c>
      <c r="B212" s="63"/>
      <c r="C212" s="10" t="str">
        <f>IF(LEN(需打标签!A212)=0,"",IFERROR(VLOOKUP(需打标签!A:A,标签details!A:B,1,0),"无标签"))</f>
        <v/>
      </c>
      <c r="D212" s="60" t="str">
        <f>IF(LEN(IFERROR(VLOOKUP(A:A,意大利库存款!A:A,1,0),""))&gt;2,"意大利库存","")</f>
        <v/>
      </c>
      <c r="E212" s="70" t="str">
        <f t="shared" si="15"/>
        <v/>
      </c>
      <c r="I212" s="70" t="str">
        <f t="shared" ca="1" si="16"/>
        <v/>
      </c>
    </row>
    <row r="213" spans="1:9" x14ac:dyDescent="0.25">
      <c r="A213" s="68" t="str">
        <f t="shared" si="14"/>
        <v/>
      </c>
      <c r="B213" s="63"/>
      <c r="C213" s="10" t="str">
        <f>IF(LEN(需打标签!A213)=0,"",IFERROR(VLOOKUP(需打标签!A:A,标签details!A:B,1,0),"无标签"))</f>
        <v/>
      </c>
      <c r="D213" s="60" t="str">
        <f>IF(LEN(IFERROR(VLOOKUP(A:A,意大利库存款!A:A,1,0),""))&gt;2,"意大利库存","")</f>
        <v/>
      </c>
      <c r="E213" s="70" t="str">
        <f t="shared" si="15"/>
        <v/>
      </c>
      <c r="I213" s="70" t="str">
        <f t="shared" ca="1" si="16"/>
        <v/>
      </c>
    </row>
    <row r="214" spans="1:9" x14ac:dyDescent="0.25">
      <c r="A214" s="68" t="str">
        <f t="shared" si="14"/>
        <v/>
      </c>
      <c r="B214" s="63"/>
      <c r="C214" s="10" t="str">
        <f>IF(LEN(需打标签!A214)=0,"",IFERROR(VLOOKUP(需打标签!A:A,标签details!A:B,1,0),"无标签"))</f>
        <v/>
      </c>
      <c r="D214" s="60" t="str">
        <f>IF(LEN(IFERROR(VLOOKUP(A:A,意大利库存款!A:A,1,0),""))&gt;2,"意大利库存","")</f>
        <v/>
      </c>
      <c r="E214" s="70" t="str">
        <f t="shared" si="15"/>
        <v/>
      </c>
      <c r="I214" s="70" t="str">
        <f t="shared" ca="1" si="16"/>
        <v/>
      </c>
    </row>
    <row r="215" spans="1:9" x14ac:dyDescent="0.25">
      <c r="A215" s="68" t="str">
        <f t="shared" si="14"/>
        <v/>
      </c>
      <c r="B215" s="63"/>
      <c r="C215" s="10" t="str">
        <f>IF(LEN(需打标签!A215)=0,"",IFERROR(VLOOKUP(需打标签!A:A,标签details!A:B,1,0),"无标签"))</f>
        <v/>
      </c>
      <c r="D215" s="60" t="str">
        <f>IF(LEN(IFERROR(VLOOKUP(A:A,意大利库存款!A:A,1,0),""))&gt;2,"意大利库存","")</f>
        <v/>
      </c>
      <c r="E215" s="70" t="str">
        <f t="shared" si="15"/>
        <v/>
      </c>
      <c r="I215" s="70" t="str">
        <f t="shared" ca="1" si="16"/>
        <v/>
      </c>
    </row>
    <row r="216" spans="1:9" x14ac:dyDescent="0.25">
      <c r="A216" s="68" t="str">
        <f t="shared" si="14"/>
        <v/>
      </c>
      <c r="B216" s="63"/>
      <c r="C216" s="10" t="str">
        <f>IF(LEN(需打标签!A216)=0,"",IFERROR(VLOOKUP(需打标签!A:A,标签details!A:B,1,0),"无标签"))</f>
        <v/>
      </c>
      <c r="D216" s="60" t="str">
        <f>IF(LEN(IFERROR(VLOOKUP(A:A,意大利库存款!A:A,1,0),""))&gt;2,"意大利库存","")</f>
        <v/>
      </c>
      <c r="E216" s="70" t="str">
        <f t="shared" si="15"/>
        <v/>
      </c>
      <c r="I216" s="70" t="str">
        <f t="shared" ca="1" si="16"/>
        <v/>
      </c>
    </row>
    <row r="217" spans="1:9" x14ac:dyDescent="0.25">
      <c r="A217" s="68" t="str">
        <f t="shared" si="14"/>
        <v/>
      </c>
      <c r="B217" s="63"/>
      <c r="C217" s="10" t="str">
        <f>IF(LEN(需打标签!A217)=0,"",IFERROR(VLOOKUP(需打标签!A:A,标签details!A:B,1,0),"无标签"))</f>
        <v/>
      </c>
      <c r="D217" s="60" t="str">
        <f>IF(LEN(IFERROR(VLOOKUP(A:A,意大利库存款!A:A,1,0),""))&gt;2,"意大利库存","")</f>
        <v/>
      </c>
      <c r="E217" s="70" t="str">
        <f t="shared" si="15"/>
        <v/>
      </c>
      <c r="I217" s="70" t="str">
        <f t="shared" ca="1" si="16"/>
        <v/>
      </c>
    </row>
    <row r="218" spans="1:9" x14ac:dyDescent="0.25">
      <c r="A218" s="68" t="str">
        <f t="shared" si="14"/>
        <v/>
      </c>
      <c r="B218" s="63"/>
      <c r="C218" s="10" t="str">
        <f>IF(LEN(需打标签!A218)=0,"",IFERROR(VLOOKUP(需打标签!A:A,标签details!A:B,1,0),"无标签"))</f>
        <v/>
      </c>
      <c r="D218" s="60" t="str">
        <f>IF(LEN(IFERROR(VLOOKUP(A:A,意大利库存款!A:A,1,0),""))&gt;2,"意大利库存","")</f>
        <v/>
      </c>
      <c r="E218" s="70" t="str">
        <f t="shared" si="15"/>
        <v/>
      </c>
      <c r="I218" s="70" t="str">
        <f t="shared" ca="1" si="16"/>
        <v/>
      </c>
    </row>
    <row r="219" spans="1:9" x14ac:dyDescent="0.25">
      <c r="A219" s="68" t="str">
        <f t="shared" si="14"/>
        <v/>
      </c>
      <c r="B219" s="63"/>
      <c r="C219" s="10" t="str">
        <f>IF(LEN(需打标签!A219)=0,"",IFERROR(VLOOKUP(需打标签!A:A,标签details!A:B,1,0),"无标签"))</f>
        <v/>
      </c>
      <c r="D219" s="60" t="str">
        <f>IF(LEN(IFERROR(VLOOKUP(A:A,意大利库存款!A:A,1,0),""))&gt;2,"意大利库存","")</f>
        <v/>
      </c>
      <c r="E219" s="70" t="str">
        <f t="shared" si="15"/>
        <v/>
      </c>
      <c r="I219" s="70" t="str">
        <f t="shared" ca="1" si="16"/>
        <v/>
      </c>
    </row>
    <row r="220" spans="1:9" x14ac:dyDescent="0.25">
      <c r="A220" s="68" t="str">
        <f t="shared" si="14"/>
        <v/>
      </c>
      <c r="B220" s="63"/>
      <c r="C220" s="10" t="str">
        <f>IF(LEN(需打标签!A220)=0,"",IFERROR(VLOOKUP(需打标签!A:A,标签details!A:B,1,0),"无标签"))</f>
        <v/>
      </c>
      <c r="D220" s="60" t="str">
        <f>IF(LEN(IFERROR(VLOOKUP(A:A,意大利库存款!A:A,1,0),""))&gt;2,"意大利库存","")</f>
        <v/>
      </c>
      <c r="E220" s="70" t="str">
        <f t="shared" si="15"/>
        <v/>
      </c>
      <c r="I220" s="70" t="str">
        <f t="shared" ca="1" si="16"/>
        <v/>
      </c>
    </row>
    <row r="221" spans="1:9" x14ac:dyDescent="0.25">
      <c r="A221" s="68" t="str">
        <f t="shared" si="14"/>
        <v/>
      </c>
      <c r="B221" s="63"/>
      <c r="C221" s="10" t="str">
        <f>IF(LEN(需打标签!A221)=0,"",IFERROR(VLOOKUP(需打标签!A:A,标签details!A:B,1,0),"无标签"))</f>
        <v/>
      </c>
      <c r="D221" s="60" t="str">
        <f>IF(LEN(IFERROR(VLOOKUP(A:A,意大利库存款!A:A,1,0),""))&gt;2,"意大利库存","")</f>
        <v/>
      </c>
      <c r="E221" s="70" t="str">
        <f t="shared" si="15"/>
        <v/>
      </c>
      <c r="I221" s="70" t="str">
        <f t="shared" ca="1" si="16"/>
        <v/>
      </c>
    </row>
    <row r="222" spans="1:9" x14ac:dyDescent="0.25">
      <c r="A222" s="68" t="str">
        <f t="shared" si="14"/>
        <v/>
      </c>
      <c r="B222" s="63"/>
      <c r="C222" s="10" t="str">
        <f>IF(LEN(需打标签!A222)=0,"",IFERROR(VLOOKUP(需打标签!A:A,标签details!A:B,1,0),"无标签"))</f>
        <v/>
      </c>
      <c r="D222" s="60" t="str">
        <f>IF(LEN(IFERROR(VLOOKUP(A:A,意大利库存款!A:A,1,0),""))&gt;2,"意大利库存","")</f>
        <v/>
      </c>
      <c r="E222" s="70" t="str">
        <f t="shared" si="15"/>
        <v/>
      </c>
      <c r="I222" s="70" t="str">
        <f t="shared" ca="1" si="16"/>
        <v/>
      </c>
    </row>
    <row r="223" spans="1:9" x14ac:dyDescent="0.25">
      <c r="A223" s="68" t="str">
        <f t="shared" si="14"/>
        <v/>
      </c>
      <c r="B223" s="63"/>
      <c r="C223" s="10" t="str">
        <f>IF(LEN(需打标签!A223)=0,"",IFERROR(VLOOKUP(需打标签!A:A,标签details!A:B,1,0),"无标签"))</f>
        <v/>
      </c>
      <c r="D223" s="60" t="str">
        <f>IF(LEN(IFERROR(VLOOKUP(A:A,意大利库存款!A:A,1,0),""))&gt;2,"意大利库存","")</f>
        <v/>
      </c>
      <c r="E223" s="70" t="str">
        <f t="shared" si="15"/>
        <v/>
      </c>
      <c r="I223" s="70" t="str">
        <f t="shared" ca="1" si="16"/>
        <v/>
      </c>
    </row>
    <row r="224" spans="1:9" x14ac:dyDescent="0.25">
      <c r="A224" s="68" t="str">
        <f t="shared" si="14"/>
        <v/>
      </c>
      <c r="B224" s="63"/>
      <c r="C224" s="10" t="str">
        <f>IF(LEN(需打标签!A224)=0,"",IFERROR(VLOOKUP(需打标签!A:A,标签details!A:B,1,0),"无标签"))</f>
        <v/>
      </c>
      <c r="D224" s="60" t="str">
        <f>IF(LEN(IFERROR(VLOOKUP(A:A,意大利库存款!A:A,1,0),""))&gt;2,"意大利库存","")</f>
        <v/>
      </c>
      <c r="E224" s="70" t="str">
        <f t="shared" si="15"/>
        <v/>
      </c>
      <c r="I224" s="70" t="str">
        <f t="shared" ca="1" si="16"/>
        <v/>
      </c>
    </row>
    <row r="225" spans="1:9" x14ac:dyDescent="0.25">
      <c r="A225" s="68" t="str">
        <f t="shared" si="14"/>
        <v/>
      </c>
      <c r="B225" s="63"/>
      <c r="C225" s="10" t="str">
        <f>IF(LEN(需打标签!A225)=0,"",IFERROR(VLOOKUP(需打标签!A:A,标签details!A:B,1,0),"无标签"))</f>
        <v/>
      </c>
      <c r="D225" s="60" t="str">
        <f>IF(LEN(IFERROR(VLOOKUP(A:A,意大利库存款!A:A,1,0),""))&gt;2,"意大利库存","")</f>
        <v/>
      </c>
      <c r="E225" s="70" t="str">
        <f t="shared" si="15"/>
        <v/>
      </c>
      <c r="I225" s="70" t="str">
        <f t="shared" ca="1" si="16"/>
        <v/>
      </c>
    </row>
    <row r="226" spans="1:9" x14ac:dyDescent="0.25">
      <c r="A226" s="68" t="str">
        <f t="shared" si="14"/>
        <v/>
      </c>
      <c r="B226" s="63"/>
      <c r="C226" s="10" t="str">
        <f>IF(LEN(需打标签!A226)=0,"",IFERROR(VLOOKUP(需打标签!A:A,标签details!A:B,1,0),"无标签"))</f>
        <v/>
      </c>
      <c r="D226" s="60" t="str">
        <f>IF(LEN(IFERROR(VLOOKUP(A:A,意大利库存款!A:A,1,0),""))&gt;2,"意大利库存","")</f>
        <v/>
      </c>
      <c r="E226" s="70" t="str">
        <f t="shared" si="15"/>
        <v/>
      </c>
      <c r="I226" s="70" t="str">
        <f t="shared" ca="1" si="16"/>
        <v/>
      </c>
    </row>
    <row r="227" spans="1:9" x14ac:dyDescent="0.25">
      <c r="A227" s="68" t="str">
        <f t="shared" si="14"/>
        <v/>
      </c>
      <c r="B227" s="63"/>
      <c r="C227" s="10" t="str">
        <f>IF(LEN(需打标签!A227)=0,"",IFERROR(VLOOKUP(需打标签!A:A,标签details!A:B,1,0),"无标签"))</f>
        <v/>
      </c>
      <c r="D227" s="60" t="str">
        <f>IF(LEN(IFERROR(VLOOKUP(A:A,意大利库存款!A:A,1,0),""))&gt;2,"意大利库存","")</f>
        <v/>
      </c>
      <c r="E227" s="70" t="str">
        <f t="shared" si="15"/>
        <v/>
      </c>
      <c r="I227" s="70" t="str">
        <f t="shared" ca="1" si="16"/>
        <v/>
      </c>
    </row>
    <row r="228" spans="1:9" x14ac:dyDescent="0.25">
      <c r="A228" s="68" t="str">
        <f t="shared" si="14"/>
        <v/>
      </c>
      <c r="B228" s="63"/>
      <c r="C228" s="10" t="str">
        <f>IF(LEN(需打标签!A228)=0,"",IFERROR(VLOOKUP(需打标签!A:A,标签details!A:B,1,0),"无标签"))</f>
        <v/>
      </c>
      <c r="D228" s="60" t="str">
        <f>IF(LEN(IFERROR(VLOOKUP(A:A,意大利库存款!A:A,1,0),""))&gt;2,"意大利库存","")</f>
        <v/>
      </c>
      <c r="E228" s="70" t="str">
        <f t="shared" si="15"/>
        <v/>
      </c>
      <c r="I228" s="70" t="str">
        <f t="shared" ca="1" si="16"/>
        <v/>
      </c>
    </row>
    <row r="229" spans="1:9" x14ac:dyDescent="0.25">
      <c r="A229" s="68" t="str">
        <f t="shared" si="14"/>
        <v/>
      </c>
      <c r="B229" s="63"/>
      <c r="C229" s="10" t="str">
        <f>IF(LEN(需打标签!A229)=0,"",IFERROR(VLOOKUP(需打标签!A:A,标签details!A:B,1,0),"无标签"))</f>
        <v/>
      </c>
      <c r="D229" s="60" t="str">
        <f>IF(LEN(IFERROR(VLOOKUP(A:A,意大利库存款!A:A,1,0),""))&gt;2,"意大利库存","")</f>
        <v/>
      </c>
      <c r="E229" s="70" t="str">
        <f t="shared" si="15"/>
        <v/>
      </c>
      <c r="I229" s="70" t="str">
        <f t="shared" ca="1" si="16"/>
        <v/>
      </c>
    </row>
    <row r="230" spans="1:9" x14ac:dyDescent="0.25">
      <c r="A230" s="68" t="str">
        <f t="shared" si="14"/>
        <v/>
      </c>
      <c r="B230" s="63"/>
      <c r="C230" s="10" t="str">
        <f>IF(LEN(需打标签!A230)=0,"",IFERROR(VLOOKUP(需打标签!A:A,标签details!A:B,1,0),"无标签"))</f>
        <v/>
      </c>
      <c r="D230" s="60" t="str">
        <f>IF(LEN(IFERROR(VLOOKUP(A:A,意大利库存款!A:A,1,0),""))&gt;2,"意大利库存","")</f>
        <v/>
      </c>
      <c r="E230" s="70" t="str">
        <f t="shared" si="15"/>
        <v/>
      </c>
      <c r="I230" s="70" t="str">
        <f t="shared" ca="1" si="16"/>
        <v/>
      </c>
    </row>
    <row r="231" spans="1:9" x14ac:dyDescent="0.25">
      <c r="A231" s="68" t="str">
        <f t="shared" si="14"/>
        <v/>
      </c>
      <c r="B231" s="63"/>
      <c r="C231" s="10" t="str">
        <f>IF(LEN(需打标签!A231)=0,"",IFERROR(VLOOKUP(需打标签!A:A,标签details!A:B,1,0),"无标签"))</f>
        <v/>
      </c>
      <c r="D231" s="60" t="str">
        <f>IF(LEN(IFERROR(VLOOKUP(A:A,意大利库存款!A:A,1,0),""))&gt;2,"意大利库存","")</f>
        <v/>
      </c>
      <c r="E231" s="70" t="str">
        <f t="shared" si="15"/>
        <v/>
      </c>
      <c r="I231" s="70" t="str">
        <f t="shared" ca="1" si="16"/>
        <v/>
      </c>
    </row>
    <row r="232" spans="1:9" x14ac:dyDescent="0.25">
      <c r="A232" s="68" t="str">
        <f t="shared" si="14"/>
        <v/>
      </c>
      <c r="B232" s="63"/>
      <c r="C232" s="10" t="str">
        <f>IF(LEN(需打标签!A232)=0,"",IFERROR(VLOOKUP(需打标签!A:A,标签details!A:B,1,0),"无标签"))</f>
        <v/>
      </c>
      <c r="D232" s="60" t="str">
        <f>IF(LEN(IFERROR(VLOOKUP(A:A,意大利库存款!A:A,1,0),""))&gt;2,"意大利库存","")</f>
        <v/>
      </c>
      <c r="E232" s="70" t="str">
        <f t="shared" si="15"/>
        <v/>
      </c>
      <c r="I232" s="70" t="str">
        <f t="shared" ca="1" si="16"/>
        <v/>
      </c>
    </row>
    <row r="233" spans="1:9" x14ac:dyDescent="0.25">
      <c r="A233" s="68" t="str">
        <f t="shared" si="14"/>
        <v/>
      </c>
      <c r="B233" s="63"/>
      <c r="C233" s="10" t="str">
        <f>IF(LEN(需打标签!A233)=0,"",IFERROR(VLOOKUP(需打标签!A:A,标签details!A:B,1,0),"无标签"))</f>
        <v/>
      </c>
      <c r="D233" s="60" t="str">
        <f>IF(LEN(IFERROR(VLOOKUP(A:A,意大利库存款!A:A,1,0),""))&gt;2,"意大利库存","")</f>
        <v/>
      </c>
      <c r="E233" s="70" t="str">
        <f t="shared" si="15"/>
        <v/>
      </c>
      <c r="I233" s="70" t="str">
        <f t="shared" ca="1" si="16"/>
        <v/>
      </c>
    </row>
    <row r="234" spans="1:9" x14ac:dyDescent="0.25">
      <c r="A234" s="68" t="str">
        <f t="shared" si="14"/>
        <v/>
      </c>
      <c r="B234" s="63"/>
      <c r="C234" s="10" t="str">
        <f>IF(LEN(需打标签!A234)=0,"",IFERROR(VLOOKUP(需打标签!A:A,标签details!A:B,1,0),"无标签"))</f>
        <v/>
      </c>
      <c r="D234" s="60" t="str">
        <f>IF(LEN(IFERROR(VLOOKUP(A:A,意大利库存款!A:A,1,0),""))&gt;2,"意大利库存","")</f>
        <v/>
      </c>
      <c r="E234" s="70" t="str">
        <f t="shared" si="15"/>
        <v/>
      </c>
      <c r="I234" s="70" t="str">
        <f t="shared" ca="1" si="16"/>
        <v/>
      </c>
    </row>
    <row r="235" spans="1:9" x14ac:dyDescent="0.25">
      <c r="A235" s="68" t="str">
        <f t="shared" si="14"/>
        <v/>
      </c>
      <c r="B235" s="63"/>
      <c r="C235" s="10" t="str">
        <f>IF(LEN(需打标签!A235)=0,"",IFERROR(VLOOKUP(需打标签!A:A,标签details!A:B,1,0),"无标签"))</f>
        <v/>
      </c>
      <c r="D235" s="60" t="str">
        <f>IF(LEN(IFERROR(VLOOKUP(A:A,意大利库存款!A:A,1,0),""))&gt;2,"意大利库存","")</f>
        <v/>
      </c>
      <c r="E235" s="70" t="str">
        <f t="shared" si="15"/>
        <v/>
      </c>
      <c r="I235" s="70" t="str">
        <f t="shared" ca="1" si="16"/>
        <v/>
      </c>
    </row>
    <row r="236" spans="1:9" x14ac:dyDescent="0.25">
      <c r="A236" s="68" t="str">
        <f t="shared" si="14"/>
        <v/>
      </c>
      <c r="B236" s="63"/>
      <c r="C236" s="10" t="str">
        <f>IF(LEN(需打标签!A236)=0,"",IFERROR(VLOOKUP(需打标签!A:A,标签details!A:B,1,0),"无标签"))</f>
        <v/>
      </c>
      <c r="D236" s="60" t="str">
        <f>IF(LEN(IFERROR(VLOOKUP(A:A,意大利库存款!A:A,1,0),""))&gt;2,"意大利库存","")</f>
        <v/>
      </c>
      <c r="E236" s="70" t="str">
        <f t="shared" si="15"/>
        <v/>
      </c>
      <c r="I236" s="70" t="str">
        <f t="shared" ca="1" si="16"/>
        <v/>
      </c>
    </row>
    <row r="237" spans="1:9" x14ac:dyDescent="0.25">
      <c r="A237" s="68" t="str">
        <f t="shared" si="14"/>
        <v/>
      </c>
      <c r="B237" s="63"/>
      <c r="C237" s="10" t="str">
        <f>IF(LEN(需打标签!A237)=0,"",IFERROR(VLOOKUP(需打标签!A:A,标签details!A:B,1,0),"无标签"))</f>
        <v/>
      </c>
      <c r="D237" s="60" t="str">
        <f>IF(LEN(IFERROR(VLOOKUP(A:A,意大利库存款!A:A,1,0),""))&gt;2,"意大利库存","")</f>
        <v/>
      </c>
      <c r="E237" s="70" t="str">
        <f t="shared" si="15"/>
        <v/>
      </c>
      <c r="I237" s="70" t="str">
        <f t="shared" ca="1" si="16"/>
        <v/>
      </c>
    </row>
    <row r="238" spans="1:9" x14ac:dyDescent="0.25">
      <c r="A238" s="68" t="str">
        <f t="shared" si="14"/>
        <v/>
      </c>
      <c r="B238" s="63"/>
      <c r="C238" s="10" t="str">
        <f>IF(LEN(需打标签!A238)=0,"",IFERROR(VLOOKUP(需打标签!A:A,标签details!A:B,1,0),"无标签"))</f>
        <v/>
      </c>
      <c r="D238" s="60" t="str">
        <f>IF(LEN(IFERROR(VLOOKUP(A:A,意大利库存款!A:A,1,0),""))&gt;2,"意大利库存","")</f>
        <v/>
      </c>
      <c r="E238" s="70" t="str">
        <f t="shared" si="15"/>
        <v/>
      </c>
      <c r="I238" s="70" t="str">
        <f t="shared" ca="1" si="16"/>
        <v/>
      </c>
    </row>
    <row r="239" spans="1:9" x14ac:dyDescent="0.25">
      <c r="A239" s="68" t="str">
        <f t="shared" si="14"/>
        <v/>
      </c>
      <c r="B239" s="63"/>
      <c r="C239" s="10" t="str">
        <f>IF(LEN(需打标签!A239)=0,"",IFERROR(VLOOKUP(需打标签!A:A,标签details!A:B,1,0),"无标签"))</f>
        <v/>
      </c>
      <c r="D239" s="60" t="str">
        <f>IF(LEN(IFERROR(VLOOKUP(A:A,意大利库存款!A:A,1,0),""))&gt;2,"意大利库存","")</f>
        <v/>
      </c>
      <c r="E239" s="70" t="str">
        <f t="shared" si="15"/>
        <v/>
      </c>
      <c r="I239" s="70" t="str">
        <f t="shared" ca="1" si="16"/>
        <v/>
      </c>
    </row>
    <row r="240" spans="1:9" x14ac:dyDescent="0.25">
      <c r="A240" s="68" t="str">
        <f t="shared" si="14"/>
        <v/>
      </c>
      <c r="B240" s="63"/>
      <c r="C240" s="10" t="str">
        <f>IF(LEN(需打标签!A240)=0,"",IFERROR(VLOOKUP(需打标签!A:A,标签details!A:B,1,0),"无标签"))</f>
        <v/>
      </c>
      <c r="D240" s="60" t="str">
        <f>IF(LEN(IFERROR(VLOOKUP(A:A,意大利库存款!A:A,1,0),""))&gt;2,"意大利库存","")</f>
        <v/>
      </c>
      <c r="E240" s="70" t="str">
        <f t="shared" si="15"/>
        <v/>
      </c>
      <c r="I240" s="70" t="str">
        <f t="shared" ca="1" si="16"/>
        <v/>
      </c>
    </row>
    <row r="241" spans="1:9" x14ac:dyDescent="0.25">
      <c r="A241" s="68" t="str">
        <f t="shared" si="14"/>
        <v/>
      </c>
      <c r="B241" s="63"/>
      <c r="C241" s="10" t="str">
        <f>IF(LEN(需打标签!A241)=0,"",IFERROR(VLOOKUP(需打标签!A:A,标签details!A:B,1,0),"无标签"))</f>
        <v/>
      </c>
      <c r="D241" s="60" t="str">
        <f>IF(LEN(IFERROR(VLOOKUP(A:A,意大利库存款!A:A,1,0),""))&gt;2,"意大利库存","")</f>
        <v/>
      </c>
      <c r="E241" s="70" t="str">
        <f t="shared" si="15"/>
        <v/>
      </c>
      <c r="I241" s="70" t="str">
        <f t="shared" ca="1" si="16"/>
        <v/>
      </c>
    </row>
    <row r="242" spans="1:9" x14ac:dyDescent="0.25">
      <c r="A242" s="68" t="str">
        <f t="shared" si="14"/>
        <v/>
      </c>
      <c r="B242" s="63"/>
      <c r="C242" s="10" t="str">
        <f>IF(LEN(需打标签!A242)=0,"",IFERROR(VLOOKUP(需打标签!A:A,标签details!A:B,1,0),"无标签"))</f>
        <v/>
      </c>
      <c r="D242" s="60" t="str">
        <f>IF(LEN(IFERROR(VLOOKUP(A:A,意大利库存款!A:A,1,0),""))&gt;2,"意大利库存","")</f>
        <v/>
      </c>
      <c r="E242" s="70" t="str">
        <f t="shared" si="15"/>
        <v/>
      </c>
      <c r="I242" s="70" t="str">
        <f t="shared" ca="1" si="16"/>
        <v/>
      </c>
    </row>
    <row r="243" spans="1:9" x14ac:dyDescent="0.25">
      <c r="A243" s="68" t="str">
        <f t="shared" si="14"/>
        <v/>
      </c>
      <c r="B243" s="63"/>
      <c r="C243" s="10" t="str">
        <f>IF(LEN(需打标签!A243)=0,"",IFERROR(VLOOKUP(需打标签!A:A,标签details!A:B,1,0),"无标签"))</f>
        <v/>
      </c>
      <c r="D243" s="60" t="str">
        <f>IF(LEN(IFERROR(VLOOKUP(A:A,意大利库存款!A:A,1,0),""))&gt;2,"意大利库存","")</f>
        <v/>
      </c>
      <c r="E243" s="70" t="str">
        <f t="shared" si="15"/>
        <v/>
      </c>
      <c r="I243" s="70" t="str">
        <f t="shared" ca="1" si="16"/>
        <v/>
      </c>
    </row>
    <row r="244" spans="1:9" x14ac:dyDescent="0.25">
      <c r="A244" s="68" t="str">
        <f t="shared" si="14"/>
        <v/>
      </c>
      <c r="B244" s="63"/>
      <c r="C244" s="10" t="str">
        <f>IF(LEN(需打标签!A244)=0,"",IFERROR(VLOOKUP(需打标签!A:A,标签details!A:B,1,0),"无标签"))</f>
        <v/>
      </c>
      <c r="D244" s="60" t="str">
        <f>IF(LEN(IFERROR(VLOOKUP(A:A,意大利库存款!A:A,1,0),""))&gt;2,"意大利库存","")</f>
        <v/>
      </c>
      <c r="E244" s="70" t="str">
        <f t="shared" si="15"/>
        <v/>
      </c>
      <c r="I244" s="70" t="str">
        <f t="shared" ca="1" si="16"/>
        <v/>
      </c>
    </row>
    <row r="245" spans="1:9" x14ac:dyDescent="0.25">
      <c r="A245" s="68" t="str">
        <f t="shared" si="14"/>
        <v/>
      </c>
      <c r="B245" s="63"/>
      <c r="C245" s="10" t="str">
        <f>IF(LEN(需打标签!A245)=0,"",IFERROR(VLOOKUP(需打标签!A:A,标签details!A:B,1,0),"无标签"))</f>
        <v/>
      </c>
      <c r="D245" s="60" t="str">
        <f>IF(LEN(IFERROR(VLOOKUP(A:A,意大利库存款!A:A,1,0),""))&gt;2,"意大利库存","")</f>
        <v/>
      </c>
      <c r="E245" s="70" t="str">
        <f t="shared" si="15"/>
        <v/>
      </c>
      <c r="I245" s="70" t="str">
        <f t="shared" ca="1" si="16"/>
        <v/>
      </c>
    </row>
    <row r="246" spans="1:9" x14ac:dyDescent="0.25">
      <c r="A246" s="68" t="str">
        <f t="shared" si="14"/>
        <v/>
      </c>
      <c r="B246" s="63"/>
      <c r="C246" s="10" t="str">
        <f>IF(LEN(需打标签!A246)=0,"",IFERROR(VLOOKUP(需打标签!A:A,标签details!A:B,1,0),"无标签"))</f>
        <v/>
      </c>
      <c r="D246" s="60" t="str">
        <f>IF(LEN(IFERROR(VLOOKUP(A:A,意大利库存款!A:A,1,0),""))&gt;2,"意大利库存","")</f>
        <v/>
      </c>
      <c r="E246" s="70" t="str">
        <f t="shared" si="15"/>
        <v/>
      </c>
      <c r="I246" s="70" t="str">
        <f t="shared" ca="1" si="16"/>
        <v/>
      </c>
    </row>
    <row r="247" spans="1:9" x14ac:dyDescent="0.25">
      <c r="A247" s="68" t="str">
        <f t="shared" si="14"/>
        <v/>
      </c>
      <c r="B247" s="63"/>
      <c r="C247" s="10" t="str">
        <f>IF(LEN(需打标签!A247)=0,"",IFERROR(VLOOKUP(需打标签!A:A,标签details!A:B,1,0),"无标签"))</f>
        <v/>
      </c>
      <c r="D247" s="60" t="str">
        <f>IF(LEN(IFERROR(VLOOKUP(A:A,意大利库存款!A:A,1,0),""))&gt;2,"意大利库存","")</f>
        <v/>
      </c>
      <c r="E247" s="70" t="str">
        <f t="shared" si="15"/>
        <v/>
      </c>
      <c r="I247" s="70" t="str">
        <f t="shared" ca="1" si="16"/>
        <v/>
      </c>
    </row>
    <row r="248" spans="1:9" x14ac:dyDescent="0.25">
      <c r="A248" s="68" t="str">
        <f t="shared" si="14"/>
        <v/>
      </c>
      <c r="B248" s="63"/>
      <c r="C248" s="10" t="str">
        <f>IF(LEN(需打标签!A248)=0,"",IFERROR(VLOOKUP(需打标签!A:A,标签details!A:B,1,0),"无标签"))</f>
        <v/>
      </c>
      <c r="D248" s="60" t="str">
        <f>IF(LEN(IFERROR(VLOOKUP(A:A,意大利库存款!A:A,1,0),""))&gt;2,"意大利库存","")</f>
        <v/>
      </c>
      <c r="E248" s="70" t="str">
        <f t="shared" si="15"/>
        <v/>
      </c>
      <c r="I248" s="70" t="str">
        <f t="shared" ca="1" si="16"/>
        <v/>
      </c>
    </row>
    <row r="249" spans="1:9" x14ac:dyDescent="0.25">
      <c r="A249" s="68" t="str">
        <f t="shared" si="14"/>
        <v/>
      </c>
      <c r="B249" s="63"/>
      <c r="C249" s="10" t="str">
        <f>IF(LEN(需打标签!A249)=0,"",IFERROR(VLOOKUP(需打标签!A:A,标签details!A:B,1,0),"无标签"))</f>
        <v/>
      </c>
      <c r="D249" s="60" t="str">
        <f>IF(LEN(IFERROR(VLOOKUP(A:A,意大利库存款!A:A,1,0),""))&gt;2,"意大利库存","")</f>
        <v/>
      </c>
      <c r="E249" s="70" t="str">
        <f t="shared" si="15"/>
        <v/>
      </c>
      <c r="I249" s="70" t="str">
        <f t="shared" ca="1" si="16"/>
        <v/>
      </c>
    </row>
    <row r="250" spans="1:9" x14ac:dyDescent="0.25">
      <c r="A250" s="68" t="str">
        <f t="shared" si="14"/>
        <v/>
      </c>
      <c r="B250" s="63"/>
      <c r="C250" s="10" t="str">
        <f>IF(LEN(需打标签!A250)=0,"",IFERROR(VLOOKUP(需打标签!A:A,标签details!A:B,1,0),"无标签"))</f>
        <v/>
      </c>
      <c r="D250" s="60" t="str">
        <f>IF(LEN(IFERROR(VLOOKUP(A:A,意大利库存款!A:A,1,0),""))&gt;2,"意大利库存","")</f>
        <v/>
      </c>
      <c r="E250" s="70" t="str">
        <f t="shared" si="15"/>
        <v/>
      </c>
      <c r="I250" s="70" t="str">
        <f t="shared" ca="1" si="16"/>
        <v/>
      </c>
    </row>
    <row r="251" spans="1:9" x14ac:dyDescent="0.25">
      <c r="A251" s="68" t="str">
        <f t="shared" si="14"/>
        <v/>
      </c>
      <c r="B251" s="63"/>
      <c r="C251" s="10" t="str">
        <f>IF(LEN(需打标签!A251)=0,"",IFERROR(VLOOKUP(需打标签!A:A,标签details!A:B,1,0),"无标签"))</f>
        <v/>
      </c>
      <c r="D251" s="60" t="str">
        <f>IF(LEN(IFERROR(VLOOKUP(A:A,意大利库存款!A:A,1,0),""))&gt;2,"意大利库存","")</f>
        <v/>
      </c>
      <c r="E251" s="70" t="str">
        <f t="shared" si="15"/>
        <v/>
      </c>
      <c r="I251" s="70" t="str">
        <f t="shared" ca="1" si="16"/>
        <v/>
      </c>
    </row>
    <row r="252" spans="1:9" x14ac:dyDescent="0.25">
      <c r="A252" s="68" t="str">
        <f t="shared" si="14"/>
        <v/>
      </c>
      <c r="C252" s="10" t="str">
        <f>IF(LEN(需打标签!A252)=0,"",IFERROR(VLOOKUP(需打标签!A:A,标签details!A:B,1,0),"无标签"))</f>
        <v/>
      </c>
      <c r="D252" s="60" t="str">
        <f>IF(LEN(IFERROR(VLOOKUP(A:A,意大利库存款!A:A,1,0),""))&gt;2,"意大利库存","")</f>
        <v/>
      </c>
      <c r="E252" s="70" t="str">
        <f t="shared" si="15"/>
        <v/>
      </c>
      <c r="I252" s="70" t="str">
        <f t="shared" ca="1" si="16"/>
        <v/>
      </c>
    </row>
    <row r="253" spans="1:9" x14ac:dyDescent="0.25">
      <c r="A253" s="68" t="str">
        <f t="shared" si="14"/>
        <v/>
      </c>
      <c r="C253" s="10" t="str">
        <f>IF(LEN(需打标签!A253)=0,"",IFERROR(VLOOKUP(需打标签!A:A,标签details!A:B,1,0),"无标签"))</f>
        <v/>
      </c>
      <c r="D253" s="60" t="str">
        <f>IF(LEN(IFERROR(VLOOKUP(A:A,意大利库存款!A:A,1,0),""))&gt;2,"意大利库存","")</f>
        <v/>
      </c>
      <c r="E253" s="70" t="str">
        <f t="shared" si="15"/>
        <v/>
      </c>
      <c r="I253" s="70" t="str">
        <f t="shared" ca="1" si="16"/>
        <v/>
      </c>
    </row>
    <row r="254" spans="1:9" x14ac:dyDescent="0.25">
      <c r="A254" s="68" t="str">
        <f t="shared" si="14"/>
        <v/>
      </c>
      <c r="C254" s="10" t="str">
        <f>IF(LEN(需打标签!A254)=0,"",IFERROR(VLOOKUP(需打标签!A:A,标签details!A:B,1,0),"无标签"))</f>
        <v/>
      </c>
      <c r="D254" s="60" t="str">
        <f>IF(LEN(IFERROR(VLOOKUP(A:A,意大利库存款!A:A,1,0),""))&gt;2,"意大利库存","")</f>
        <v/>
      </c>
      <c r="E254" s="70" t="str">
        <f t="shared" si="15"/>
        <v/>
      </c>
      <c r="I254" s="70" t="str">
        <f t="shared" ca="1" si="16"/>
        <v/>
      </c>
    </row>
    <row r="255" spans="1:9" x14ac:dyDescent="0.25">
      <c r="A255" s="68" t="str">
        <f t="shared" si="14"/>
        <v/>
      </c>
      <c r="C255" s="10" t="str">
        <f>IF(LEN(需打标签!A255)=0,"",IFERROR(VLOOKUP(需打标签!A:A,标签details!A:B,1,0),"无标签"))</f>
        <v/>
      </c>
      <c r="D255" s="60" t="str">
        <f>IF(LEN(IFERROR(VLOOKUP(A:A,意大利库存款!A:A,1,0),""))&gt;2,"意大利库存","")</f>
        <v/>
      </c>
      <c r="E255" s="70" t="str">
        <f t="shared" si="15"/>
        <v/>
      </c>
      <c r="I255" s="70" t="str">
        <f t="shared" ca="1" si="16"/>
        <v/>
      </c>
    </row>
    <row r="256" spans="1:9" x14ac:dyDescent="0.25">
      <c r="A256" s="68" t="str">
        <f t="shared" si="14"/>
        <v/>
      </c>
      <c r="C256" s="10" t="str">
        <f>IF(LEN(需打标签!A256)=0,"",IFERROR(VLOOKUP(需打标签!A:A,标签details!A:B,1,0),"无标签"))</f>
        <v/>
      </c>
      <c r="D256" s="60" t="str">
        <f>IF(LEN(IFERROR(VLOOKUP(A:A,意大利库存款!A:A,1,0),""))&gt;2,"意大利库存","")</f>
        <v/>
      </c>
      <c r="E256" s="70" t="str">
        <f t="shared" si="15"/>
        <v/>
      </c>
      <c r="I256" s="70" t="str">
        <f t="shared" ca="1" si="16"/>
        <v/>
      </c>
    </row>
    <row r="257" spans="1:9" x14ac:dyDescent="0.25">
      <c r="A257" s="68" t="str">
        <f t="shared" si="14"/>
        <v/>
      </c>
      <c r="C257" s="10" t="str">
        <f>IF(LEN(需打标签!A257)=0,"",IFERROR(VLOOKUP(需打标签!A:A,标签details!A:B,1,0),"无标签"))</f>
        <v/>
      </c>
      <c r="D257" s="60" t="str">
        <f>IF(LEN(IFERROR(VLOOKUP(A:A,意大利库存款!A:A,1,0),""))&gt;2,"意大利库存","")</f>
        <v/>
      </c>
      <c r="E257" s="70" t="str">
        <f t="shared" si="15"/>
        <v/>
      </c>
      <c r="I257" s="70" t="str">
        <f t="shared" ca="1" si="16"/>
        <v/>
      </c>
    </row>
    <row r="258" spans="1:9" x14ac:dyDescent="0.25">
      <c r="A258" s="68" t="str">
        <f t="shared" si="14"/>
        <v/>
      </c>
      <c r="C258" s="10" t="str">
        <f>IF(LEN(需打标签!A258)=0,"",IFERROR(VLOOKUP(需打标签!A:A,标签details!A:B,1,0),"无标签"))</f>
        <v/>
      </c>
      <c r="D258" s="60" t="str">
        <f>IF(LEN(IFERROR(VLOOKUP(A:A,意大利库存款!A:A,1,0),""))&gt;2,"意大利库存","")</f>
        <v/>
      </c>
      <c r="E258" s="70" t="str">
        <f t="shared" si="15"/>
        <v/>
      </c>
      <c r="I258" s="70" t="str">
        <f t="shared" ca="1" si="16"/>
        <v/>
      </c>
    </row>
    <row r="259" spans="1:9" x14ac:dyDescent="0.25">
      <c r="A259" s="68" t="str">
        <f t="shared" ref="A259:A322" si="17">IF(LEN(B259),"EBT"&amp;B259,"")</f>
        <v/>
      </c>
      <c r="C259" s="10" t="str">
        <f>IF(LEN(需打标签!A259)=0,"",IFERROR(VLOOKUP(需打标签!A:A,标签details!A:B,1,0),"无标签"))</f>
        <v/>
      </c>
      <c r="D259" s="60" t="str">
        <f>IF(LEN(IFERROR(VLOOKUP(A:A,意大利库存款!A:A,1,0),""))&gt;2,"意大利库存","")</f>
        <v/>
      </c>
      <c r="E259" s="70" t="str">
        <f t="shared" ref="E259:E322" si="18">IF(LEN(A259),"IHZ16","")</f>
        <v/>
      </c>
      <c r="I259" s="70" t="str">
        <f t="shared" ref="I259:I322" ca="1" si="19">IF(LEN(A259),TODAY(),"")</f>
        <v/>
      </c>
    </row>
    <row r="260" spans="1:9" x14ac:dyDescent="0.25">
      <c r="A260" s="68" t="str">
        <f t="shared" si="17"/>
        <v/>
      </c>
      <c r="C260" s="10" t="str">
        <f>IF(LEN(需打标签!A260)=0,"",IFERROR(VLOOKUP(需打标签!A:A,标签details!A:B,1,0),"无标签"))</f>
        <v/>
      </c>
      <c r="D260" s="60" t="str">
        <f>IF(LEN(IFERROR(VLOOKUP(A:A,意大利库存款!A:A,1,0),""))&gt;2,"意大利库存","")</f>
        <v/>
      </c>
      <c r="E260" s="70" t="str">
        <f t="shared" si="18"/>
        <v/>
      </c>
      <c r="I260" s="70" t="str">
        <f t="shared" ca="1" si="19"/>
        <v/>
      </c>
    </row>
    <row r="261" spans="1:9" x14ac:dyDescent="0.25">
      <c r="A261" s="68" t="str">
        <f t="shared" si="17"/>
        <v/>
      </c>
      <c r="C261" s="10" t="str">
        <f>IF(LEN(需打标签!A261)=0,"",IFERROR(VLOOKUP(需打标签!A:A,标签details!A:B,1,0),"无标签"))</f>
        <v/>
      </c>
      <c r="D261" s="60" t="str">
        <f>IF(LEN(IFERROR(VLOOKUP(A:A,意大利库存款!A:A,1,0),""))&gt;2,"意大利库存","")</f>
        <v/>
      </c>
      <c r="E261" s="70" t="str">
        <f t="shared" si="18"/>
        <v/>
      </c>
      <c r="I261" s="70" t="str">
        <f t="shared" ca="1" si="19"/>
        <v/>
      </c>
    </row>
    <row r="262" spans="1:9" x14ac:dyDescent="0.25">
      <c r="A262" s="68" t="str">
        <f t="shared" si="17"/>
        <v/>
      </c>
      <c r="C262" s="10" t="str">
        <f>IF(LEN(需打标签!A262)=0,"",IFERROR(VLOOKUP(需打标签!A:A,标签details!A:B,1,0),"无标签"))</f>
        <v/>
      </c>
      <c r="D262" s="60" t="str">
        <f>IF(LEN(IFERROR(VLOOKUP(A:A,意大利库存款!A:A,1,0),""))&gt;2,"意大利库存","")</f>
        <v/>
      </c>
      <c r="E262" s="70" t="str">
        <f t="shared" si="18"/>
        <v/>
      </c>
      <c r="I262" s="70" t="str">
        <f t="shared" ca="1" si="19"/>
        <v/>
      </c>
    </row>
    <row r="263" spans="1:9" x14ac:dyDescent="0.25">
      <c r="A263" s="68" t="str">
        <f t="shared" si="17"/>
        <v/>
      </c>
      <c r="C263" s="10" t="str">
        <f>IF(LEN(需打标签!A263)=0,"",IFERROR(VLOOKUP(需打标签!A:A,标签details!A:B,1,0),"无标签"))</f>
        <v/>
      </c>
      <c r="D263" s="60" t="str">
        <f>IF(LEN(IFERROR(VLOOKUP(A:A,意大利库存款!A:A,1,0),""))&gt;2,"意大利库存","")</f>
        <v/>
      </c>
      <c r="E263" s="70" t="str">
        <f t="shared" si="18"/>
        <v/>
      </c>
      <c r="I263" s="70" t="str">
        <f t="shared" ca="1" si="19"/>
        <v/>
      </c>
    </row>
    <row r="264" spans="1:9" x14ac:dyDescent="0.25">
      <c r="A264" s="68" t="str">
        <f t="shared" si="17"/>
        <v/>
      </c>
      <c r="C264" s="10" t="str">
        <f>IF(LEN(需打标签!A264)=0,"",IFERROR(VLOOKUP(需打标签!A:A,标签details!A:B,1,0),"无标签"))</f>
        <v/>
      </c>
      <c r="D264" s="60" t="str">
        <f>IF(LEN(IFERROR(VLOOKUP(A:A,意大利库存款!A:A,1,0),""))&gt;2,"意大利库存","")</f>
        <v/>
      </c>
      <c r="E264" s="70" t="str">
        <f t="shared" si="18"/>
        <v/>
      </c>
      <c r="I264" s="70" t="str">
        <f t="shared" ca="1" si="19"/>
        <v/>
      </c>
    </row>
    <row r="265" spans="1:9" x14ac:dyDescent="0.25">
      <c r="A265" s="68" t="str">
        <f t="shared" si="17"/>
        <v/>
      </c>
      <c r="C265" s="10" t="str">
        <f>IF(LEN(需打标签!A265)=0,"",IFERROR(VLOOKUP(需打标签!A:A,标签details!A:B,1,0),"无标签"))</f>
        <v/>
      </c>
      <c r="D265" s="60" t="str">
        <f>IF(LEN(IFERROR(VLOOKUP(A:A,意大利库存款!A:A,1,0),""))&gt;2,"意大利库存","")</f>
        <v/>
      </c>
      <c r="E265" s="70" t="str">
        <f t="shared" si="18"/>
        <v/>
      </c>
      <c r="I265" s="70" t="str">
        <f t="shared" ca="1" si="19"/>
        <v/>
      </c>
    </row>
    <row r="266" spans="1:9" x14ac:dyDescent="0.25">
      <c r="A266" s="68" t="str">
        <f t="shared" si="17"/>
        <v/>
      </c>
      <c r="C266" s="10" t="str">
        <f>IF(LEN(需打标签!A266)=0,"",IFERROR(VLOOKUP(需打标签!A:A,标签details!A:B,1,0),"无标签"))</f>
        <v/>
      </c>
      <c r="D266" s="60" t="str">
        <f>IF(LEN(IFERROR(VLOOKUP(A:A,意大利库存款!A:A,1,0),""))&gt;2,"意大利库存","")</f>
        <v/>
      </c>
      <c r="E266" s="70" t="str">
        <f t="shared" si="18"/>
        <v/>
      </c>
      <c r="I266" s="70" t="str">
        <f t="shared" ca="1" si="19"/>
        <v/>
      </c>
    </row>
    <row r="267" spans="1:9" x14ac:dyDescent="0.25">
      <c r="A267" s="68" t="str">
        <f t="shared" si="17"/>
        <v/>
      </c>
      <c r="C267" s="10" t="str">
        <f>IF(LEN(需打标签!A267)=0,"",IFERROR(VLOOKUP(需打标签!A:A,标签details!A:B,1,0),"无标签"))</f>
        <v/>
      </c>
      <c r="D267" s="60" t="str">
        <f>IF(LEN(IFERROR(VLOOKUP(A:A,意大利库存款!A:A,1,0),""))&gt;2,"意大利库存","")</f>
        <v/>
      </c>
      <c r="E267" s="70" t="str">
        <f t="shared" si="18"/>
        <v/>
      </c>
      <c r="I267" s="70" t="str">
        <f t="shared" ca="1" si="19"/>
        <v/>
      </c>
    </row>
    <row r="268" spans="1:9" x14ac:dyDescent="0.25">
      <c r="A268" s="68" t="str">
        <f t="shared" si="17"/>
        <v/>
      </c>
      <c r="C268" s="10" t="str">
        <f>IF(LEN(需打标签!A268)=0,"",IFERROR(VLOOKUP(需打标签!A:A,标签details!A:B,1,0),"无标签"))</f>
        <v/>
      </c>
      <c r="D268" s="60" t="str">
        <f>IF(LEN(IFERROR(VLOOKUP(A:A,意大利库存款!A:A,1,0),""))&gt;2,"意大利库存","")</f>
        <v/>
      </c>
      <c r="E268" s="70" t="str">
        <f t="shared" si="18"/>
        <v/>
      </c>
      <c r="I268" s="70" t="str">
        <f t="shared" ca="1" si="19"/>
        <v/>
      </c>
    </row>
    <row r="269" spans="1:9" x14ac:dyDescent="0.25">
      <c r="A269" s="68" t="str">
        <f t="shared" si="17"/>
        <v/>
      </c>
      <c r="C269" s="10" t="str">
        <f>IF(LEN(需打标签!A269)=0,"",IFERROR(VLOOKUP(需打标签!A:A,标签details!A:B,1,0),"无标签"))</f>
        <v/>
      </c>
      <c r="D269" s="60" t="str">
        <f>IF(LEN(IFERROR(VLOOKUP(A:A,意大利库存款!A:A,1,0),""))&gt;2,"意大利库存","")</f>
        <v/>
      </c>
      <c r="E269" s="70" t="str">
        <f t="shared" si="18"/>
        <v/>
      </c>
      <c r="I269" s="70" t="str">
        <f t="shared" ca="1" si="19"/>
        <v/>
      </c>
    </row>
    <row r="270" spans="1:9" x14ac:dyDescent="0.25">
      <c r="A270" s="68" t="str">
        <f t="shared" si="17"/>
        <v/>
      </c>
      <c r="C270" s="10" t="str">
        <f>IF(LEN(需打标签!A270)=0,"",IFERROR(VLOOKUP(需打标签!A:A,标签details!A:B,1,0),"无标签"))</f>
        <v/>
      </c>
      <c r="D270" s="60" t="str">
        <f>IF(LEN(IFERROR(VLOOKUP(A:A,意大利库存款!A:A,1,0),""))&gt;2,"意大利库存","")</f>
        <v/>
      </c>
      <c r="E270" s="70" t="str">
        <f t="shared" si="18"/>
        <v/>
      </c>
      <c r="I270" s="70" t="str">
        <f t="shared" ca="1" si="19"/>
        <v/>
      </c>
    </row>
    <row r="271" spans="1:9" x14ac:dyDescent="0.25">
      <c r="A271" s="68" t="str">
        <f t="shared" si="17"/>
        <v/>
      </c>
      <c r="C271" s="10" t="str">
        <f>IF(LEN(需打标签!A271)=0,"",IFERROR(VLOOKUP(需打标签!A:A,标签details!A:B,1,0),"无标签"))</f>
        <v/>
      </c>
      <c r="D271" s="60" t="str">
        <f>IF(LEN(IFERROR(VLOOKUP(A:A,意大利库存款!A:A,1,0),""))&gt;2,"意大利库存","")</f>
        <v/>
      </c>
      <c r="E271" s="70" t="str">
        <f t="shared" si="18"/>
        <v/>
      </c>
      <c r="I271" s="70" t="str">
        <f t="shared" ca="1" si="19"/>
        <v/>
      </c>
    </row>
    <row r="272" spans="1:9" x14ac:dyDescent="0.25">
      <c r="A272" s="68" t="str">
        <f t="shared" si="17"/>
        <v/>
      </c>
      <c r="C272" s="10" t="str">
        <f>IF(LEN(需打标签!A272)=0,"",IFERROR(VLOOKUP(需打标签!A:A,标签details!A:B,1,0),"无标签"))</f>
        <v/>
      </c>
      <c r="D272" s="60" t="str">
        <f>IF(LEN(IFERROR(VLOOKUP(A:A,意大利库存款!A:A,1,0),""))&gt;2,"意大利库存","")</f>
        <v/>
      </c>
      <c r="E272" s="70" t="str">
        <f t="shared" si="18"/>
        <v/>
      </c>
      <c r="I272" s="70" t="str">
        <f t="shared" ca="1" si="19"/>
        <v/>
      </c>
    </row>
    <row r="273" spans="1:9" x14ac:dyDescent="0.25">
      <c r="A273" s="68" t="str">
        <f t="shared" si="17"/>
        <v/>
      </c>
      <c r="C273" s="10" t="str">
        <f>IF(LEN(需打标签!A273)=0,"",IFERROR(VLOOKUP(需打标签!A:A,标签details!A:B,1,0),"无标签"))</f>
        <v/>
      </c>
      <c r="D273" s="60" t="str">
        <f>IF(LEN(IFERROR(VLOOKUP(A:A,意大利库存款!A:A,1,0),""))&gt;2,"意大利库存","")</f>
        <v/>
      </c>
      <c r="E273" s="70" t="str">
        <f t="shared" si="18"/>
        <v/>
      </c>
      <c r="I273" s="70" t="str">
        <f t="shared" ca="1" si="19"/>
        <v/>
      </c>
    </row>
    <row r="274" spans="1:9" x14ac:dyDescent="0.25">
      <c r="A274" s="68" t="str">
        <f t="shared" si="17"/>
        <v/>
      </c>
      <c r="C274" s="10" t="str">
        <f>IF(LEN(需打标签!A274)=0,"",IFERROR(VLOOKUP(需打标签!A:A,标签details!A:B,1,0),"无标签"))</f>
        <v/>
      </c>
      <c r="D274" s="60" t="str">
        <f>IF(LEN(IFERROR(VLOOKUP(A:A,意大利库存款!A:A,1,0),""))&gt;2,"意大利库存","")</f>
        <v/>
      </c>
      <c r="E274" s="70" t="str">
        <f t="shared" si="18"/>
        <v/>
      </c>
      <c r="I274" s="70" t="str">
        <f t="shared" ca="1" si="19"/>
        <v/>
      </c>
    </row>
    <row r="275" spans="1:9" x14ac:dyDescent="0.25">
      <c r="A275" s="68" t="str">
        <f t="shared" si="17"/>
        <v/>
      </c>
      <c r="C275" s="10" t="str">
        <f>IF(LEN(需打标签!A275)=0,"",IFERROR(VLOOKUP(需打标签!A:A,标签details!A:B,1,0),"无标签"))</f>
        <v/>
      </c>
      <c r="D275" s="60" t="str">
        <f>IF(LEN(IFERROR(VLOOKUP(A:A,意大利库存款!A:A,1,0),""))&gt;2,"意大利库存","")</f>
        <v/>
      </c>
      <c r="E275" s="70" t="str">
        <f t="shared" si="18"/>
        <v/>
      </c>
      <c r="I275" s="70" t="str">
        <f t="shared" ca="1" si="19"/>
        <v/>
      </c>
    </row>
    <row r="276" spans="1:9" x14ac:dyDescent="0.25">
      <c r="A276" s="68" t="str">
        <f t="shared" si="17"/>
        <v/>
      </c>
      <c r="C276" s="10" t="str">
        <f>IF(LEN(需打标签!A276)=0,"",IFERROR(VLOOKUP(需打标签!A:A,标签details!A:B,1,0),"无标签"))</f>
        <v/>
      </c>
      <c r="D276" s="60" t="str">
        <f>IF(LEN(IFERROR(VLOOKUP(A:A,意大利库存款!A:A,1,0),""))&gt;2,"意大利库存","")</f>
        <v/>
      </c>
      <c r="E276" s="70" t="str">
        <f t="shared" si="18"/>
        <v/>
      </c>
      <c r="I276" s="70" t="str">
        <f t="shared" ca="1" si="19"/>
        <v/>
      </c>
    </row>
    <row r="277" spans="1:9" x14ac:dyDescent="0.25">
      <c r="A277" s="68" t="str">
        <f t="shared" si="17"/>
        <v/>
      </c>
      <c r="C277" s="10" t="str">
        <f>IF(LEN(需打标签!A277)=0,"",IFERROR(VLOOKUP(需打标签!A:A,标签details!A:B,1,0),"无标签"))</f>
        <v/>
      </c>
      <c r="D277" s="60" t="str">
        <f>IF(LEN(IFERROR(VLOOKUP(A:A,意大利库存款!A:A,1,0),""))&gt;2,"意大利库存","")</f>
        <v/>
      </c>
      <c r="E277" s="70" t="str">
        <f t="shared" si="18"/>
        <v/>
      </c>
      <c r="I277" s="70" t="str">
        <f t="shared" ca="1" si="19"/>
        <v/>
      </c>
    </row>
    <row r="278" spans="1:9" x14ac:dyDescent="0.25">
      <c r="A278" s="68" t="str">
        <f t="shared" si="17"/>
        <v/>
      </c>
      <c r="C278" s="10" t="str">
        <f>IF(LEN(需打标签!A278)=0,"",IFERROR(VLOOKUP(需打标签!A:A,标签details!A:B,1,0),"无标签"))</f>
        <v/>
      </c>
      <c r="D278" s="60" t="str">
        <f>IF(LEN(IFERROR(VLOOKUP(A:A,意大利库存款!A:A,1,0),""))&gt;2,"意大利库存","")</f>
        <v/>
      </c>
      <c r="E278" s="70" t="str">
        <f t="shared" si="18"/>
        <v/>
      </c>
      <c r="I278" s="70" t="str">
        <f t="shared" ca="1" si="19"/>
        <v/>
      </c>
    </row>
    <row r="279" spans="1:9" x14ac:dyDescent="0.25">
      <c r="A279" s="68" t="str">
        <f t="shared" si="17"/>
        <v/>
      </c>
      <c r="C279" s="10" t="str">
        <f>IF(LEN(需打标签!A279)=0,"",IFERROR(VLOOKUP(需打标签!A:A,标签details!A:B,1,0),"无标签"))</f>
        <v/>
      </c>
      <c r="D279" s="60" t="str">
        <f>IF(LEN(IFERROR(VLOOKUP(A:A,意大利库存款!A:A,1,0),""))&gt;2,"意大利库存","")</f>
        <v/>
      </c>
      <c r="E279" s="70" t="str">
        <f t="shared" si="18"/>
        <v/>
      </c>
      <c r="I279" s="70" t="str">
        <f t="shared" ca="1" si="19"/>
        <v/>
      </c>
    </row>
    <row r="280" spans="1:9" x14ac:dyDescent="0.25">
      <c r="A280" s="68" t="str">
        <f t="shared" si="17"/>
        <v/>
      </c>
      <c r="C280" s="10" t="str">
        <f>IF(LEN(需打标签!A280)=0,"",IFERROR(VLOOKUP(需打标签!A:A,标签details!A:B,1,0),"无标签"))</f>
        <v/>
      </c>
      <c r="D280" s="60" t="str">
        <f>IF(LEN(IFERROR(VLOOKUP(A:A,意大利库存款!A:A,1,0),""))&gt;2,"意大利库存","")</f>
        <v/>
      </c>
      <c r="E280" s="70" t="str">
        <f t="shared" si="18"/>
        <v/>
      </c>
      <c r="I280" s="70" t="str">
        <f t="shared" ca="1" si="19"/>
        <v/>
      </c>
    </row>
    <row r="281" spans="1:9" x14ac:dyDescent="0.25">
      <c r="A281" s="68" t="str">
        <f t="shared" si="17"/>
        <v/>
      </c>
      <c r="C281" s="10" t="str">
        <f>IF(LEN(需打标签!A281)=0,"",IFERROR(VLOOKUP(需打标签!A:A,标签details!A:B,1,0),"无标签"))</f>
        <v/>
      </c>
      <c r="D281" s="60" t="str">
        <f>IF(LEN(IFERROR(VLOOKUP(A:A,意大利库存款!A:A,1,0),""))&gt;2,"意大利库存","")</f>
        <v/>
      </c>
      <c r="E281" s="70" t="str">
        <f t="shared" si="18"/>
        <v/>
      </c>
      <c r="I281" s="70" t="str">
        <f t="shared" ca="1" si="19"/>
        <v/>
      </c>
    </row>
    <row r="282" spans="1:9" x14ac:dyDescent="0.25">
      <c r="A282" s="68" t="str">
        <f t="shared" si="17"/>
        <v/>
      </c>
      <c r="C282" s="10" t="str">
        <f>IF(LEN(需打标签!A282)=0,"",IFERROR(VLOOKUP(需打标签!A:A,标签details!A:B,1,0),"无标签"))</f>
        <v/>
      </c>
      <c r="D282" s="60" t="str">
        <f>IF(LEN(IFERROR(VLOOKUP(A:A,意大利库存款!A:A,1,0),""))&gt;2,"意大利库存","")</f>
        <v/>
      </c>
      <c r="E282" s="70" t="str">
        <f t="shared" si="18"/>
        <v/>
      </c>
      <c r="I282" s="70" t="str">
        <f t="shared" ca="1" si="19"/>
        <v/>
      </c>
    </row>
    <row r="283" spans="1:9" x14ac:dyDescent="0.25">
      <c r="A283" s="68" t="str">
        <f t="shared" si="17"/>
        <v/>
      </c>
      <c r="C283" s="10" t="str">
        <f>IF(LEN(需打标签!A283)=0,"",IFERROR(VLOOKUP(需打标签!A:A,标签details!A:B,1,0),"无标签"))</f>
        <v/>
      </c>
      <c r="D283" s="60" t="str">
        <f>IF(LEN(IFERROR(VLOOKUP(A:A,意大利库存款!A:A,1,0),""))&gt;2,"意大利库存","")</f>
        <v/>
      </c>
      <c r="E283" s="70" t="str">
        <f t="shared" si="18"/>
        <v/>
      </c>
      <c r="I283" s="70" t="str">
        <f t="shared" ca="1" si="19"/>
        <v/>
      </c>
    </row>
    <row r="284" spans="1:9" x14ac:dyDescent="0.25">
      <c r="A284" s="68" t="str">
        <f t="shared" si="17"/>
        <v/>
      </c>
      <c r="C284" s="10" t="str">
        <f>IF(LEN(需打标签!A284)=0,"",IFERROR(VLOOKUP(需打标签!A:A,标签details!A:B,1,0),"无标签"))</f>
        <v/>
      </c>
      <c r="D284" s="60" t="str">
        <f>IF(LEN(IFERROR(VLOOKUP(A:A,意大利库存款!A:A,1,0),""))&gt;2,"意大利库存","")</f>
        <v/>
      </c>
      <c r="E284" s="70" t="str">
        <f t="shared" si="18"/>
        <v/>
      </c>
      <c r="I284" s="70" t="str">
        <f t="shared" ca="1" si="19"/>
        <v/>
      </c>
    </row>
    <row r="285" spans="1:9" x14ac:dyDescent="0.25">
      <c r="A285" s="68" t="str">
        <f t="shared" si="17"/>
        <v/>
      </c>
      <c r="C285" s="10" t="str">
        <f>IF(LEN(需打标签!A285)=0,"",IFERROR(VLOOKUP(需打标签!A:A,标签details!A:B,1,0),"无标签"))</f>
        <v/>
      </c>
      <c r="D285" s="60" t="str">
        <f>IF(LEN(IFERROR(VLOOKUP(A:A,意大利库存款!A:A,1,0),""))&gt;2,"意大利库存","")</f>
        <v/>
      </c>
      <c r="E285" s="70" t="str">
        <f t="shared" si="18"/>
        <v/>
      </c>
      <c r="I285" s="70" t="str">
        <f t="shared" ca="1" si="19"/>
        <v/>
      </c>
    </row>
    <row r="286" spans="1:9" x14ac:dyDescent="0.25">
      <c r="A286" s="68" t="str">
        <f t="shared" si="17"/>
        <v/>
      </c>
      <c r="C286" s="10" t="str">
        <f>IF(LEN(需打标签!A286)=0,"",IFERROR(VLOOKUP(需打标签!A:A,标签details!A:B,1,0),"无标签"))</f>
        <v/>
      </c>
      <c r="D286" s="60" t="str">
        <f>IF(LEN(IFERROR(VLOOKUP(A:A,意大利库存款!A:A,1,0),""))&gt;2,"意大利库存","")</f>
        <v/>
      </c>
      <c r="E286" s="70" t="str">
        <f t="shared" si="18"/>
        <v/>
      </c>
      <c r="I286" s="70" t="str">
        <f t="shared" ca="1" si="19"/>
        <v/>
      </c>
    </row>
    <row r="287" spans="1:9" x14ac:dyDescent="0.25">
      <c r="A287" s="68" t="str">
        <f t="shared" si="17"/>
        <v/>
      </c>
      <c r="C287" s="10" t="str">
        <f>IF(LEN(需打标签!A287)=0,"",IFERROR(VLOOKUP(需打标签!A:A,标签details!A:B,1,0),"无标签"))</f>
        <v/>
      </c>
      <c r="D287" s="60" t="str">
        <f>IF(LEN(IFERROR(VLOOKUP(A:A,意大利库存款!A:A,1,0),""))&gt;2,"意大利库存","")</f>
        <v/>
      </c>
      <c r="E287" s="70" t="str">
        <f t="shared" si="18"/>
        <v/>
      </c>
      <c r="I287" s="70" t="str">
        <f t="shared" ca="1" si="19"/>
        <v/>
      </c>
    </row>
    <row r="288" spans="1:9" x14ac:dyDescent="0.25">
      <c r="A288" s="68" t="str">
        <f t="shared" si="17"/>
        <v/>
      </c>
      <c r="C288" s="10" t="str">
        <f>IF(LEN(需打标签!A288)=0,"",IFERROR(VLOOKUP(需打标签!A:A,标签details!A:B,1,0),"无标签"))</f>
        <v/>
      </c>
      <c r="D288" s="60" t="str">
        <f>IF(LEN(IFERROR(VLOOKUP(A:A,意大利库存款!A:A,1,0),""))&gt;2,"意大利库存","")</f>
        <v/>
      </c>
      <c r="E288" s="70" t="str">
        <f t="shared" si="18"/>
        <v/>
      </c>
      <c r="I288" s="70" t="str">
        <f t="shared" ca="1" si="19"/>
        <v/>
      </c>
    </row>
    <row r="289" spans="1:9" x14ac:dyDescent="0.25">
      <c r="A289" s="68" t="str">
        <f t="shared" si="17"/>
        <v/>
      </c>
      <c r="C289" s="10" t="str">
        <f>IF(LEN(需打标签!A289)=0,"",IFERROR(VLOOKUP(需打标签!A:A,标签details!A:B,1,0),"无标签"))</f>
        <v/>
      </c>
      <c r="D289" s="60" t="str">
        <f>IF(LEN(IFERROR(VLOOKUP(A:A,意大利库存款!A:A,1,0),""))&gt;2,"意大利库存","")</f>
        <v/>
      </c>
      <c r="E289" s="70" t="str">
        <f t="shared" si="18"/>
        <v/>
      </c>
      <c r="I289" s="70" t="str">
        <f t="shared" ca="1" si="19"/>
        <v/>
      </c>
    </row>
    <row r="290" spans="1:9" x14ac:dyDescent="0.25">
      <c r="A290" s="68" t="str">
        <f t="shared" si="17"/>
        <v/>
      </c>
      <c r="C290" s="10" t="str">
        <f>IF(LEN(需打标签!A290)=0,"",IFERROR(VLOOKUP(需打标签!A:A,标签details!A:B,1,0),"无标签"))</f>
        <v/>
      </c>
      <c r="D290" s="60" t="str">
        <f>IF(LEN(IFERROR(VLOOKUP(A:A,意大利库存款!A:A,1,0),""))&gt;2,"意大利库存","")</f>
        <v/>
      </c>
      <c r="E290" s="70" t="str">
        <f t="shared" si="18"/>
        <v/>
      </c>
      <c r="I290" s="70" t="str">
        <f t="shared" ca="1" si="19"/>
        <v/>
      </c>
    </row>
    <row r="291" spans="1:9" x14ac:dyDescent="0.25">
      <c r="A291" s="68" t="str">
        <f t="shared" si="17"/>
        <v/>
      </c>
      <c r="C291" s="10" t="str">
        <f>IF(LEN(需打标签!A291)=0,"",IFERROR(VLOOKUP(需打标签!A:A,标签details!A:B,1,0),"无标签"))</f>
        <v/>
      </c>
      <c r="D291" s="60" t="str">
        <f>IF(LEN(IFERROR(VLOOKUP(A:A,意大利库存款!A:A,1,0),""))&gt;2,"意大利库存","")</f>
        <v/>
      </c>
      <c r="E291" s="70" t="str">
        <f t="shared" si="18"/>
        <v/>
      </c>
      <c r="I291" s="70" t="str">
        <f t="shared" ca="1" si="19"/>
        <v/>
      </c>
    </row>
    <row r="292" spans="1:9" x14ac:dyDescent="0.25">
      <c r="A292" s="68" t="str">
        <f t="shared" si="17"/>
        <v/>
      </c>
      <c r="C292" s="10" t="str">
        <f>IF(LEN(需打标签!A292)=0,"",IFERROR(VLOOKUP(需打标签!A:A,标签details!A:B,1,0),"无标签"))</f>
        <v/>
      </c>
      <c r="D292" s="60" t="str">
        <f>IF(LEN(IFERROR(VLOOKUP(A:A,意大利库存款!A:A,1,0),""))&gt;2,"意大利库存","")</f>
        <v/>
      </c>
      <c r="E292" s="70" t="str">
        <f t="shared" si="18"/>
        <v/>
      </c>
      <c r="I292" s="70" t="str">
        <f t="shared" ca="1" si="19"/>
        <v/>
      </c>
    </row>
    <row r="293" spans="1:9" x14ac:dyDescent="0.25">
      <c r="A293" s="68" t="str">
        <f t="shared" si="17"/>
        <v/>
      </c>
      <c r="C293" s="10" t="str">
        <f>IF(LEN(需打标签!A293)=0,"",IFERROR(VLOOKUP(需打标签!A:A,标签details!A:B,1,0),"无标签"))</f>
        <v/>
      </c>
      <c r="D293" s="60" t="str">
        <f>IF(LEN(IFERROR(VLOOKUP(A:A,意大利库存款!A:A,1,0),""))&gt;2,"意大利库存","")</f>
        <v/>
      </c>
      <c r="E293" s="70" t="str">
        <f t="shared" si="18"/>
        <v/>
      </c>
      <c r="I293" s="70" t="str">
        <f t="shared" ca="1" si="19"/>
        <v/>
      </c>
    </row>
    <row r="294" spans="1:9" x14ac:dyDescent="0.25">
      <c r="A294" s="68" t="str">
        <f t="shared" si="17"/>
        <v/>
      </c>
      <c r="C294" s="10" t="str">
        <f>IF(LEN(需打标签!A294)=0,"",IFERROR(VLOOKUP(需打标签!A:A,标签details!A:B,1,0),"无标签"))</f>
        <v/>
      </c>
      <c r="D294" s="60" t="str">
        <f>IF(LEN(IFERROR(VLOOKUP(A:A,意大利库存款!A:A,1,0),""))&gt;2,"意大利库存","")</f>
        <v/>
      </c>
      <c r="E294" s="70" t="str">
        <f t="shared" si="18"/>
        <v/>
      </c>
      <c r="I294" s="70" t="str">
        <f t="shared" ca="1" si="19"/>
        <v/>
      </c>
    </row>
    <row r="295" spans="1:9" x14ac:dyDescent="0.25">
      <c r="A295" s="68" t="str">
        <f t="shared" si="17"/>
        <v/>
      </c>
      <c r="C295" s="10" t="str">
        <f>IF(LEN(需打标签!A295)=0,"",IFERROR(VLOOKUP(需打标签!A:A,标签details!A:B,1,0),"无标签"))</f>
        <v/>
      </c>
      <c r="D295" s="60" t="str">
        <f>IF(LEN(IFERROR(VLOOKUP(A:A,意大利库存款!A:A,1,0),""))&gt;2,"意大利库存","")</f>
        <v/>
      </c>
      <c r="E295" s="70" t="str">
        <f t="shared" si="18"/>
        <v/>
      </c>
      <c r="I295" s="70" t="str">
        <f t="shared" ca="1" si="19"/>
        <v/>
      </c>
    </row>
    <row r="296" spans="1:9" x14ac:dyDescent="0.25">
      <c r="A296" s="68" t="str">
        <f t="shared" si="17"/>
        <v/>
      </c>
      <c r="C296" s="10" t="str">
        <f>IF(LEN(需打标签!A296)=0,"",IFERROR(VLOOKUP(需打标签!A:A,标签details!A:B,1,0),"无标签"))</f>
        <v/>
      </c>
      <c r="D296" s="60" t="str">
        <f>IF(LEN(IFERROR(VLOOKUP(A:A,意大利库存款!A:A,1,0),""))&gt;2,"意大利库存","")</f>
        <v/>
      </c>
      <c r="E296" s="70" t="str">
        <f t="shared" si="18"/>
        <v/>
      </c>
      <c r="I296" s="70" t="str">
        <f t="shared" ca="1" si="19"/>
        <v/>
      </c>
    </row>
    <row r="297" spans="1:9" x14ac:dyDescent="0.25">
      <c r="A297" s="68" t="str">
        <f t="shared" si="17"/>
        <v/>
      </c>
      <c r="C297" s="10" t="str">
        <f>IF(LEN(需打标签!A297)=0,"",IFERROR(VLOOKUP(需打标签!A:A,标签details!A:B,1,0),"无标签"))</f>
        <v/>
      </c>
      <c r="D297" s="60" t="str">
        <f>IF(LEN(IFERROR(VLOOKUP(A:A,意大利库存款!A:A,1,0),""))&gt;2,"意大利库存","")</f>
        <v/>
      </c>
      <c r="E297" s="70" t="str">
        <f t="shared" si="18"/>
        <v/>
      </c>
      <c r="I297" s="70" t="str">
        <f t="shared" ca="1" si="19"/>
        <v/>
      </c>
    </row>
    <row r="298" spans="1:9" x14ac:dyDescent="0.25">
      <c r="A298" s="68" t="str">
        <f t="shared" si="17"/>
        <v/>
      </c>
      <c r="C298" s="10" t="str">
        <f>IF(LEN(需打标签!A298)=0,"",IFERROR(VLOOKUP(需打标签!A:A,标签details!A:B,1,0),"无标签"))</f>
        <v/>
      </c>
      <c r="D298" s="60" t="str">
        <f>IF(LEN(IFERROR(VLOOKUP(A:A,意大利库存款!A:A,1,0),""))&gt;2,"意大利库存","")</f>
        <v/>
      </c>
      <c r="E298" s="70" t="str">
        <f t="shared" si="18"/>
        <v/>
      </c>
      <c r="I298" s="70" t="str">
        <f t="shared" ca="1" si="19"/>
        <v/>
      </c>
    </row>
    <row r="299" spans="1:9" x14ac:dyDescent="0.25">
      <c r="A299" s="68" t="str">
        <f t="shared" si="17"/>
        <v/>
      </c>
      <c r="C299" s="10" t="str">
        <f>IF(LEN(需打标签!A299)=0,"",IFERROR(VLOOKUP(需打标签!A:A,标签details!A:B,1,0),"无标签"))</f>
        <v/>
      </c>
      <c r="D299" s="60" t="str">
        <f>IF(LEN(IFERROR(VLOOKUP(A:A,意大利库存款!A:A,1,0),""))&gt;2,"意大利库存","")</f>
        <v/>
      </c>
      <c r="E299" s="70" t="str">
        <f t="shared" si="18"/>
        <v/>
      </c>
      <c r="I299" s="70" t="str">
        <f t="shared" ca="1" si="19"/>
        <v/>
      </c>
    </row>
    <row r="300" spans="1:9" x14ac:dyDescent="0.25">
      <c r="A300" s="68" t="str">
        <f t="shared" si="17"/>
        <v/>
      </c>
      <c r="C300" s="10" t="str">
        <f>IF(LEN(需打标签!A300)=0,"",IFERROR(VLOOKUP(需打标签!A:A,标签details!A:B,1,0),"无标签"))</f>
        <v/>
      </c>
      <c r="D300" s="60" t="str">
        <f>IF(LEN(IFERROR(VLOOKUP(A:A,意大利库存款!A:A,1,0),""))&gt;2,"意大利库存","")</f>
        <v/>
      </c>
      <c r="E300" s="70" t="str">
        <f t="shared" si="18"/>
        <v/>
      </c>
      <c r="I300" s="70" t="str">
        <f t="shared" ca="1" si="19"/>
        <v/>
      </c>
    </row>
    <row r="301" spans="1:9" x14ac:dyDescent="0.25">
      <c r="A301" s="68" t="str">
        <f t="shared" si="17"/>
        <v/>
      </c>
      <c r="C301" s="10" t="str">
        <f>IF(LEN(需打标签!A301)=0,"",IFERROR(VLOOKUP(需打标签!A:A,标签details!A:B,1,0),"无标签"))</f>
        <v/>
      </c>
      <c r="D301" s="60" t="str">
        <f>IF(LEN(IFERROR(VLOOKUP(A:A,意大利库存款!A:A,1,0),""))&gt;2,"意大利库存","")</f>
        <v/>
      </c>
      <c r="E301" s="70" t="str">
        <f t="shared" si="18"/>
        <v/>
      </c>
      <c r="I301" s="70" t="str">
        <f t="shared" ca="1" si="19"/>
        <v/>
      </c>
    </row>
    <row r="302" spans="1:9" x14ac:dyDescent="0.25">
      <c r="A302" s="68" t="str">
        <f t="shared" si="17"/>
        <v/>
      </c>
      <c r="C302" s="10" t="str">
        <f>IF(LEN(需打标签!A302)=0,"",IFERROR(VLOOKUP(需打标签!A:A,标签details!A:B,1,0),"无标签"))</f>
        <v/>
      </c>
      <c r="D302" s="60" t="str">
        <f>IF(LEN(IFERROR(VLOOKUP(A:A,意大利库存款!A:A,1,0),""))&gt;2,"意大利库存","")</f>
        <v/>
      </c>
      <c r="E302" s="70" t="str">
        <f t="shared" si="18"/>
        <v/>
      </c>
      <c r="I302" s="70" t="str">
        <f t="shared" ca="1" si="19"/>
        <v/>
      </c>
    </row>
    <row r="303" spans="1:9" x14ac:dyDescent="0.25">
      <c r="A303" s="68" t="str">
        <f t="shared" si="17"/>
        <v/>
      </c>
      <c r="C303" s="10" t="str">
        <f>IF(LEN(需打标签!A303)=0,"",IFERROR(VLOOKUP(需打标签!A:A,标签details!A:B,1,0),"无标签"))</f>
        <v/>
      </c>
      <c r="D303" s="60" t="str">
        <f>IF(LEN(IFERROR(VLOOKUP(A:A,意大利库存款!A:A,1,0),""))&gt;2,"意大利库存","")</f>
        <v/>
      </c>
      <c r="E303" s="70" t="str">
        <f t="shared" si="18"/>
        <v/>
      </c>
      <c r="I303" s="70" t="str">
        <f t="shared" ca="1" si="19"/>
        <v/>
      </c>
    </row>
    <row r="304" spans="1:9" x14ac:dyDescent="0.25">
      <c r="A304" s="68" t="str">
        <f t="shared" si="17"/>
        <v/>
      </c>
      <c r="C304" s="10" t="str">
        <f>IF(LEN(需打标签!A304)=0,"",IFERROR(VLOOKUP(需打标签!A:A,标签details!A:B,1,0),"无标签"))</f>
        <v/>
      </c>
      <c r="D304" s="60" t="str">
        <f>IF(LEN(IFERROR(VLOOKUP(A:A,意大利库存款!A:A,1,0),""))&gt;2,"意大利库存","")</f>
        <v/>
      </c>
      <c r="E304" s="70" t="str">
        <f t="shared" si="18"/>
        <v/>
      </c>
      <c r="I304" s="70" t="str">
        <f t="shared" ca="1" si="19"/>
        <v/>
      </c>
    </row>
    <row r="305" spans="1:9" x14ac:dyDescent="0.25">
      <c r="A305" s="68" t="str">
        <f t="shared" si="17"/>
        <v/>
      </c>
      <c r="C305" s="10" t="str">
        <f>IF(LEN(需打标签!A305)=0,"",IFERROR(VLOOKUP(需打标签!A:A,标签details!A:B,1,0),"无标签"))</f>
        <v/>
      </c>
      <c r="D305" s="60" t="str">
        <f>IF(LEN(IFERROR(VLOOKUP(A:A,意大利库存款!A:A,1,0),""))&gt;2,"意大利库存","")</f>
        <v/>
      </c>
      <c r="E305" s="70" t="str">
        <f t="shared" si="18"/>
        <v/>
      </c>
      <c r="I305" s="70" t="str">
        <f t="shared" ca="1" si="19"/>
        <v/>
      </c>
    </row>
    <row r="306" spans="1:9" x14ac:dyDescent="0.25">
      <c r="A306" s="68" t="str">
        <f t="shared" si="17"/>
        <v/>
      </c>
      <c r="C306" s="10" t="str">
        <f>IF(LEN(需打标签!A306)=0,"",IFERROR(VLOOKUP(需打标签!A:A,标签details!A:B,1,0),"无标签"))</f>
        <v/>
      </c>
      <c r="D306" s="60" t="str">
        <f>IF(LEN(IFERROR(VLOOKUP(A:A,意大利库存款!A:A,1,0),""))&gt;2,"意大利库存","")</f>
        <v/>
      </c>
      <c r="E306" s="70" t="str">
        <f t="shared" si="18"/>
        <v/>
      </c>
      <c r="I306" s="70" t="str">
        <f t="shared" ca="1" si="19"/>
        <v/>
      </c>
    </row>
    <row r="307" spans="1:9" x14ac:dyDescent="0.25">
      <c r="A307" s="68" t="str">
        <f t="shared" si="17"/>
        <v/>
      </c>
      <c r="C307" s="10" t="str">
        <f>IF(LEN(需打标签!A307)=0,"",IFERROR(VLOOKUP(需打标签!A:A,标签details!A:B,1,0),"无标签"))</f>
        <v/>
      </c>
      <c r="D307" s="60" t="str">
        <f>IF(LEN(IFERROR(VLOOKUP(A:A,意大利库存款!A:A,1,0),""))&gt;2,"意大利库存","")</f>
        <v/>
      </c>
      <c r="E307" s="70" t="str">
        <f t="shared" si="18"/>
        <v/>
      </c>
      <c r="I307" s="70" t="str">
        <f t="shared" ca="1" si="19"/>
        <v/>
      </c>
    </row>
    <row r="308" spans="1:9" x14ac:dyDescent="0.25">
      <c r="A308" s="68" t="str">
        <f t="shared" si="17"/>
        <v/>
      </c>
      <c r="C308" s="10" t="str">
        <f>IF(LEN(需打标签!A308)=0,"",IFERROR(VLOOKUP(需打标签!A:A,标签details!A:B,1,0),"无标签"))</f>
        <v/>
      </c>
      <c r="D308" s="60" t="str">
        <f>IF(LEN(IFERROR(VLOOKUP(A:A,意大利库存款!A:A,1,0),""))&gt;2,"意大利库存","")</f>
        <v/>
      </c>
      <c r="E308" s="70" t="str">
        <f t="shared" si="18"/>
        <v/>
      </c>
      <c r="I308" s="70" t="str">
        <f t="shared" ca="1" si="19"/>
        <v/>
      </c>
    </row>
    <row r="309" spans="1:9" x14ac:dyDescent="0.25">
      <c r="A309" s="68" t="str">
        <f t="shared" si="17"/>
        <v/>
      </c>
      <c r="C309" s="10" t="str">
        <f>IF(LEN(需打标签!A309)=0,"",IFERROR(VLOOKUP(需打标签!A:A,标签details!A:B,1,0),"无标签"))</f>
        <v/>
      </c>
      <c r="D309" s="60" t="str">
        <f>IF(LEN(IFERROR(VLOOKUP(A:A,意大利库存款!A:A,1,0),""))&gt;2,"意大利库存","")</f>
        <v/>
      </c>
      <c r="E309" s="70" t="str">
        <f t="shared" si="18"/>
        <v/>
      </c>
      <c r="I309" s="70" t="str">
        <f t="shared" ca="1" si="19"/>
        <v/>
      </c>
    </row>
    <row r="310" spans="1:9" x14ac:dyDescent="0.25">
      <c r="A310" s="68" t="str">
        <f t="shared" si="17"/>
        <v/>
      </c>
      <c r="C310" s="10" t="str">
        <f>IF(LEN(需打标签!A310)=0,"",IFERROR(VLOOKUP(需打标签!A:A,标签details!A:B,1,0),"无标签"))</f>
        <v/>
      </c>
      <c r="D310" s="60" t="str">
        <f>IF(LEN(IFERROR(VLOOKUP(A:A,意大利库存款!A:A,1,0),""))&gt;2,"意大利库存","")</f>
        <v/>
      </c>
      <c r="E310" s="70" t="str">
        <f t="shared" si="18"/>
        <v/>
      </c>
      <c r="I310" s="70" t="str">
        <f t="shared" ca="1" si="19"/>
        <v/>
      </c>
    </row>
    <row r="311" spans="1:9" x14ac:dyDescent="0.25">
      <c r="A311" s="68" t="str">
        <f t="shared" si="17"/>
        <v/>
      </c>
      <c r="C311" s="10" t="str">
        <f>IF(LEN(需打标签!A311)=0,"",IFERROR(VLOOKUP(需打标签!A:A,标签details!A:B,1,0),"无标签"))</f>
        <v/>
      </c>
      <c r="D311" s="60" t="str">
        <f>IF(LEN(IFERROR(VLOOKUP(A:A,意大利库存款!A:A,1,0),""))&gt;2,"意大利库存","")</f>
        <v/>
      </c>
      <c r="E311" s="70" t="str">
        <f t="shared" si="18"/>
        <v/>
      </c>
      <c r="I311" s="70" t="str">
        <f t="shared" ca="1" si="19"/>
        <v/>
      </c>
    </row>
    <row r="312" spans="1:9" x14ac:dyDescent="0.25">
      <c r="A312" s="68" t="str">
        <f t="shared" si="17"/>
        <v/>
      </c>
      <c r="C312" s="10" t="str">
        <f>IF(LEN(需打标签!A312)=0,"",IFERROR(VLOOKUP(需打标签!A:A,标签details!A:B,1,0),"无标签"))</f>
        <v/>
      </c>
      <c r="D312" s="60" t="str">
        <f>IF(LEN(IFERROR(VLOOKUP(A:A,意大利库存款!A:A,1,0),""))&gt;2,"意大利库存","")</f>
        <v/>
      </c>
      <c r="E312" s="70" t="str">
        <f t="shared" si="18"/>
        <v/>
      </c>
      <c r="I312" s="70" t="str">
        <f t="shared" ca="1" si="19"/>
        <v/>
      </c>
    </row>
    <row r="313" spans="1:9" x14ac:dyDescent="0.25">
      <c r="A313" s="68" t="str">
        <f t="shared" si="17"/>
        <v/>
      </c>
      <c r="C313" s="10" t="str">
        <f>IF(LEN(需打标签!A313)=0,"",IFERROR(VLOOKUP(需打标签!A:A,标签details!A:B,1,0),"无标签"))</f>
        <v/>
      </c>
      <c r="D313" s="60" t="str">
        <f>IF(LEN(IFERROR(VLOOKUP(A:A,意大利库存款!A:A,1,0),""))&gt;2,"意大利库存","")</f>
        <v/>
      </c>
      <c r="E313" s="70" t="str">
        <f t="shared" si="18"/>
        <v/>
      </c>
      <c r="I313" s="70" t="str">
        <f t="shared" ca="1" si="19"/>
        <v/>
      </c>
    </row>
    <row r="314" spans="1:9" x14ac:dyDescent="0.25">
      <c r="A314" s="68" t="str">
        <f t="shared" si="17"/>
        <v/>
      </c>
      <c r="C314" s="10" t="str">
        <f>IF(LEN(需打标签!A314)=0,"",IFERROR(VLOOKUP(需打标签!A:A,标签details!A:B,1,0),"无标签"))</f>
        <v/>
      </c>
      <c r="D314" s="60" t="str">
        <f>IF(LEN(IFERROR(VLOOKUP(A:A,意大利库存款!A:A,1,0),""))&gt;2,"意大利库存","")</f>
        <v/>
      </c>
      <c r="E314" s="70" t="str">
        <f t="shared" si="18"/>
        <v/>
      </c>
      <c r="I314" s="70" t="str">
        <f t="shared" ca="1" si="19"/>
        <v/>
      </c>
    </row>
    <row r="315" spans="1:9" x14ac:dyDescent="0.25">
      <c r="A315" s="68" t="str">
        <f t="shared" si="17"/>
        <v/>
      </c>
      <c r="C315" s="10" t="str">
        <f>IF(LEN(需打标签!A315)=0,"",IFERROR(VLOOKUP(需打标签!A:A,标签details!A:B,1,0),"无标签"))</f>
        <v/>
      </c>
      <c r="D315" s="60" t="str">
        <f>IF(LEN(IFERROR(VLOOKUP(A:A,意大利库存款!A:A,1,0),""))&gt;2,"意大利库存","")</f>
        <v/>
      </c>
      <c r="E315" s="70" t="str">
        <f t="shared" si="18"/>
        <v/>
      </c>
      <c r="I315" s="70" t="str">
        <f t="shared" ca="1" si="19"/>
        <v/>
      </c>
    </row>
    <row r="316" spans="1:9" x14ac:dyDescent="0.25">
      <c r="A316" s="68" t="str">
        <f t="shared" si="17"/>
        <v/>
      </c>
      <c r="C316" s="10" t="str">
        <f>IF(LEN(需打标签!A316)=0,"",IFERROR(VLOOKUP(需打标签!A:A,标签details!A:B,1,0),"无标签"))</f>
        <v/>
      </c>
      <c r="D316" s="60" t="str">
        <f>IF(LEN(IFERROR(VLOOKUP(A:A,意大利库存款!A:A,1,0),""))&gt;2,"意大利库存","")</f>
        <v/>
      </c>
      <c r="E316" s="70" t="str">
        <f t="shared" si="18"/>
        <v/>
      </c>
      <c r="I316" s="70" t="str">
        <f t="shared" ca="1" si="19"/>
        <v/>
      </c>
    </row>
    <row r="317" spans="1:9" x14ac:dyDescent="0.25">
      <c r="A317" s="68" t="str">
        <f t="shared" si="17"/>
        <v/>
      </c>
      <c r="C317" s="10" t="str">
        <f>IF(LEN(需打标签!A317)=0,"",IFERROR(VLOOKUP(需打标签!A:A,标签details!A:B,1,0),"无标签"))</f>
        <v/>
      </c>
      <c r="D317" s="60" t="str">
        <f>IF(LEN(IFERROR(VLOOKUP(A:A,意大利库存款!A:A,1,0),""))&gt;2,"意大利库存","")</f>
        <v/>
      </c>
      <c r="E317" s="70" t="str">
        <f t="shared" si="18"/>
        <v/>
      </c>
      <c r="I317" s="70" t="str">
        <f t="shared" ca="1" si="19"/>
        <v/>
      </c>
    </row>
    <row r="318" spans="1:9" x14ac:dyDescent="0.25">
      <c r="A318" s="68" t="str">
        <f t="shared" si="17"/>
        <v/>
      </c>
      <c r="C318" s="10" t="str">
        <f>IF(LEN(需打标签!A318)=0,"",IFERROR(VLOOKUP(需打标签!A:A,标签details!A:B,1,0),"无标签"))</f>
        <v/>
      </c>
      <c r="D318" s="60" t="str">
        <f>IF(LEN(IFERROR(VLOOKUP(A:A,意大利库存款!A:A,1,0),""))&gt;2,"意大利库存","")</f>
        <v/>
      </c>
      <c r="E318" s="70" t="str">
        <f t="shared" si="18"/>
        <v/>
      </c>
      <c r="I318" s="70" t="str">
        <f t="shared" ca="1" si="19"/>
        <v/>
      </c>
    </row>
    <row r="319" spans="1:9" x14ac:dyDescent="0.25">
      <c r="A319" s="68" t="str">
        <f t="shared" si="17"/>
        <v/>
      </c>
      <c r="C319" s="10" t="str">
        <f>IF(LEN(需打标签!A319)=0,"",IFERROR(VLOOKUP(需打标签!A:A,标签details!A:B,1,0),"无标签"))</f>
        <v/>
      </c>
      <c r="D319" s="60" t="str">
        <f>IF(LEN(IFERROR(VLOOKUP(A:A,意大利库存款!A:A,1,0),""))&gt;2,"意大利库存","")</f>
        <v/>
      </c>
      <c r="E319" s="70" t="str">
        <f t="shared" si="18"/>
        <v/>
      </c>
      <c r="I319" s="70" t="str">
        <f t="shared" ca="1" si="19"/>
        <v/>
      </c>
    </row>
    <row r="320" spans="1:9" x14ac:dyDescent="0.25">
      <c r="A320" s="68" t="str">
        <f t="shared" si="17"/>
        <v/>
      </c>
      <c r="C320" s="10" t="str">
        <f>IF(LEN(需打标签!A320)=0,"",IFERROR(VLOOKUP(需打标签!A:A,标签details!A:B,1,0),"无标签"))</f>
        <v/>
      </c>
      <c r="D320" s="60" t="str">
        <f>IF(LEN(IFERROR(VLOOKUP(A:A,意大利库存款!A:A,1,0),""))&gt;2,"意大利库存","")</f>
        <v/>
      </c>
      <c r="E320" s="70" t="str">
        <f t="shared" si="18"/>
        <v/>
      </c>
      <c r="I320" s="70" t="str">
        <f t="shared" ca="1" si="19"/>
        <v/>
      </c>
    </row>
    <row r="321" spans="1:9" x14ac:dyDescent="0.25">
      <c r="A321" s="68" t="str">
        <f t="shared" si="17"/>
        <v/>
      </c>
      <c r="C321" s="10" t="str">
        <f>IF(LEN(需打标签!A321)=0,"",IFERROR(VLOOKUP(需打标签!A:A,标签details!A:B,1,0),"无标签"))</f>
        <v/>
      </c>
      <c r="D321" s="60" t="str">
        <f>IF(LEN(IFERROR(VLOOKUP(A:A,意大利库存款!A:A,1,0),""))&gt;2,"意大利库存","")</f>
        <v/>
      </c>
      <c r="E321" s="70" t="str">
        <f t="shared" si="18"/>
        <v/>
      </c>
      <c r="I321" s="70" t="str">
        <f t="shared" ca="1" si="19"/>
        <v/>
      </c>
    </row>
    <row r="322" spans="1:9" x14ac:dyDescent="0.25">
      <c r="A322" s="68" t="str">
        <f t="shared" si="17"/>
        <v/>
      </c>
      <c r="C322" s="10" t="str">
        <f>IF(LEN(需打标签!A322)=0,"",IFERROR(VLOOKUP(需打标签!A:A,标签details!A:B,1,0),"无标签"))</f>
        <v/>
      </c>
      <c r="D322" s="60" t="str">
        <f>IF(LEN(IFERROR(VLOOKUP(A:A,意大利库存款!A:A,1,0),""))&gt;2,"意大利库存","")</f>
        <v/>
      </c>
      <c r="E322" s="70" t="str">
        <f t="shared" si="18"/>
        <v/>
      </c>
      <c r="I322" s="70" t="str">
        <f t="shared" ca="1" si="19"/>
        <v/>
      </c>
    </row>
    <row r="323" spans="1:9" x14ac:dyDescent="0.25">
      <c r="A323" s="68" t="str">
        <f t="shared" ref="A323:A361" si="20">IF(LEN(B323),"EBT"&amp;B323,"")</f>
        <v/>
      </c>
      <c r="C323" s="10" t="str">
        <f>IF(LEN(需打标签!A323)=0,"",IFERROR(VLOOKUP(需打标签!A:A,标签details!A:B,1,0),"无标签"))</f>
        <v/>
      </c>
      <c r="D323" s="60" t="str">
        <f>IF(LEN(IFERROR(VLOOKUP(A:A,意大利库存款!A:A,1,0),""))&gt;2,"意大利库存","")</f>
        <v/>
      </c>
      <c r="E323" s="70" t="str">
        <f t="shared" ref="E323:E361" si="21">IF(LEN(A323),"IHZ16","")</f>
        <v/>
      </c>
      <c r="I323" s="70" t="str">
        <f t="shared" ref="I323:I361" ca="1" si="22">IF(LEN(A323),TODAY(),"")</f>
        <v/>
      </c>
    </row>
    <row r="324" spans="1:9" x14ac:dyDescent="0.25">
      <c r="A324" s="68" t="str">
        <f t="shared" si="20"/>
        <v/>
      </c>
      <c r="C324" s="10" t="str">
        <f>IF(LEN(需打标签!A324)=0,"",IFERROR(VLOOKUP(需打标签!A:A,标签details!A:B,1,0),"无标签"))</f>
        <v/>
      </c>
      <c r="D324" s="60" t="str">
        <f>IF(LEN(IFERROR(VLOOKUP(A:A,意大利库存款!A:A,1,0),""))&gt;2,"意大利库存","")</f>
        <v/>
      </c>
      <c r="E324" s="70" t="str">
        <f t="shared" si="21"/>
        <v/>
      </c>
      <c r="I324" s="70" t="str">
        <f t="shared" ca="1" si="22"/>
        <v/>
      </c>
    </row>
    <row r="325" spans="1:9" x14ac:dyDescent="0.25">
      <c r="A325" s="68" t="str">
        <f t="shared" si="20"/>
        <v/>
      </c>
      <c r="C325" s="10" t="str">
        <f>IF(LEN(需打标签!A325)=0,"",IFERROR(VLOOKUP(需打标签!A:A,标签details!A:B,1,0),"无标签"))</f>
        <v/>
      </c>
      <c r="D325" s="60" t="str">
        <f>IF(LEN(IFERROR(VLOOKUP(A:A,意大利库存款!A:A,1,0),""))&gt;2,"意大利库存","")</f>
        <v/>
      </c>
      <c r="E325" s="70" t="str">
        <f t="shared" si="21"/>
        <v/>
      </c>
      <c r="I325" s="70" t="str">
        <f t="shared" ca="1" si="22"/>
        <v/>
      </c>
    </row>
    <row r="326" spans="1:9" x14ac:dyDescent="0.25">
      <c r="A326" s="68" t="str">
        <f t="shared" si="20"/>
        <v/>
      </c>
      <c r="C326" s="10" t="str">
        <f>IF(LEN(需打标签!A326)=0,"",IFERROR(VLOOKUP(需打标签!A:A,标签details!A:B,1,0),"无标签"))</f>
        <v/>
      </c>
      <c r="D326" s="60" t="str">
        <f>IF(LEN(IFERROR(VLOOKUP(A:A,意大利库存款!A:A,1,0),""))&gt;2,"意大利库存","")</f>
        <v/>
      </c>
      <c r="E326" s="70" t="str">
        <f t="shared" si="21"/>
        <v/>
      </c>
      <c r="I326" s="70" t="str">
        <f t="shared" ca="1" si="22"/>
        <v/>
      </c>
    </row>
    <row r="327" spans="1:9" x14ac:dyDescent="0.25">
      <c r="A327" s="68" t="str">
        <f t="shared" si="20"/>
        <v/>
      </c>
      <c r="C327" s="10" t="str">
        <f>IF(LEN(需打标签!A327)=0,"",IFERROR(VLOOKUP(需打标签!A:A,标签details!A:B,1,0),"无标签"))</f>
        <v/>
      </c>
      <c r="D327" s="60" t="str">
        <f>IF(LEN(IFERROR(VLOOKUP(A:A,意大利库存款!A:A,1,0),""))&gt;2,"意大利库存","")</f>
        <v/>
      </c>
      <c r="E327" s="70" t="str">
        <f t="shared" si="21"/>
        <v/>
      </c>
      <c r="I327" s="70" t="str">
        <f t="shared" ca="1" si="22"/>
        <v/>
      </c>
    </row>
    <row r="328" spans="1:9" x14ac:dyDescent="0.25">
      <c r="A328" s="68" t="str">
        <f t="shared" si="20"/>
        <v/>
      </c>
      <c r="C328" s="10" t="str">
        <f>IF(LEN(需打标签!A328)=0,"",IFERROR(VLOOKUP(需打标签!A:A,标签details!A:B,1,0),"无标签"))</f>
        <v/>
      </c>
      <c r="D328" s="60" t="str">
        <f>IF(LEN(IFERROR(VLOOKUP(A:A,意大利库存款!A:A,1,0),""))&gt;2,"意大利库存","")</f>
        <v/>
      </c>
      <c r="E328" s="70" t="str">
        <f t="shared" si="21"/>
        <v/>
      </c>
      <c r="I328" s="70" t="str">
        <f t="shared" ca="1" si="22"/>
        <v/>
      </c>
    </row>
    <row r="329" spans="1:9" x14ac:dyDescent="0.25">
      <c r="A329" s="68" t="str">
        <f t="shared" si="20"/>
        <v/>
      </c>
      <c r="C329" s="10" t="str">
        <f>IF(LEN(需打标签!A329)=0,"",IFERROR(VLOOKUP(需打标签!A:A,标签details!A:B,1,0),"无标签"))</f>
        <v/>
      </c>
      <c r="D329" s="60" t="str">
        <f>IF(LEN(IFERROR(VLOOKUP(A:A,意大利库存款!A:A,1,0),""))&gt;2,"意大利库存","")</f>
        <v/>
      </c>
      <c r="E329" s="70" t="str">
        <f t="shared" si="21"/>
        <v/>
      </c>
      <c r="I329" s="70" t="str">
        <f t="shared" ca="1" si="22"/>
        <v/>
      </c>
    </row>
    <row r="330" spans="1:9" x14ac:dyDescent="0.25">
      <c r="A330" s="68" t="str">
        <f t="shared" si="20"/>
        <v/>
      </c>
      <c r="C330" s="10" t="str">
        <f>IF(LEN(需打标签!A330)=0,"",IFERROR(VLOOKUP(需打标签!A:A,标签details!A:B,1,0),"无标签"))</f>
        <v/>
      </c>
      <c r="D330" s="60" t="str">
        <f>IF(LEN(IFERROR(VLOOKUP(A:A,意大利库存款!A:A,1,0),""))&gt;2,"意大利库存","")</f>
        <v/>
      </c>
      <c r="E330" s="70" t="str">
        <f t="shared" si="21"/>
        <v/>
      </c>
      <c r="I330" s="70" t="str">
        <f t="shared" ca="1" si="22"/>
        <v/>
      </c>
    </row>
    <row r="331" spans="1:9" x14ac:dyDescent="0.25">
      <c r="A331" s="68" t="str">
        <f t="shared" si="20"/>
        <v/>
      </c>
      <c r="C331" s="10" t="str">
        <f>IF(LEN(需打标签!A331)=0,"",IFERROR(VLOOKUP(需打标签!A:A,标签details!A:B,1,0),"无标签"))</f>
        <v/>
      </c>
      <c r="D331" s="60" t="str">
        <f>IF(LEN(IFERROR(VLOOKUP(A:A,意大利库存款!A:A,1,0),""))&gt;2,"意大利库存","")</f>
        <v/>
      </c>
      <c r="E331" s="70" t="str">
        <f t="shared" si="21"/>
        <v/>
      </c>
      <c r="I331" s="70" t="str">
        <f t="shared" ca="1" si="22"/>
        <v/>
      </c>
    </row>
    <row r="332" spans="1:9" x14ac:dyDescent="0.25">
      <c r="A332" s="68" t="str">
        <f t="shared" si="20"/>
        <v/>
      </c>
      <c r="C332" s="10" t="str">
        <f>IF(LEN(需打标签!A332)=0,"",IFERROR(VLOOKUP(需打标签!A:A,标签details!A:B,1,0),"无标签"))</f>
        <v/>
      </c>
      <c r="D332" s="60" t="str">
        <f>IF(LEN(IFERROR(VLOOKUP(A:A,意大利库存款!A:A,1,0),""))&gt;2,"意大利库存","")</f>
        <v/>
      </c>
      <c r="E332" s="70" t="str">
        <f t="shared" si="21"/>
        <v/>
      </c>
      <c r="I332" s="70" t="str">
        <f t="shared" ca="1" si="22"/>
        <v/>
      </c>
    </row>
    <row r="333" spans="1:9" x14ac:dyDescent="0.25">
      <c r="A333" s="68" t="str">
        <f t="shared" si="20"/>
        <v/>
      </c>
      <c r="C333" s="10" t="str">
        <f>IF(LEN(需打标签!A333)=0,"",IFERROR(VLOOKUP(需打标签!A:A,标签details!A:B,1,0),"无标签"))</f>
        <v/>
      </c>
      <c r="D333" s="60" t="str">
        <f>IF(LEN(IFERROR(VLOOKUP(A:A,意大利库存款!A:A,1,0),""))&gt;2,"意大利库存","")</f>
        <v/>
      </c>
      <c r="E333" s="70" t="str">
        <f t="shared" si="21"/>
        <v/>
      </c>
      <c r="I333" s="70" t="str">
        <f t="shared" ca="1" si="22"/>
        <v/>
      </c>
    </row>
    <row r="334" spans="1:9" x14ac:dyDescent="0.25">
      <c r="A334" s="68" t="str">
        <f t="shared" si="20"/>
        <v/>
      </c>
      <c r="C334" s="10" t="str">
        <f>IF(LEN(需打标签!A334)=0,"",IFERROR(VLOOKUP(需打标签!A:A,标签details!A:B,1,0),"无标签"))</f>
        <v/>
      </c>
      <c r="D334" s="60" t="str">
        <f>IF(LEN(IFERROR(VLOOKUP(A:A,意大利库存款!A:A,1,0),""))&gt;2,"意大利库存","")</f>
        <v/>
      </c>
      <c r="E334" s="70" t="str">
        <f t="shared" si="21"/>
        <v/>
      </c>
      <c r="I334" s="70" t="str">
        <f t="shared" ca="1" si="22"/>
        <v/>
      </c>
    </row>
    <row r="335" spans="1:9" x14ac:dyDescent="0.25">
      <c r="A335" s="68" t="str">
        <f t="shared" si="20"/>
        <v/>
      </c>
      <c r="C335" s="10" t="str">
        <f>IF(LEN(需打标签!A335)=0,"",IFERROR(VLOOKUP(需打标签!A:A,标签details!A:B,1,0),"无标签"))</f>
        <v/>
      </c>
      <c r="D335" s="60" t="str">
        <f>IF(LEN(IFERROR(VLOOKUP(A:A,意大利库存款!A:A,1,0),""))&gt;2,"意大利库存","")</f>
        <v/>
      </c>
      <c r="E335" s="70" t="str">
        <f t="shared" si="21"/>
        <v/>
      </c>
      <c r="I335" s="70" t="str">
        <f t="shared" ca="1" si="22"/>
        <v/>
      </c>
    </row>
    <row r="336" spans="1:9" x14ac:dyDescent="0.25">
      <c r="A336" s="68" t="str">
        <f t="shared" si="20"/>
        <v/>
      </c>
      <c r="C336" s="10" t="str">
        <f>IF(LEN(需打标签!A336)=0,"",IFERROR(VLOOKUP(需打标签!A:A,标签details!A:B,1,0),"无标签"))</f>
        <v/>
      </c>
      <c r="D336" s="60" t="str">
        <f>IF(LEN(IFERROR(VLOOKUP(A:A,意大利库存款!A:A,1,0),""))&gt;2,"意大利库存","")</f>
        <v/>
      </c>
      <c r="E336" s="70" t="str">
        <f t="shared" si="21"/>
        <v/>
      </c>
      <c r="I336" s="70" t="str">
        <f t="shared" ca="1" si="22"/>
        <v/>
      </c>
    </row>
    <row r="337" spans="1:9" x14ac:dyDescent="0.25">
      <c r="A337" s="68" t="str">
        <f t="shared" si="20"/>
        <v/>
      </c>
      <c r="C337" s="10" t="str">
        <f>IF(LEN(需打标签!A337)=0,"",IFERROR(VLOOKUP(需打标签!A:A,标签details!A:B,1,0),"无标签"))</f>
        <v/>
      </c>
      <c r="D337" s="60" t="str">
        <f>IF(LEN(IFERROR(VLOOKUP(A:A,意大利库存款!A:A,1,0),""))&gt;2,"意大利库存","")</f>
        <v/>
      </c>
      <c r="E337" s="70" t="str">
        <f t="shared" si="21"/>
        <v/>
      </c>
      <c r="I337" s="70" t="str">
        <f t="shared" ca="1" si="22"/>
        <v/>
      </c>
    </row>
    <row r="338" spans="1:9" x14ac:dyDescent="0.25">
      <c r="A338" s="68" t="str">
        <f t="shared" si="20"/>
        <v/>
      </c>
      <c r="C338" s="10" t="str">
        <f>IF(LEN(需打标签!A338)=0,"",IFERROR(VLOOKUP(需打标签!A:A,标签details!A:B,1,0),"无标签"))</f>
        <v/>
      </c>
      <c r="D338" s="60" t="str">
        <f>IF(LEN(IFERROR(VLOOKUP(A:A,意大利库存款!A:A,1,0),""))&gt;2,"意大利库存","")</f>
        <v/>
      </c>
      <c r="E338" s="70" t="str">
        <f t="shared" si="21"/>
        <v/>
      </c>
      <c r="I338" s="70" t="str">
        <f t="shared" ca="1" si="22"/>
        <v/>
      </c>
    </row>
    <row r="339" spans="1:9" x14ac:dyDescent="0.25">
      <c r="A339" s="68" t="str">
        <f t="shared" si="20"/>
        <v/>
      </c>
      <c r="C339" s="10" t="str">
        <f>IF(LEN(需打标签!A339)=0,"",IFERROR(VLOOKUP(需打标签!A:A,标签details!A:B,1,0),"无标签"))</f>
        <v/>
      </c>
      <c r="D339" s="60" t="str">
        <f>IF(LEN(IFERROR(VLOOKUP(A:A,意大利库存款!A:A,1,0),""))&gt;2,"意大利库存","")</f>
        <v/>
      </c>
      <c r="E339" s="70" t="str">
        <f t="shared" si="21"/>
        <v/>
      </c>
      <c r="I339" s="70" t="str">
        <f t="shared" ca="1" si="22"/>
        <v/>
      </c>
    </row>
    <row r="340" spans="1:9" x14ac:dyDescent="0.25">
      <c r="A340" s="68" t="str">
        <f t="shared" si="20"/>
        <v/>
      </c>
      <c r="C340" s="10" t="str">
        <f>IF(LEN(需打标签!A340)=0,"",IFERROR(VLOOKUP(需打标签!A:A,标签details!A:B,1,0),"无标签"))</f>
        <v/>
      </c>
      <c r="D340" s="60" t="str">
        <f>IF(LEN(IFERROR(VLOOKUP(A:A,意大利库存款!A:A,1,0),""))&gt;2,"意大利库存","")</f>
        <v/>
      </c>
      <c r="E340" s="70" t="str">
        <f t="shared" si="21"/>
        <v/>
      </c>
      <c r="I340" s="70" t="str">
        <f t="shared" ca="1" si="22"/>
        <v/>
      </c>
    </row>
    <row r="341" spans="1:9" x14ac:dyDescent="0.25">
      <c r="A341" s="68" t="str">
        <f t="shared" si="20"/>
        <v/>
      </c>
      <c r="C341" s="10" t="str">
        <f>IF(LEN(需打标签!A341)=0,"",IFERROR(VLOOKUP(需打标签!A:A,标签details!A:B,1,0),"无标签"))</f>
        <v/>
      </c>
      <c r="D341" s="60" t="str">
        <f>IF(LEN(IFERROR(VLOOKUP(A:A,意大利库存款!A:A,1,0),""))&gt;2,"意大利库存","")</f>
        <v/>
      </c>
      <c r="E341" s="70" t="str">
        <f t="shared" si="21"/>
        <v/>
      </c>
      <c r="I341" s="70" t="str">
        <f t="shared" ca="1" si="22"/>
        <v/>
      </c>
    </row>
    <row r="342" spans="1:9" x14ac:dyDescent="0.25">
      <c r="A342" s="68" t="str">
        <f t="shared" si="20"/>
        <v/>
      </c>
      <c r="C342" s="10" t="str">
        <f>IF(LEN(需打标签!A342)=0,"",IFERROR(VLOOKUP(需打标签!A:A,标签details!A:B,1,0),"无标签"))</f>
        <v/>
      </c>
      <c r="D342" s="60" t="str">
        <f>IF(LEN(IFERROR(VLOOKUP(A:A,意大利库存款!A:A,1,0),""))&gt;2,"意大利库存","")</f>
        <v/>
      </c>
      <c r="E342" s="70" t="str">
        <f t="shared" si="21"/>
        <v/>
      </c>
      <c r="I342" s="70" t="str">
        <f t="shared" ca="1" si="22"/>
        <v/>
      </c>
    </row>
    <row r="343" spans="1:9" x14ac:dyDescent="0.25">
      <c r="A343" s="68" t="str">
        <f t="shared" si="20"/>
        <v/>
      </c>
      <c r="C343" s="10" t="str">
        <f>IF(LEN(需打标签!A343)=0,"",IFERROR(VLOOKUP(需打标签!A:A,标签details!A:B,1,0),"无标签"))</f>
        <v/>
      </c>
      <c r="D343" s="60" t="str">
        <f>IF(LEN(IFERROR(VLOOKUP(A:A,意大利库存款!A:A,1,0),""))&gt;2,"意大利库存","")</f>
        <v/>
      </c>
      <c r="E343" s="70" t="str">
        <f t="shared" si="21"/>
        <v/>
      </c>
      <c r="I343" s="70" t="str">
        <f t="shared" ca="1" si="22"/>
        <v/>
      </c>
    </row>
    <row r="344" spans="1:9" x14ac:dyDescent="0.25">
      <c r="A344" s="68" t="str">
        <f t="shared" si="20"/>
        <v/>
      </c>
      <c r="C344" s="10" t="str">
        <f>IF(LEN(需打标签!A344)=0,"",IFERROR(VLOOKUP(需打标签!A:A,标签details!A:B,1,0),"无标签"))</f>
        <v/>
      </c>
      <c r="D344" s="60" t="str">
        <f>IF(LEN(IFERROR(VLOOKUP(A:A,意大利库存款!A:A,1,0),""))&gt;2,"意大利库存","")</f>
        <v/>
      </c>
      <c r="E344" s="70" t="str">
        <f t="shared" si="21"/>
        <v/>
      </c>
      <c r="I344" s="70" t="str">
        <f t="shared" ca="1" si="22"/>
        <v/>
      </c>
    </row>
    <row r="345" spans="1:9" x14ac:dyDescent="0.25">
      <c r="A345" s="68" t="str">
        <f t="shared" si="20"/>
        <v/>
      </c>
      <c r="C345" s="10" t="str">
        <f>IF(LEN(需打标签!A345)=0,"",IFERROR(VLOOKUP(需打标签!A:A,标签details!A:B,1,0),"无标签"))</f>
        <v/>
      </c>
      <c r="D345" s="60" t="str">
        <f>IF(LEN(IFERROR(VLOOKUP(A:A,意大利库存款!A:A,1,0),""))&gt;2,"意大利库存","")</f>
        <v/>
      </c>
      <c r="E345" s="70" t="str">
        <f t="shared" si="21"/>
        <v/>
      </c>
      <c r="I345" s="70" t="str">
        <f t="shared" ca="1" si="22"/>
        <v/>
      </c>
    </row>
    <row r="346" spans="1:9" x14ac:dyDescent="0.25">
      <c r="A346" s="68" t="str">
        <f t="shared" si="20"/>
        <v/>
      </c>
      <c r="C346" s="10" t="str">
        <f>IF(LEN(需打标签!A346)=0,"",IFERROR(VLOOKUP(需打标签!A:A,标签details!A:B,1,0),"无标签"))</f>
        <v/>
      </c>
      <c r="D346" s="60" t="str">
        <f>IF(LEN(IFERROR(VLOOKUP(A:A,意大利库存款!A:A,1,0),""))&gt;2,"意大利库存","")</f>
        <v/>
      </c>
      <c r="E346" s="70" t="str">
        <f t="shared" si="21"/>
        <v/>
      </c>
      <c r="I346" s="70" t="str">
        <f t="shared" ca="1" si="22"/>
        <v/>
      </c>
    </row>
    <row r="347" spans="1:9" x14ac:dyDescent="0.25">
      <c r="A347" s="68" t="str">
        <f t="shared" si="20"/>
        <v/>
      </c>
      <c r="C347" s="10" t="str">
        <f>IF(LEN(需打标签!A347)=0,"",IFERROR(VLOOKUP(需打标签!A:A,标签details!A:B,1,0),"无标签"))</f>
        <v/>
      </c>
      <c r="D347" s="60" t="str">
        <f>IF(LEN(IFERROR(VLOOKUP(A:A,意大利库存款!A:A,1,0),""))&gt;2,"意大利库存","")</f>
        <v/>
      </c>
      <c r="E347" s="70" t="str">
        <f t="shared" si="21"/>
        <v/>
      </c>
      <c r="I347" s="70" t="str">
        <f t="shared" ca="1" si="22"/>
        <v/>
      </c>
    </row>
    <row r="348" spans="1:9" x14ac:dyDescent="0.25">
      <c r="A348" s="68" t="str">
        <f t="shared" si="20"/>
        <v/>
      </c>
      <c r="C348" s="10" t="str">
        <f>IF(LEN(需打标签!A348)=0,"",IFERROR(VLOOKUP(需打标签!A:A,标签details!A:B,1,0),"无标签"))</f>
        <v/>
      </c>
      <c r="D348" s="60" t="str">
        <f>IF(LEN(IFERROR(VLOOKUP(A:A,意大利库存款!A:A,1,0),""))&gt;2,"意大利库存","")</f>
        <v/>
      </c>
      <c r="E348" s="70" t="str">
        <f t="shared" si="21"/>
        <v/>
      </c>
      <c r="I348" s="70" t="str">
        <f t="shared" ca="1" si="22"/>
        <v/>
      </c>
    </row>
    <row r="349" spans="1:9" x14ac:dyDescent="0.25">
      <c r="A349" s="68" t="str">
        <f t="shared" si="20"/>
        <v/>
      </c>
      <c r="D349" s="60" t="str">
        <f>IF(LEN(IFERROR(VLOOKUP(A:A,意大利库存款!A:A,1,0),""))&gt;2,"意大利库存","")</f>
        <v/>
      </c>
      <c r="E349" s="70" t="str">
        <f t="shared" si="21"/>
        <v/>
      </c>
      <c r="I349" s="70" t="str">
        <f t="shared" ca="1" si="22"/>
        <v/>
      </c>
    </row>
    <row r="350" spans="1:9" x14ac:dyDescent="0.25">
      <c r="A350" s="68" t="str">
        <f t="shared" si="20"/>
        <v/>
      </c>
      <c r="D350" s="60" t="str">
        <f>IF(LEN(IFERROR(VLOOKUP(A:A,意大利库存款!A:A,1,0),""))&gt;2,"意大利库存","")</f>
        <v/>
      </c>
      <c r="E350" s="70" t="str">
        <f t="shared" si="21"/>
        <v/>
      </c>
      <c r="I350" s="70" t="str">
        <f t="shared" ca="1" si="22"/>
        <v/>
      </c>
    </row>
    <row r="351" spans="1:9" x14ac:dyDescent="0.25">
      <c r="A351" s="68" t="str">
        <f t="shared" si="20"/>
        <v/>
      </c>
      <c r="D351" s="60" t="str">
        <f>IF(LEN(IFERROR(VLOOKUP(A:A,意大利库存款!A:A,1,0),""))&gt;2,"意大利库存","")</f>
        <v/>
      </c>
      <c r="E351" s="70" t="str">
        <f t="shared" si="21"/>
        <v/>
      </c>
      <c r="I351" s="70" t="str">
        <f t="shared" ca="1" si="22"/>
        <v/>
      </c>
    </row>
    <row r="352" spans="1:9" x14ac:dyDescent="0.25">
      <c r="A352" s="68" t="str">
        <f t="shared" si="20"/>
        <v/>
      </c>
      <c r="D352" s="60" t="str">
        <f>IF(LEN(IFERROR(VLOOKUP(A:A,意大利库存款!A:A,1,0),""))&gt;2,"意大利库存","")</f>
        <v/>
      </c>
      <c r="E352" s="70" t="str">
        <f t="shared" si="21"/>
        <v/>
      </c>
      <c r="I352" s="70" t="str">
        <f t="shared" ca="1" si="22"/>
        <v/>
      </c>
    </row>
    <row r="353" spans="1:9" x14ac:dyDescent="0.25">
      <c r="A353" s="68" t="str">
        <f t="shared" si="20"/>
        <v/>
      </c>
      <c r="D353" s="60" t="str">
        <f>IF(LEN(IFERROR(VLOOKUP(A:A,意大利库存款!A:A,1,0),""))&gt;2,"意大利库存","")</f>
        <v/>
      </c>
      <c r="E353" s="70" t="str">
        <f t="shared" si="21"/>
        <v/>
      </c>
      <c r="I353" s="70" t="str">
        <f t="shared" ca="1" si="22"/>
        <v/>
      </c>
    </row>
    <row r="354" spans="1:9" x14ac:dyDescent="0.25">
      <c r="A354" s="68" t="str">
        <f t="shared" si="20"/>
        <v/>
      </c>
      <c r="D354" s="60" t="str">
        <f>IF(LEN(IFERROR(VLOOKUP(A:A,意大利库存款!A:A,1,0),""))&gt;2,"意大利库存","")</f>
        <v/>
      </c>
      <c r="E354" s="70" t="str">
        <f t="shared" si="21"/>
        <v/>
      </c>
      <c r="I354" s="70" t="str">
        <f t="shared" ca="1" si="22"/>
        <v/>
      </c>
    </row>
    <row r="355" spans="1:9" x14ac:dyDescent="0.25">
      <c r="A355" s="68" t="str">
        <f t="shared" si="20"/>
        <v/>
      </c>
      <c r="D355" s="60" t="str">
        <f>IF(LEN(IFERROR(VLOOKUP(A:A,意大利库存款!A:A,1,0),""))&gt;2,"意大利库存","")</f>
        <v/>
      </c>
      <c r="E355" s="70" t="str">
        <f t="shared" si="21"/>
        <v/>
      </c>
      <c r="I355" s="70" t="str">
        <f t="shared" ca="1" si="22"/>
        <v/>
      </c>
    </row>
    <row r="356" spans="1:9" x14ac:dyDescent="0.25">
      <c r="A356" s="68" t="str">
        <f t="shared" si="20"/>
        <v/>
      </c>
      <c r="D356" s="60" t="str">
        <f>IF(LEN(IFERROR(VLOOKUP(A:A,意大利库存款!A:A,1,0),""))&gt;2,"意大利库存","")</f>
        <v/>
      </c>
      <c r="E356" s="70" t="str">
        <f t="shared" si="21"/>
        <v/>
      </c>
      <c r="I356" s="70" t="str">
        <f t="shared" ca="1" si="22"/>
        <v/>
      </c>
    </row>
    <row r="357" spans="1:9" x14ac:dyDescent="0.25">
      <c r="A357" s="68" t="str">
        <f t="shared" si="20"/>
        <v/>
      </c>
      <c r="D357" s="60" t="str">
        <f>IF(LEN(IFERROR(VLOOKUP(A:A,意大利库存款!A:A,1,0),""))&gt;2,"意大利库存","")</f>
        <v/>
      </c>
      <c r="E357" s="70" t="str">
        <f t="shared" si="21"/>
        <v/>
      </c>
      <c r="I357" s="70" t="str">
        <f t="shared" ca="1" si="22"/>
        <v/>
      </c>
    </row>
    <row r="358" spans="1:9" x14ac:dyDescent="0.25">
      <c r="A358" s="68" t="str">
        <f t="shared" si="20"/>
        <v/>
      </c>
      <c r="D358" s="60" t="str">
        <f>IF(LEN(IFERROR(VLOOKUP(A:A,意大利库存款!A:A,1,0),""))&gt;2,"意大利库存","")</f>
        <v/>
      </c>
      <c r="E358" s="70" t="str">
        <f t="shared" si="21"/>
        <v/>
      </c>
      <c r="I358" s="70" t="str">
        <f t="shared" ca="1" si="22"/>
        <v/>
      </c>
    </row>
    <row r="359" spans="1:9" x14ac:dyDescent="0.25">
      <c r="A359" s="68" t="str">
        <f t="shared" si="20"/>
        <v/>
      </c>
      <c r="D359" s="60" t="str">
        <f>IF(LEN(IFERROR(VLOOKUP(A:A,意大利库存款!A:A,1,0),""))&gt;2,"意大利库存","")</f>
        <v/>
      </c>
      <c r="E359" s="70" t="str">
        <f t="shared" si="21"/>
        <v/>
      </c>
      <c r="I359" s="70" t="str">
        <f t="shared" ca="1" si="22"/>
        <v/>
      </c>
    </row>
    <row r="360" spans="1:9" x14ac:dyDescent="0.25">
      <c r="A360" s="68" t="str">
        <f t="shared" si="20"/>
        <v/>
      </c>
      <c r="D360" s="60" t="str">
        <f>IF(LEN(IFERROR(VLOOKUP(A:A,意大利库存款!A:A,1,0),""))&gt;2,"意大利库存","")</f>
        <v/>
      </c>
      <c r="E360" s="70" t="str">
        <f t="shared" si="21"/>
        <v/>
      </c>
      <c r="I360" s="70" t="str">
        <f t="shared" ca="1" si="22"/>
        <v/>
      </c>
    </row>
    <row r="361" spans="1:9" x14ac:dyDescent="0.25">
      <c r="A361" s="68" t="str">
        <f t="shared" si="20"/>
        <v/>
      </c>
      <c r="D361" s="60" t="str">
        <f>IF(LEN(IFERROR(VLOOKUP(A:A,意大利库存款!A:A,1,0),""))&gt;2,"意大利库存","")</f>
        <v/>
      </c>
      <c r="E361" s="70" t="str">
        <f t="shared" si="21"/>
        <v/>
      </c>
      <c r="I361" s="70" t="str">
        <f t="shared" ca="1" si="22"/>
        <v/>
      </c>
    </row>
  </sheetData>
  <sheetProtection password="CA78" sheet="1" objects="1" scenarios="1" sort="0" autoFilter="0"/>
  <protectedRanges>
    <protectedRange sqref="A2:A251" name="区域4"/>
    <protectedRange sqref="B2:B251" name="需打标签"/>
    <protectedRange sqref="E2:J251" name="船样信息"/>
    <protectedRange sqref="L2:O2" name="报价"/>
  </protectedRanges>
  <autoFilter ref="A1:I361">
    <filterColumn colId="4" showButton="0"/>
    <filterColumn colId="5" showButton="0"/>
  </autoFilter>
  <mergeCells count="2">
    <mergeCell ref="E1:G1"/>
    <mergeCell ref="L1:O1"/>
  </mergeCells>
  <phoneticPr fontId="51" type="noConversion"/>
  <conditionalFormatting sqref="C1:C1048576">
    <cfRule type="cellIs" dxfId="2" priority="2" stopIfTrue="1" operator="equal">
      <formula>"无标签"</formula>
    </cfRule>
    <cfRule type="notContainsBlanks" dxfId="1" priority="4">
      <formula>LEN(TRIM(C1))&gt;0</formula>
    </cfRule>
  </conditionalFormatting>
  <conditionalFormatting sqref="D1:D1048576">
    <cfRule type="notContainsBlanks" dxfId="0" priority="1">
      <formula>LEN(TRIM(D1))&gt;0</formula>
    </cfRule>
  </conditionalFormatting>
  <dataValidations count="3">
    <dataValidation type="list" allowBlank="1" showInputMessage="1" showErrorMessage="1" sqref="L2">
      <formula1>"CIF,FOB"</formula1>
    </dataValidation>
    <dataValidation type="list" allowBlank="1" showInputMessage="1" showErrorMessage="1" sqref="N2">
      <formula1>"￥,$,€"</formula1>
    </dataValidation>
    <dataValidation type="list" allowBlank="1" showInputMessage="1" showErrorMessage="1" sqref="O2">
      <formula1>"M,Y"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>
                <anchor moveWithCells="1" sizeWithCells="1">
                  <from>
                    <xdr:col>11</xdr:col>
                    <xdr:colOff>19050</xdr:colOff>
                    <xdr:row>9</xdr:row>
                    <xdr:rowOff>0</xdr:rowOff>
                  </from>
                  <to>
                    <xdr:col>14</xdr:col>
                    <xdr:colOff>228600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I250"/>
  <sheetViews>
    <sheetView zoomScale="85" zoomScaleNormal="85" workbookViewId="0">
      <pane ySplit="1" topLeftCell="A2" activePane="bottomLeft" state="frozen"/>
      <selection activeCell="E28" sqref="E28"/>
      <selection pane="bottomLeft" activeCell="C11" sqref="C11"/>
    </sheetView>
  </sheetViews>
  <sheetFormatPr defaultColWidth="9" defaultRowHeight="112" customHeight="1" x14ac:dyDescent="0.25"/>
  <cols>
    <col min="1" max="2" width="28.36328125" style="9" customWidth="1"/>
    <col min="3" max="16384" width="9" style="8"/>
  </cols>
  <sheetData>
    <row r="1" spans="1:9" ht="112" hidden="1" customHeight="1" x14ac:dyDescent="0.25">
      <c r="A1" s="9" t="str">
        <f>IF(LEN(需打标签!A1)=0,"",IFERROR(VLOOKUP(需打标签!A:A,标签details!A:B,2,0),需打标签!A2&amp;"无对应标签"))</f>
        <v>EBT170730无对应标签</v>
      </c>
    </row>
    <row r="2" spans="1:9" ht="112" customHeight="1" x14ac:dyDescent="0.25">
      <c r="A2" s="9" t="str">
        <f>IF(LEN(需打标签!A2)=0,"",IFERROR(VLOOKUP(需打标签!A:A,标签details!A:B,2,0),需打标签!A3&amp;"无对应标签"))</f>
        <v>ART.EBT170730
COMP:100%PL
WIDTH:125CM
WEIGHT:</v>
      </c>
    </row>
    <row r="3" spans="1:9" ht="112" customHeight="1" x14ac:dyDescent="0.25">
      <c r="A3" s="9" t="str">
        <f>IF(LEN(需打标签!A3)=0,"",IFERROR(VLOOKUP(需打标签!A:A,标签details!A:B,2,0),需打标签!A4&amp;"无对应标签"))</f>
        <v/>
      </c>
    </row>
    <row r="4" spans="1:9" ht="112" customHeight="1" x14ac:dyDescent="0.25">
      <c r="A4" s="9" t="str">
        <f>IF(LEN(需打标签!A4)=0,"",IFERROR(VLOOKUP(需打标签!A:A,标签details!A:B,2,0),需打标签!A5&amp;"无对应标签"))</f>
        <v/>
      </c>
    </row>
    <row r="5" spans="1:9" ht="112" customHeight="1" x14ac:dyDescent="0.25">
      <c r="A5" s="9" t="str">
        <f>IF(LEN(需打标签!A5)=0,"",IFERROR(VLOOKUP(需打标签!A:A,标签details!A:B,2,0),需打标签!A6&amp;"无对应标签"))</f>
        <v/>
      </c>
    </row>
    <row r="6" spans="1:9" ht="112" customHeight="1" x14ac:dyDescent="0.25">
      <c r="A6" s="9" t="str">
        <f>IF(LEN(需打标签!A6)=0,"",IFERROR(VLOOKUP(需打标签!A:A,标签details!A:B,2,0),需打标签!A7&amp;"无对应标签"))</f>
        <v/>
      </c>
    </row>
    <row r="7" spans="1:9" ht="112" customHeight="1" x14ac:dyDescent="0.25">
      <c r="A7" s="9" t="str">
        <f>IF(LEN(需打标签!A7)=0,"",IFERROR(VLOOKUP(需打标签!A:A,标签details!A:B,2,0),需打标签!A8&amp;"无对应标签"))</f>
        <v/>
      </c>
    </row>
    <row r="8" spans="1:9" ht="112" customHeight="1" x14ac:dyDescent="0.25">
      <c r="A8" s="9" t="str">
        <f>IF(LEN(需打标签!A8)=0,"",IFERROR(VLOOKUP(需打标签!A:A,标签details!A:B,2,0),需打标签!A9&amp;"无对应标签"))</f>
        <v/>
      </c>
    </row>
    <row r="9" spans="1:9" ht="112" customHeight="1" x14ac:dyDescent="0.25">
      <c r="A9" s="9" t="str">
        <f>IF(LEN(需打标签!A9)=0,"",IFERROR(VLOOKUP(需打标签!A:A,标签details!A:B,2,0),需打标签!A10&amp;"无对应标签"))</f>
        <v/>
      </c>
    </row>
    <row r="10" spans="1:9" ht="112" customHeight="1" x14ac:dyDescent="0.25">
      <c r="A10" s="9" t="str">
        <f>IF(LEN(需打标签!A10)=0,"",IFERROR(VLOOKUP(需打标签!A:A,标签details!A:B,2,0),需打标签!A11&amp;"无对应标签"))</f>
        <v/>
      </c>
    </row>
    <row r="11" spans="1:9" ht="112" customHeight="1" x14ac:dyDescent="0.25">
      <c r="A11" s="9" t="str">
        <f>IF(LEN(需打标签!A11)=0,"",IFERROR(VLOOKUP(需打标签!A:A,标签details!A:B,2,0),需打标签!A12&amp;"无对应标签"))</f>
        <v/>
      </c>
    </row>
    <row r="12" spans="1:9" ht="112" customHeight="1" x14ac:dyDescent="0.25">
      <c r="A12" s="9" t="str">
        <f>IF(LEN(需打标签!A12)=0,"",IFERROR(VLOOKUP(需打标签!A:A,标签details!A:B,2,0),需打标签!A13&amp;"无对应标签"))</f>
        <v/>
      </c>
    </row>
    <row r="13" spans="1:9" ht="112" customHeight="1" x14ac:dyDescent="0.25">
      <c r="A13" s="9" t="str">
        <f>IF(LEN(需打标签!A13)=0,"",IFERROR(VLOOKUP(需打标签!A:A,标签details!A:B,2,0),需打标签!A14&amp;"无对应标签"))</f>
        <v/>
      </c>
    </row>
    <row r="14" spans="1:9" ht="112" customHeight="1" x14ac:dyDescent="0.25">
      <c r="A14" s="9" t="str">
        <f>IF(LEN(需打标签!A14)=0,"",IFERROR(VLOOKUP(需打标签!A:A,标签details!A:B,2,0),需打标签!A15&amp;"无对应标签"))</f>
        <v/>
      </c>
    </row>
    <row r="15" spans="1:9" ht="112" customHeight="1" x14ac:dyDescent="0.25">
      <c r="A15" s="9" t="str">
        <f>IF(LEN(需打标签!A15)=0,"",IFERROR(VLOOKUP(需打标签!A:A,标签details!A:B,2,0),需打标签!A16&amp;"无对应标签"))</f>
        <v/>
      </c>
    </row>
    <row r="16" spans="1:9" ht="112" customHeight="1" x14ac:dyDescent="0.25">
      <c r="A16" s="9" t="str">
        <f>IF(LEN(需打标签!A16)=0,"",IFERROR(VLOOKUP(需打标签!A:A,标签details!A:B,2,0),需打标签!A17&amp;"无对应标签"))</f>
        <v/>
      </c>
    </row>
    <row r="17" spans="1:1" ht="112" customHeight="1" x14ac:dyDescent="0.25">
      <c r="A17" s="9" t="str">
        <f>IF(LEN(需打标签!A17)=0,"",IFERROR(VLOOKUP(需打标签!A:A,标签details!A:B,2,0),需打标签!A18&amp;"无对应标签"))</f>
        <v/>
      </c>
    </row>
    <row r="18" spans="1:1" ht="112" customHeight="1" x14ac:dyDescent="0.25">
      <c r="A18" s="9" t="str">
        <f>IF(LEN(需打标签!A18)=0,"",IFERROR(VLOOKUP(需打标签!A:A,标签details!A:B,2,0),需打标签!A19&amp;"无对应标签"))</f>
        <v/>
      </c>
    </row>
    <row r="19" spans="1:1" ht="112" customHeight="1" x14ac:dyDescent="0.25">
      <c r="A19" s="9" t="str">
        <f>IF(LEN(需打标签!A19)=0,"",IFERROR(VLOOKUP(需打标签!A:A,标签details!A:B,2,0),需打标签!A20&amp;"无对应标签"))</f>
        <v/>
      </c>
    </row>
    <row r="20" spans="1:1" ht="112" customHeight="1" x14ac:dyDescent="0.25">
      <c r="A20" s="9" t="str">
        <f>IF(LEN(需打标签!A20)=0,"",IFERROR(VLOOKUP(需打标签!A:A,标签details!A:B,2,0),需打标签!A21&amp;"无对应标签"))</f>
        <v/>
      </c>
    </row>
    <row r="21" spans="1:1" ht="112" customHeight="1" x14ac:dyDescent="0.25">
      <c r="A21" s="9" t="str">
        <f>IF(LEN(需打标签!A21)=0,"",IFERROR(VLOOKUP(需打标签!A:A,标签details!A:B,2,0),需打标签!A22&amp;"无对应标签"))</f>
        <v/>
      </c>
    </row>
    <row r="22" spans="1:1" ht="112" customHeight="1" x14ac:dyDescent="0.25">
      <c r="A22" s="9" t="str">
        <f>IF(LEN(需打标签!A22)=0,"",IFERROR(VLOOKUP(需打标签!A:A,标签details!A:B,2,0),需打标签!A23&amp;"无对应标签"))</f>
        <v/>
      </c>
    </row>
    <row r="23" spans="1:1" ht="112" customHeight="1" x14ac:dyDescent="0.25">
      <c r="A23" s="9" t="str">
        <f>IF(LEN(需打标签!A23)=0,"",IFERROR(VLOOKUP(需打标签!A:A,标签details!A:B,2,0),需打标签!A24&amp;"无对应标签"))</f>
        <v/>
      </c>
    </row>
    <row r="24" spans="1:1" ht="112" customHeight="1" x14ac:dyDescent="0.25">
      <c r="A24" s="9" t="str">
        <f>IF(LEN(需打标签!A24)=0,"",IFERROR(VLOOKUP(需打标签!A:A,标签details!A:B,2,0),需打标签!A25&amp;"无对应标签"))</f>
        <v/>
      </c>
    </row>
    <row r="25" spans="1:1" ht="112" customHeight="1" x14ac:dyDescent="0.25">
      <c r="A25" s="9" t="str">
        <f>IF(LEN(需打标签!A25)=0,"",IFERROR(VLOOKUP(需打标签!A:A,标签details!A:B,2,0),需打标签!A26&amp;"无对应标签"))</f>
        <v/>
      </c>
    </row>
    <row r="26" spans="1:1" ht="112" customHeight="1" x14ac:dyDescent="0.25">
      <c r="A26" s="9" t="str">
        <f>IF(LEN(需打标签!A26)=0,"",IFERROR(VLOOKUP(需打标签!A:A,标签details!A:B,2,0),需打标签!A27&amp;"无对应标签"))</f>
        <v/>
      </c>
    </row>
    <row r="27" spans="1:1" ht="112" customHeight="1" x14ac:dyDescent="0.25">
      <c r="A27" s="9" t="str">
        <f>IF(LEN(需打标签!A27)=0,"",IFERROR(VLOOKUP(需打标签!A:A,标签details!A:B,2,0),需打标签!A28&amp;"无对应标签"))</f>
        <v/>
      </c>
    </row>
    <row r="28" spans="1:1" ht="112" customHeight="1" x14ac:dyDescent="0.25">
      <c r="A28" s="9" t="str">
        <f>IF(LEN(需打标签!A28)=0,"",IFERROR(VLOOKUP(需打标签!A:A,标签details!A:B,2,0),需打标签!A29&amp;"无对应标签"))</f>
        <v/>
      </c>
    </row>
    <row r="29" spans="1:1" ht="112" customHeight="1" x14ac:dyDescent="0.25">
      <c r="A29" s="9" t="str">
        <f>IF(LEN(需打标签!A29)=0,"",IFERROR(VLOOKUP(需打标签!A:A,标签details!A:B,2,0),需打标签!A30&amp;"无对应标签"))</f>
        <v/>
      </c>
    </row>
    <row r="30" spans="1:1" ht="112" customHeight="1" x14ac:dyDescent="0.25">
      <c r="A30" s="9" t="str">
        <f>IF(LEN(需打标签!A30)=0,"",IFERROR(VLOOKUP(需打标签!A:A,标签details!A:B,2,0),需打标签!A31&amp;"无对应标签"))</f>
        <v/>
      </c>
    </row>
    <row r="31" spans="1:1" ht="112" customHeight="1" x14ac:dyDescent="0.25">
      <c r="A31" s="9" t="str">
        <f>IF(LEN(需打标签!A31)=0,"",IFERROR(VLOOKUP(需打标签!A:A,标签details!A:B,2,0),需打标签!A32&amp;"无对应标签"))</f>
        <v/>
      </c>
    </row>
    <row r="32" spans="1:1" ht="112" customHeight="1" x14ac:dyDescent="0.25">
      <c r="A32" s="9" t="str">
        <f>IF(LEN(需打标签!A32)=0,"",IFERROR(VLOOKUP(需打标签!A:A,标签details!A:B,2,0),需打标签!A33&amp;"无对应标签"))</f>
        <v/>
      </c>
    </row>
    <row r="33" spans="1:1" ht="112" customHeight="1" x14ac:dyDescent="0.25">
      <c r="A33" s="9" t="str">
        <f>IF(LEN(需打标签!A33)=0,"",IFERROR(VLOOKUP(需打标签!A:A,标签details!A:B,2,0),需打标签!A34&amp;"无对应标签"))</f>
        <v/>
      </c>
    </row>
    <row r="34" spans="1:1" ht="112" customHeight="1" x14ac:dyDescent="0.25">
      <c r="A34" s="9" t="str">
        <f>IF(LEN(需打标签!A34)=0,"",IFERROR(VLOOKUP(需打标签!A:A,标签details!A:B,2,0),需打标签!A35&amp;"无对应标签"))</f>
        <v/>
      </c>
    </row>
    <row r="35" spans="1:1" ht="112" customHeight="1" x14ac:dyDescent="0.25">
      <c r="A35" s="9" t="str">
        <f>IF(LEN(需打标签!A35)=0,"",IFERROR(VLOOKUP(需打标签!A:A,标签details!A:B,2,0),需打标签!A36&amp;"无对应标签"))</f>
        <v/>
      </c>
    </row>
    <row r="36" spans="1:1" ht="112" customHeight="1" x14ac:dyDescent="0.25">
      <c r="A36" s="9" t="str">
        <f>IF(LEN(需打标签!A36)=0,"",IFERROR(VLOOKUP(需打标签!A:A,标签details!A:B,2,0),需打标签!A37&amp;"无对应标签"))</f>
        <v/>
      </c>
    </row>
    <row r="37" spans="1:1" ht="112" customHeight="1" x14ac:dyDescent="0.25">
      <c r="A37" s="9" t="str">
        <f>IF(LEN(需打标签!A37)=0,"",IFERROR(VLOOKUP(需打标签!A:A,标签details!A:B,2,0),需打标签!A38&amp;"无对应标签"))</f>
        <v/>
      </c>
    </row>
    <row r="38" spans="1:1" ht="112" customHeight="1" x14ac:dyDescent="0.25">
      <c r="A38" s="9" t="str">
        <f>IF(LEN(需打标签!A38)=0,"",IFERROR(VLOOKUP(需打标签!A:A,标签details!A:B,2,0),需打标签!A39&amp;"无对应标签"))</f>
        <v/>
      </c>
    </row>
    <row r="39" spans="1:1" ht="112" customHeight="1" x14ac:dyDescent="0.25">
      <c r="A39" s="9" t="str">
        <f>IF(LEN(需打标签!A39)=0,"",IFERROR(VLOOKUP(需打标签!A:A,标签details!A:B,2,0),需打标签!A40&amp;"无对应标签"))</f>
        <v/>
      </c>
    </row>
    <row r="40" spans="1:1" ht="112" customHeight="1" x14ac:dyDescent="0.25">
      <c r="A40" s="9" t="str">
        <f>IF(LEN(需打标签!A40)=0,"",IFERROR(VLOOKUP(需打标签!A:A,标签details!A:B,2,0),需打标签!A41&amp;"无对应标签"))</f>
        <v/>
      </c>
    </row>
    <row r="41" spans="1:1" ht="112" customHeight="1" x14ac:dyDescent="0.25">
      <c r="A41" s="9" t="str">
        <f>IF(LEN(需打标签!A41)=0,"",IFERROR(VLOOKUP(需打标签!A:A,标签details!A:B,2,0),需打标签!A42&amp;"无对应标签"))</f>
        <v/>
      </c>
    </row>
    <row r="42" spans="1:1" ht="112" customHeight="1" x14ac:dyDescent="0.25">
      <c r="A42" s="9" t="str">
        <f>IF(LEN(需打标签!A42)=0,"",IFERROR(VLOOKUP(需打标签!A:A,标签details!A:B,2,0),需打标签!A43&amp;"无对应标签"))</f>
        <v/>
      </c>
    </row>
    <row r="43" spans="1:1" ht="112" customHeight="1" x14ac:dyDescent="0.25">
      <c r="A43" s="9" t="str">
        <f>IF(LEN(需打标签!A43)=0,"",IFERROR(VLOOKUP(需打标签!A:A,标签details!A:B,2,0),需打标签!A44&amp;"无对应标签"))</f>
        <v/>
      </c>
    </row>
    <row r="44" spans="1:1" ht="112" customHeight="1" x14ac:dyDescent="0.25">
      <c r="A44" s="9" t="str">
        <f>IF(LEN(需打标签!A44)=0,"",IFERROR(VLOOKUP(需打标签!A:A,标签details!A:B,2,0),需打标签!A45&amp;"无对应标签"))</f>
        <v/>
      </c>
    </row>
    <row r="45" spans="1:1" ht="112" customHeight="1" x14ac:dyDescent="0.25">
      <c r="A45" s="9" t="str">
        <f>IF(LEN(需打标签!A45)=0,"",IFERROR(VLOOKUP(需打标签!A:A,标签details!A:B,2,0),需打标签!A46&amp;"无对应标签"))</f>
        <v/>
      </c>
    </row>
    <row r="46" spans="1:1" ht="112" customHeight="1" x14ac:dyDescent="0.25">
      <c r="A46" s="9" t="str">
        <f>IF(LEN(需打标签!A46)=0,"",IFERROR(VLOOKUP(需打标签!A:A,标签details!A:B,2,0),需打标签!A47&amp;"无对应标签"))</f>
        <v/>
      </c>
    </row>
    <row r="47" spans="1:1" ht="112" customHeight="1" x14ac:dyDescent="0.25">
      <c r="A47" s="9" t="str">
        <f>IF(LEN(需打标签!A47)=0,"",IFERROR(VLOOKUP(需打标签!A:A,标签details!A:B,2,0),需打标签!A48&amp;"无对应标签"))</f>
        <v/>
      </c>
    </row>
    <row r="48" spans="1:1" ht="112" customHeight="1" x14ac:dyDescent="0.25">
      <c r="A48" s="9" t="str">
        <f>IF(LEN(需打标签!A48)=0,"",IFERROR(VLOOKUP(需打标签!A:A,标签details!A:B,2,0),需打标签!A49&amp;"无对应标签"))</f>
        <v/>
      </c>
    </row>
    <row r="49" spans="1:1" ht="112" customHeight="1" x14ac:dyDescent="0.25">
      <c r="A49" s="9" t="str">
        <f>IF(LEN(需打标签!A49)=0,"",IFERROR(VLOOKUP(需打标签!A:A,标签details!A:B,2,0),需打标签!A50&amp;"无对应标签"))</f>
        <v/>
      </c>
    </row>
    <row r="50" spans="1:1" ht="112" customHeight="1" x14ac:dyDescent="0.25">
      <c r="A50" s="9" t="str">
        <f>IF(LEN(需打标签!A50)=0,"",IFERROR(VLOOKUP(需打标签!A:A,标签details!A:B,2,0),需打标签!A51&amp;"无对应标签"))</f>
        <v/>
      </c>
    </row>
    <row r="51" spans="1:1" ht="112" customHeight="1" x14ac:dyDescent="0.25">
      <c r="A51" s="9" t="str">
        <f>IF(LEN(需打标签!A51)=0,"",IFERROR(VLOOKUP(需打标签!A:A,标签details!A:B,2,0),需打标签!A52&amp;"无对应标签"))</f>
        <v/>
      </c>
    </row>
    <row r="52" spans="1:1" ht="112" customHeight="1" x14ac:dyDescent="0.25">
      <c r="A52" s="9" t="str">
        <f>IF(LEN(需打标签!A52)=0,"",IFERROR(VLOOKUP(需打标签!A:A,标签details!A:B,2,0),需打标签!A53&amp;"无对应标签"))</f>
        <v/>
      </c>
    </row>
    <row r="53" spans="1:1" ht="112" customHeight="1" x14ac:dyDescent="0.25">
      <c r="A53" s="9" t="str">
        <f>IF(LEN(需打标签!A53)=0,"",IFERROR(VLOOKUP(需打标签!A:A,标签details!A:B,2,0),需打标签!A54&amp;"无对应标签"))</f>
        <v/>
      </c>
    </row>
    <row r="54" spans="1:1" ht="112" customHeight="1" x14ac:dyDescent="0.25">
      <c r="A54" s="9" t="str">
        <f>IF(LEN(需打标签!A54)=0,"",IFERROR(VLOOKUP(需打标签!A:A,标签details!A:B,2,0),需打标签!A55&amp;"无对应标签"))</f>
        <v/>
      </c>
    </row>
    <row r="55" spans="1:1" ht="112" customHeight="1" x14ac:dyDescent="0.25">
      <c r="A55" s="9" t="str">
        <f>IF(LEN(需打标签!A55)=0,"",IFERROR(VLOOKUP(需打标签!A:A,标签details!A:B,2,0),需打标签!A56&amp;"无对应标签"))</f>
        <v/>
      </c>
    </row>
    <row r="56" spans="1:1" ht="112" customHeight="1" x14ac:dyDescent="0.25">
      <c r="A56" s="9" t="str">
        <f>IF(LEN(需打标签!A56)=0,"",IFERROR(VLOOKUP(需打标签!A:A,标签details!A:B,2,0),需打标签!A57&amp;"无对应标签"))</f>
        <v/>
      </c>
    </row>
    <row r="57" spans="1:1" ht="112" customHeight="1" x14ac:dyDescent="0.25">
      <c r="A57" s="9" t="str">
        <f>IF(LEN(需打标签!A57)=0,"",IFERROR(VLOOKUP(需打标签!A:A,标签details!A:B,2,0),需打标签!A58&amp;"无对应标签"))</f>
        <v/>
      </c>
    </row>
    <row r="58" spans="1:1" ht="112" customHeight="1" x14ac:dyDescent="0.25">
      <c r="A58" s="9" t="str">
        <f>IF(LEN(需打标签!A58)=0,"",IFERROR(VLOOKUP(需打标签!A:A,标签details!A:B,2,0),需打标签!A59&amp;"无对应标签"))</f>
        <v/>
      </c>
    </row>
    <row r="59" spans="1:1" ht="112" customHeight="1" x14ac:dyDescent="0.25">
      <c r="A59" s="9" t="str">
        <f>IF(LEN(需打标签!A59)=0,"",IFERROR(VLOOKUP(需打标签!A:A,标签details!A:B,2,0),需打标签!A60&amp;"无对应标签"))</f>
        <v/>
      </c>
    </row>
    <row r="60" spans="1:1" ht="112" customHeight="1" x14ac:dyDescent="0.25">
      <c r="A60" s="9" t="str">
        <f>IF(LEN(需打标签!A60)=0,"",IFERROR(VLOOKUP(需打标签!A:A,标签details!A:B,2,0),需打标签!A61&amp;"无对应标签"))</f>
        <v/>
      </c>
    </row>
    <row r="61" spans="1:1" ht="112" customHeight="1" x14ac:dyDescent="0.25">
      <c r="A61" s="9" t="str">
        <f>IF(LEN(需打标签!A61)=0,"",IFERROR(VLOOKUP(需打标签!A:A,标签details!A:B,2,0),需打标签!A62&amp;"无对应标签"))</f>
        <v/>
      </c>
    </row>
    <row r="62" spans="1:1" ht="112" customHeight="1" x14ac:dyDescent="0.25">
      <c r="A62" s="9" t="str">
        <f>IF(LEN(需打标签!A62)=0,"",IFERROR(VLOOKUP(需打标签!A:A,标签details!A:B,2,0),需打标签!A63&amp;"无对应标签"))</f>
        <v/>
      </c>
    </row>
    <row r="63" spans="1:1" ht="112" customHeight="1" x14ac:dyDescent="0.25">
      <c r="A63" s="9" t="str">
        <f>IF(LEN(需打标签!A63)=0,"",IFERROR(VLOOKUP(需打标签!A:A,标签details!A:B,2,0),需打标签!A64&amp;"无对应标签"))</f>
        <v/>
      </c>
    </row>
    <row r="64" spans="1:1" ht="112" customHeight="1" x14ac:dyDescent="0.25">
      <c r="A64" s="9" t="str">
        <f>IF(LEN(需打标签!A64)=0,"",IFERROR(VLOOKUP(需打标签!A:A,标签details!A:B,2,0),需打标签!A65&amp;"无对应标签"))</f>
        <v/>
      </c>
    </row>
    <row r="65" spans="1:1" ht="112" customHeight="1" x14ac:dyDescent="0.25">
      <c r="A65" s="9" t="str">
        <f>IF(LEN(需打标签!A65)=0,"",IFERROR(VLOOKUP(需打标签!A:A,标签details!A:B,2,0),需打标签!A66&amp;"无对应标签"))</f>
        <v/>
      </c>
    </row>
    <row r="66" spans="1:1" ht="112" customHeight="1" x14ac:dyDescent="0.25">
      <c r="A66" s="9" t="str">
        <f>IF(LEN(需打标签!A66)=0,"",IFERROR(VLOOKUP(需打标签!A:A,标签details!A:B,2,0),需打标签!A67&amp;"无对应标签"))</f>
        <v/>
      </c>
    </row>
    <row r="67" spans="1:1" ht="112" customHeight="1" x14ac:dyDescent="0.25">
      <c r="A67" s="9" t="str">
        <f>IF(LEN(需打标签!A67)=0,"",IFERROR(VLOOKUP(需打标签!A:A,标签details!A:B,2,0),需打标签!A68&amp;"无对应标签"))</f>
        <v/>
      </c>
    </row>
    <row r="68" spans="1:1" ht="112" customHeight="1" x14ac:dyDescent="0.25">
      <c r="A68" s="9" t="str">
        <f>IF(LEN(需打标签!A68)=0,"",IFERROR(VLOOKUP(需打标签!A:A,标签details!A:B,2,0),需打标签!A69&amp;"无对应标签"))</f>
        <v/>
      </c>
    </row>
    <row r="69" spans="1:1" ht="112" customHeight="1" x14ac:dyDescent="0.25">
      <c r="A69" s="9" t="str">
        <f>IF(LEN(需打标签!A69)=0,"",IFERROR(VLOOKUP(需打标签!A:A,标签details!A:B,2,0),需打标签!A70&amp;"无对应标签"))</f>
        <v/>
      </c>
    </row>
    <row r="70" spans="1:1" ht="112" customHeight="1" x14ac:dyDescent="0.25">
      <c r="A70" s="9" t="str">
        <f>IF(LEN(需打标签!A70)=0,"",IFERROR(VLOOKUP(需打标签!A:A,标签details!A:B,2,0),需打标签!A71&amp;"无对应标签"))</f>
        <v/>
      </c>
    </row>
    <row r="71" spans="1:1" ht="112" customHeight="1" x14ac:dyDescent="0.25">
      <c r="A71" s="9" t="str">
        <f>IF(LEN(需打标签!A71)=0,"",IFERROR(VLOOKUP(需打标签!A:A,标签details!A:B,2,0),需打标签!A72&amp;"无对应标签"))</f>
        <v/>
      </c>
    </row>
    <row r="72" spans="1:1" ht="112" customHeight="1" x14ac:dyDescent="0.25">
      <c r="A72" s="9" t="str">
        <f>IF(LEN(需打标签!A72)=0,"",IFERROR(VLOOKUP(需打标签!A:A,标签details!A:B,2,0),需打标签!A73&amp;"无对应标签"))</f>
        <v/>
      </c>
    </row>
    <row r="73" spans="1:1" ht="112" customHeight="1" x14ac:dyDescent="0.25">
      <c r="A73" s="9" t="str">
        <f>IF(LEN(需打标签!A73)=0,"",IFERROR(VLOOKUP(需打标签!A:A,标签details!A:B,2,0),需打标签!A74&amp;"无对应标签"))</f>
        <v/>
      </c>
    </row>
    <row r="74" spans="1:1" ht="112" customHeight="1" x14ac:dyDescent="0.25">
      <c r="A74" s="9" t="str">
        <f>IF(LEN(需打标签!A74)=0,"",IFERROR(VLOOKUP(需打标签!A:A,标签details!A:B,2,0),需打标签!A75&amp;"无对应标签"))</f>
        <v/>
      </c>
    </row>
    <row r="75" spans="1:1" ht="112" customHeight="1" x14ac:dyDescent="0.25">
      <c r="A75" s="9" t="str">
        <f>IF(LEN(需打标签!A75)=0,"",IFERROR(VLOOKUP(需打标签!A:A,标签details!A:B,2,0),需打标签!A76&amp;"无对应标签"))</f>
        <v/>
      </c>
    </row>
    <row r="76" spans="1:1" ht="112" customHeight="1" x14ac:dyDescent="0.25">
      <c r="A76" s="9" t="str">
        <f>IF(LEN(需打标签!A76)=0,"",IFERROR(VLOOKUP(需打标签!A:A,标签details!A:B,2,0),需打标签!A77&amp;"无对应标签"))</f>
        <v/>
      </c>
    </row>
    <row r="77" spans="1:1" ht="112" customHeight="1" x14ac:dyDescent="0.25">
      <c r="A77" s="9" t="str">
        <f>IF(LEN(需打标签!A77)=0,"",IFERROR(VLOOKUP(需打标签!A:A,标签details!A:B,2,0),需打标签!A78&amp;"无对应标签"))</f>
        <v/>
      </c>
    </row>
    <row r="78" spans="1:1" ht="112" customHeight="1" x14ac:dyDescent="0.25">
      <c r="A78" s="9" t="str">
        <f>IF(LEN(需打标签!A78)=0,"",IFERROR(VLOOKUP(需打标签!A:A,标签details!A:B,2,0),需打标签!A79&amp;"无对应标签"))</f>
        <v/>
      </c>
    </row>
    <row r="79" spans="1:1" ht="112" customHeight="1" x14ac:dyDescent="0.25">
      <c r="A79" s="9" t="str">
        <f>IF(LEN(需打标签!A79)=0,"",IFERROR(VLOOKUP(需打标签!A:A,标签details!A:B,2,0),需打标签!A80&amp;"无对应标签"))</f>
        <v/>
      </c>
    </row>
    <row r="80" spans="1:1" ht="112" customHeight="1" x14ac:dyDescent="0.25">
      <c r="A80" s="9" t="str">
        <f>IF(LEN(需打标签!A80)=0,"",IFERROR(VLOOKUP(需打标签!A:A,标签details!A:B,2,0),需打标签!A81&amp;"无对应标签"))</f>
        <v/>
      </c>
    </row>
    <row r="81" spans="1:1" ht="112" customHeight="1" x14ac:dyDescent="0.25">
      <c r="A81" s="9" t="str">
        <f>IF(LEN(需打标签!A81)=0,"",IFERROR(VLOOKUP(需打标签!A:A,标签details!A:B,2,0),需打标签!A82&amp;"无对应标签"))</f>
        <v/>
      </c>
    </row>
    <row r="82" spans="1:1" ht="112" customHeight="1" x14ac:dyDescent="0.25">
      <c r="A82" s="9" t="str">
        <f>IF(LEN(需打标签!A82)=0,"",IFERROR(VLOOKUP(需打标签!A:A,标签details!A:B,2,0),需打标签!A83&amp;"无对应标签"))</f>
        <v/>
      </c>
    </row>
    <row r="83" spans="1:1" ht="112" customHeight="1" x14ac:dyDescent="0.25">
      <c r="A83" s="9" t="str">
        <f>IF(LEN(需打标签!A83)=0,"",IFERROR(VLOOKUP(需打标签!A:A,标签details!A:B,2,0),需打标签!A84&amp;"无对应标签"))</f>
        <v/>
      </c>
    </row>
    <row r="84" spans="1:1" ht="112" customHeight="1" x14ac:dyDescent="0.25">
      <c r="A84" s="9" t="str">
        <f>IF(LEN(需打标签!A84)=0,"",IFERROR(VLOOKUP(需打标签!A:A,标签details!A:B,2,0),需打标签!A85&amp;"无对应标签"))</f>
        <v/>
      </c>
    </row>
    <row r="85" spans="1:1" ht="112" customHeight="1" x14ac:dyDescent="0.25">
      <c r="A85" s="9" t="str">
        <f>IF(LEN(需打标签!A85)=0,"",IFERROR(VLOOKUP(需打标签!A:A,标签details!A:B,2,0),需打标签!A86&amp;"无对应标签"))</f>
        <v/>
      </c>
    </row>
    <row r="86" spans="1:1" ht="112" customHeight="1" x14ac:dyDescent="0.25">
      <c r="A86" s="9" t="str">
        <f>IF(LEN(需打标签!A86)=0,"",IFERROR(VLOOKUP(需打标签!A:A,标签details!A:B,2,0),需打标签!A87&amp;"无对应标签"))</f>
        <v/>
      </c>
    </row>
    <row r="87" spans="1:1" ht="112" customHeight="1" x14ac:dyDescent="0.25">
      <c r="A87" s="9" t="str">
        <f>IF(LEN(需打标签!A87)=0,"",IFERROR(VLOOKUP(需打标签!A:A,标签details!A:B,2,0),需打标签!A88&amp;"无对应标签"))</f>
        <v/>
      </c>
    </row>
    <row r="88" spans="1:1" ht="112" customHeight="1" x14ac:dyDescent="0.25">
      <c r="A88" s="9" t="str">
        <f>IF(LEN(需打标签!A88)=0,"",IFERROR(VLOOKUP(需打标签!A:A,标签details!A:B,2,0),需打标签!A89&amp;"无对应标签"))</f>
        <v/>
      </c>
    </row>
    <row r="89" spans="1:1" ht="112" customHeight="1" x14ac:dyDescent="0.25">
      <c r="A89" s="9" t="str">
        <f>IF(LEN(需打标签!A89)=0,"",IFERROR(VLOOKUP(需打标签!A:A,标签details!A:B,2,0),需打标签!A90&amp;"无对应标签"))</f>
        <v/>
      </c>
    </row>
    <row r="90" spans="1:1" ht="112" customHeight="1" x14ac:dyDescent="0.25">
      <c r="A90" s="9" t="str">
        <f>IF(LEN(需打标签!A90)=0,"",IFERROR(VLOOKUP(需打标签!A:A,标签details!A:B,2,0),需打标签!A91&amp;"无对应标签"))</f>
        <v/>
      </c>
    </row>
    <row r="91" spans="1:1" ht="112" customHeight="1" x14ac:dyDescent="0.25">
      <c r="A91" s="9" t="str">
        <f>IF(LEN(需打标签!A91)=0,"",IFERROR(VLOOKUP(需打标签!A:A,标签details!A:B,2,0),需打标签!A92&amp;"无对应标签"))</f>
        <v/>
      </c>
    </row>
    <row r="92" spans="1:1" ht="112" customHeight="1" x14ac:dyDescent="0.25">
      <c r="A92" s="9" t="str">
        <f>IF(LEN(需打标签!A92)=0,"",IFERROR(VLOOKUP(需打标签!A:A,标签details!A:B,2,0),需打标签!A93&amp;"无对应标签"))</f>
        <v/>
      </c>
    </row>
    <row r="93" spans="1:1" ht="112" customHeight="1" x14ac:dyDescent="0.25">
      <c r="A93" s="9" t="str">
        <f>IF(LEN(需打标签!A93)=0,"",IFERROR(VLOOKUP(需打标签!A:A,标签details!A:B,2,0),需打标签!A94&amp;"无对应标签"))</f>
        <v/>
      </c>
    </row>
    <row r="94" spans="1:1" ht="112" customHeight="1" x14ac:dyDescent="0.25">
      <c r="A94" s="9" t="str">
        <f>IF(LEN(需打标签!A94)=0,"",IFERROR(VLOOKUP(需打标签!A:A,标签details!A:B,2,0),需打标签!A95&amp;"无对应标签"))</f>
        <v/>
      </c>
    </row>
    <row r="95" spans="1:1" ht="112" customHeight="1" x14ac:dyDescent="0.25">
      <c r="A95" s="9" t="str">
        <f>IF(LEN(需打标签!A95)=0,"",IFERROR(VLOOKUP(需打标签!A:A,标签details!A:B,2,0),需打标签!A96&amp;"无对应标签"))</f>
        <v/>
      </c>
    </row>
    <row r="96" spans="1:1" ht="112" customHeight="1" x14ac:dyDescent="0.25">
      <c r="A96" s="9" t="str">
        <f>IF(LEN(需打标签!A96)=0,"",IFERROR(VLOOKUP(需打标签!A:A,标签details!A:B,2,0),需打标签!A97&amp;"无对应标签"))</f>
        <v/>
      </c>
    </row>
    <row r="97" spans="1:1" ht="112" customHeight="1" x14ac:dyDescent="0.25">
      <c r="A97" s="9" t="str">
        <f>IF(LEN(需打标签!A97)=0,"",IFERROR(VLOOKUP(需打标签!A:A,标签details!A:B,2,0),需打标签!A98&amp;"无对应标签"))</f>
        <v/>
      </c>
    </row>
    <row r="98" spans="1:1" ht="112" customHeight="1" x14ac:dyDescent="0.25">
      <c r="A98" s="9" t="str">
        <f>IF(LEN(需打标签!A98)=0,"",IFERROR(VLOOKUP(需打标签!A:A,标签details!A:B,2,0),需打标签!A99&amp;"无对应标签"))</f>
        <v/>
      </c>
    </row>
    <row r="99" spans="1:1" ht="112" customHeight="1" x14ac:dyDescent="0.25">
      <c r="A99" s="9" t="str">
        <f>IF(LEN(需打标签!A99)=0,"",IFERROR(VLOOKUP(需打标签!A:A,标签details!A:B,2,0),需打标签!A100&amp;"无对应标签"))</f>
        <v/>
      </c>
    </row>
    <row r="100" spans="1:1" ht="112" customHeight="1" x14ac:dyDescent="0.25">
      <c r="A100" s="9" t="str">
        <f>IF(LEN(需打标签!A100)=0,"",IFERROR(VLOOKUP(需打标签!A:A,标签details!A:B,2,0),需打标签!A101&amp;"无对应标签"))</f>
        <v/>
      </c>
    </row>
    <row r="101" spans="1:1" ht="112" customHeight="1" x14ac:dyDescent="0.25">
      <c r="A101" s="9" t="str">
        <f>IF(LEN(需打标签!A101)=0,"",IFERROR(VLOOKUP(需打标签!A:A,标签details!A:B,2,0),需打标签!A102&amp;"无对应标签"))</f>
        <v/>
      </c>
    </row>
    <row r="102" spans="1:1" ht="112" customHeight="1" x14ac:dyDescent="0.25">
      <c r="A102" s="9" t="str">
        <f>IF(LEN(需打标签!A102)=0,"",IFERROR(VLOOKUP(需打标签!A:A,标签details!A:B,2,0),需打标签!A103&amp;"无对应标签"))</f>
        <v/>
      </c>
    </row>
    <row r="103" spans="1:1" ht="112" customHeight="1" x14ac:dyDescent="0.25">
      <c r="A103" s="9" t="str">
        <f>IF(LEN(需打标签!A103)=0,"",IFERROR(VLOOKUP(需打标签!A:A,标签details!A:B,2,0),需打标签!A104&amp;"无对应标签"))</f>
        <v/>
      </c>
    </row>
    <row r="104" spans="1:1" ht="112" customHeight="1" x14ac:dyDescent="0.25">
      <c r="A104" s="9" t="str">
        <f>IF(LEN(需打标签!A104)=0,"",IFERROR(VLOOKUP(需打标签!A:A,标签details!A:B,2,0),需打标签!A105&amp;"无对应标签"))</f>
        <v/>
      </c>
    </row>
    <row r="105" spans="1:1" ht="112" customHeight="1" x14ac:dyDescent="0.25">
      <c r="A105" s="9" t="str">
        <f>IF(LEN(需打标签!A105)=0,"",IFERROR(VLOOKUP(需打标签!A:A,标签details!A:B,2,0),需打标签!A106&amp;"无对应标签"))</f>
        <v/>
      </c>
    </row>
    <row r="106" spans="1:1" ht="112" customHeight="1" x14ac:dyDescent="0.25">
      <c r="A106" s="9" t="str">
        <f>IF(LEN(需打标签!A106)=0,"",IFERROR(VLOOKUP(需打标签!A:A,标签details!A:B,2,0),需打标签!A107&amp;"无对应标签"))</f>
        <v/>
      </c>
    </row>
    <row r="107" spans="1:1" ht="112" customHeight="1" x14ac:dyDescent="0.25">
      <c r="A107" s="9" t="str">
        <f>IF(LEN(需打标签!A107)=0,"",IFERROR(VLOOKUP(需打标签!A:A,标签details!A:B,2,0),需打标签!A108&amp;"无对应标签"))</f>
        <v/>
      </c>
    </row>
    <row r="108" spans="1:1" ht="112" customHeight="1" x14ac:dyDescent="0.25">
      <c r="A108" s="9" t="str">
        <f>IF(LEN(需打标签!A108)=0,"",IFERROR(VLOOKUP(需打标签!A:A,标签details!A:B,2,0),需打标签!A109&amp;"无对应标签"))</f>
        <v/>
      </c>
    </row>
    <row r="109" spans="1:1" ht="112" customHeight="1" x14ac:dyDescent="0.25">
      <c r="A109" s="9" t="str">
        <f>IF(LEN(需打标签!A109)=0,"",IFERROR(VLOOKUP(需打标签!A:A,标签details!A:B,2,0),需打标签!A110&amp;"无对应标签"))</f>
        <v/>
      </c>
    </row>
    <row r="110" spans="1:1" ht="112" customHeight="1" x14ac:dyDescent="0.25">
      <c r="A110" s="9" t="str">
        <f>IF(LEN(需打标签!A110)=0,"",IFERROR(VLOOKUP(需打标签!A:A,标签details!A:B,2,0),需打标签!A111&amp;"无对应标签"))</f>
        <v/>
      </c>
    </row>
    <row r="111" spans="1:1" ht="112" customHeight="1" x14ac:dyDescent="0.25">
      <c r="A111" s="9" t="str">
        <f>IF(LEN(需打标签!A111)=0,"",IFERROR(VLOOKUP(需打标签!A:A,标签details!A:B,2,0),需打标签!A112&amp;"无对应标签"))</f>
        <v/>
      </c>
    </row>
    <row r="112" spans="1:1" ht="112" customHeight="1" x14ac:dyDescent="0.25">
      <c r="A112" s="9" t="str">
        <f>IF(LEN(需打标签!A112)=0,"",IFERROR(VLOOKUP(需打标签!A:A,标签details!A:B,2,0),需打标签!A113&amp;"无对应标签"))</f>
        <v/>
      </c>
    </row>
    <row r="113" spans="1:1" ht="112" customHeight="1" x14ac:dyDescent="0.25">
      <c r="A113" s="9" t="str">
        <f>IF(LEN(需打标签!A113)=0,"",IFERROR(VLOOKUP(需打标签!A:A,标签details!A:B,2,0),需打标签!A114&amp;"无对应标签"))</f>
        <v/>
      </c>
    </row>
    <row r="114" spans="1:1" ht="112" customHeight="1" x14ac:dyDescent="0.25">
      <c r="A114" s="9" t="str">
        <f>IF(LEN(需打标签!A114)=0,"",IFERROR(VLOOKUP(需打标签!A:A,标签details!A:B,2,0),需打标签!A115&amp;"无对应标签"))</f>
        <v/>
      </c>
    </row>
    <row r="115" spans="1:1" ht="112" customHeight="1" x14ac:dyDescent="0.25">
      <c r="A115" s="9" t="str">
        <f>IF(LEN(需打标签!A115)=0,"",IFERROR(VLOOKUP(需打标签!A:A,标签details!A:B,2,0),需打标签!A116&amp;"无对应标签"))</f>
        <v/>
      </c>
    </row>
    <row r="116" spans="1:1" ht="112" customHeight="1" x14ac:dyDescent="0.25">
      <c r="A116" s="9" t="str">
        <f>IF(LEN(需打标签!A116)=0,"",IFERROR(VLOOKUP(需打标签!A:A,标签details!A:B,2,0),需打标签!A117&amp;"无对应标签"))</f>
        <v/>
      </c>
    </row>
    <row r="117" spans="1:1" ht="112" customHeight="1" x14ac:dyDescent="0.25">
      <c r="A117" s="9" t="str">
        <f>IF(LEN(需打标签!A117)=0,"",IFERROR(VLOOKUP(需打标签!A:A,标签details!A:B,2,0),需打标签!A118&amp;"无对应标签"))</f>
        <v/>
      </c>
    </row>
    <row r="118" spans="1:1" ht="112" customHeight="1" x14ac:dyDescent="0.25">
      <c r="A118" s="9" t="str">
        <f>IF(LEN(需打标签!A118)=0,"",IFERROR(VLOOKUP(需打标签!A:A,标签details!A:B,2,0),需打标签!A119&amp;"无对应标签"))</f>
        <v/>
      </c>
    </row>
    <row r="119" spans="1:1" ht="112" customHeight="1" x14ac:dyDescent="0.25">
      <c r="A119" s="9" t="str">
        <f>IF(LEN(需打标签!A119)=0,"",IFERROR(VLOOKUP(需打标签!A:A,标签details!A:B,2,0),需打标签!A120&amp;"无对应标签"))</f>
        <v/>
      </c>
    </row>
    <row r="120" spans="1:1" ht="112" customHeight="1" x14ac:dyDescent="0.25">
      <c r="A120" s="9" t="str">
        <f>IF(LEN(需打标签!A120)=0,"",IFERROR(VLOOKUP(需打标签!A:A,标签details!A:B,2,0),需打标签!A121&amp;"无对应标签"))</f>
        <v/>
      </c>
    </row>
    <row r="121" spans="1:1" ht="112" customHeight="1" x14ac:dyDescent="0.25">
      <c r="A121" s="9" t="str">
        <f>IF(LEN(需打标签!A121)=0,"",IFERROR(VLOOKUP(需打标签!A:A,标签details!A:B,2,0),需打标签!A122&amp;"无对应标签"))</f>
        <v/>
      </c>
    </row>
    <row r="122" spans="1:1" ht="112" customHeight="1" x14ac:dyDescent="0.25">
      <c r="A122" s="9" t="str">
        <f>IF(LEN(需打标签!A122)=0,"",IFERROR(VLOOKUP(需打标签!A:A,标签details!A:B,2,0),需打标签!A123&amp;"无对应标签"))</f>
        <v/>
      </c>
    </row>
    <row r="123" spans="1:1" ht="112" customHeight="1" x14ac:dyDescent="0.25">
      <c r="A123" s="9" t="str">
        <f>IF(LEN(需打标签!A123)=0,"",IFERROR(VLOOKUP(需打标签!A:A,标签details!A:B,2,0),需打标签!A124&amp;"无对应标签"))</f>
        <v/>
      </c>
    </row>
    <row r="124" spans="1:1" ht="112" customHeight="1" x14ac:dyDescent="0.25">
      <c r="A124" s="9" t="str">
        <f>IF(LEN(需打标签!A124)=0,"",IFERROR(VLOOKUP(需打标签!A:A,标签details!A:B,2,0),需打标签!A125&amp;"无对应标签"))</f>
        <v/>
      </c>
    </row>
    <row r="125" spans="1:1" ht="112" customHeight="1" x14ac:dyDescent="0.25">
      <c r="A125" s="9" t="str">
        <f>IF(LEN(需打标签!A125)=0,"",IFERROR(VLOOKUP(需打标签!A:A,标签details!A:B,2,0),需打标签!A126&amp;"无对应标签"))</f>
        <v/>
      </c>
    </row>
    <row r="126" spans="1:1" ht="112" customHeight="1" x14ac:dyDescent="0.25">
      <c r="A126" s="9" t="str">
        <f>IF(LEN(需打标签!A126)=0,"",IFERROR(VLOOKUP(需打标签!A:A,标签details!A:B,2,0),需打标签!A127&amp;"无对应标签"))</f>
        <v/>
      </c>
    </row>
    <row r="127" spans="1:1" ht="112" customHeight="1" x14ac:dyDescent="0.25">
      <c r="A127" s="9" t="str">
        <f>IF(LEN(需打标签!A127)=0,"",IFERROR(VLOOKUP(需打标签!A:A,标签details!A:B,2,0),需打标签!A128&amp;"无对应标签"))</f>
        <v/>
      </c>
    </row>
    <row r="128" spans="1:1" ht="112" customHeight="1" x14ac:dyDescent="0.25">
      <c r="A128" s="9" t="str">
        <f>IF(LEN(需打标签!A128)=0,"",IFERROR(VLOOKUP(需打标签!A:A,标签details!A:B,2,0),需打标签!A129&amp;"无对应标签"))</f>
        <v/>
      </c>
    </row>
    <row r="129" spans="1:1" ht="112" customHeight="1" x14ac:dyDescent="0.25">
      <c r="A129" s="9" t="str">
        <f>IF(LEN(需打标签!A129)=0,"",IFERROR(VLOOKUP(需打标签!A:A,标签details!A:B,2,0),需打标签!A130&amp;"无对应标签"))</f>
        <v/>
      </c>
    </row>
    <row r="130" spans="1:1" ht="112" customHeight="1" x14ac:dyDescent="0.25">
      <c r="A130" s="9" t="str">
        <f>IF(LEN(需打标签!A130)=0,"",IFERROR(VLOOKUP(需打标签!A:A,标签details!A:B,2,0),需打标签!A131&amp;"无对应标签"))</f>
        <v/>
      </c>
    </row>
    <row r="131" spans="1:1" ht="112" customHeight="1" x14ac:dyDescent="0.25">
      <c r="A131" s="9" t="str">
        <f>IF(LEN(需打标签!A131)=0,"",IFERROR(VLOOKUP(需打标签!A:A,标签details!A:B,2,0),需打标签!A132&amp;"无对应标签"))</f>
        <v/>
      </c>
    </row>
    <row r="132" spans="1:1" ht="112" customHeight="1" x14ac:dyDescent="0.25">
      <c r="A132" s="9" t="str">
        <f>IF(LEN(需打标签!A132)=0,"",IFERROR(VLOOKUP(需打标签!A:A,标签details!A:B,2,0),需打标签!A133&amp;"无对应标签"))</f>
        <v/>
      </c>
    </row>
    <row r="133" spans="1:1" ht="112" customHeight="1" x14ac:dyDescent="0.25">
      <c r="A133" s="9" t="str">
        <f>IF(LEN(需打标签!A133)=0,"",IFERROR(VLOOKUP(需打标签!A:A,标签details!A:B,2,0),需打标签!A134&amp;"无对应标签"))</f>
        <v/>
      </c>
    </row>
    <row r="134" spans="1:1" ht="112" customHeight="1" x14ac:dyDescent="0.25">
      <c r="A134" s="9" t="str">
        <f>IF(LEN(需打标签!A134)=0,"",IFERROR(VLOOKUP(需打标签!A:A,标签details!A:B,2,0),需打标签!A135&amp;"无对应标签"))</f>
        <v/>
      </c>
    </row>
    <row r="135" spans="1:1" ht="112" customHeight="1" x14ac:dyDescent="0.25">
      <c r="A135" s="9" t="str">
        <f>IF(LEN(需打标签!A135)=0,"",IFERROR(VLOOKUP(需打标签!A:A,标签details!A:B,2,0),需打标签!A136&amp;"无对应标签"))</f>
        <v/>
      </c>
    </row>
    <row r="136" spans="1:1" ht="112" customHeight="1" x14ac:dyDescent="0.25">
      <c r="A136" s="9" t="str">
        <f>IF(LEN(需打标签!A136)=0,"",IFERROR(VLOOKUP(需打标签!A:A,标签details!A:B,2,0),需打标签!A137&amp;"无对应标签"))</f>
        <v/>
      </c>
    </row>
    <row r="137" spans="1:1" ht="112" customHeight="1" x14ac:dyDescent="0.25">
      <c r="A137" s="9" t="str">
        <f>IF(LEN(需打标签!A137)=0,"",IFERROR(VLOOKUP(需打标签!A:A,标签details!A:B,2,0),需打标签!A138&amp;"无对应标签"))</f>
        <v/>
      </c>
    </row>
    <row r="138" spans="1:1" ht="112" customHeight="1" x14ac:dyDescent="0.25">
      <c r="A138" s="9" t="str">
        <f>IF(LEN(需打标签!A138)=0,"",IFERROR(VLOOKUP(需打标签!A:A,标签details!A:B,2,0),需打标签!A139&amp;"无对应标签"))</f>
        <v/>
      </c>
    </row>
    <row r="139" spans="1:1" ht="112" customHeight="1" x14ac:dyDescent="0.25">
      <c r="A139" s="9" t="str">
        <f>IF(LEN(需打标签!A139)=0,"",IFERROR(VLOOKUP(需打标签!A:A,标签details!A:B,2,0),需打标签!A140&amp;"无对应标签"))</f>
        <v/>
      </c>
    </row>
    <row r="140" spans="1:1" ht="112" customHeight="1" x14ac:dyDescent="0.25">
      <c r="A140" s="9" t="str">
        <f>IF(LEN(需打标签!A140)=0,"",IFERROR(VLOOKUP(需打标签!A:A,标签details!A:B,2,0),需打标签!A141&amp;"无对应标签"))</f>
        <v/>
      </c>
    </row>
    <row r="141" spans="1:1" ht="112" customHeight="1" x14ac:dyDescent="0.25">
      <c r="A141" s="9" t="str">
        <f>IF(LEN(需打标签!A141)=0,"",IFERROR(VLOOKUP(需打标签!A:A,标签details!A:B,2,0),需打标签!A142&amp;"无对应标签"))</f>
        <v/>
      </c>
    </row>
    <row r="142" spans="1:1" ht="112" customHeight="1" x14ac:dyDescent="0.25">
      <c r="A142" s="9" t="str">
        <f>IF(LEN(需打标签!A142)=0,"",IFERROR(VLOOKUP(需打标签!A:A,标签details!A:B,2,0),需打标签!A143&amp;"无对应标签"))</f>
        <v/>
      </c>
    </row>
    <row r="143" spans="1:1" ht="112" customHeight="1" x14ac:dyDescent="0.25">
      <c r="A143" s="9" t="str">
        <f>IF(LEN(需打标签!A143)=0,"",IFERROR(VLOOKUP(需打标签!A:A,标签details!A:B,2,0),需打标签!A144&amp;"无对应标签"))</f>
        <v/>
      </c>
    </row>
    <row r="144" spans="1:1" ht="112" customHeight="1" x14ac:dyDescent="0.25">
      <c r="A144" s="9" t="str">
        <f>IF(LEN(需打标签!A144)=0,"",IFERROR(VLOOKUP(需打标签!A:A,标签details!A:B,2,0),需打标签!A145&amp;"无对应标签"))</f>
        <v/>
      </c>
    </row>
    <row r="145" spans="1:1" ht="112" customHeight="1" x14ac:dyDescent="0.25">
      <c r="A145" s="9" t="str">
        <f>IF(LEN(需打标签!A145)=0,"",IFERROR(VLOOKUP(需打标签!A:A,标签details!A:B,2,0),需打标签!A146&amp;"无对应标签"))</f>
        <v/>
      </c>
    </row>
    <row r="146" spans="1:1" ht="112" customHeight="1" x14ac:dyDescent="0.25">
      <c r="A146" s="9" t="str">
        <f>IF(LEN(需打标签!A146)=0,"",IFERROR(VLOOKUP(需打标签!A:A,标签details!A:B,2,0),需打标签!A147&amp;"无对应标签"))</f>
        <v/>
      </c>
    </row>
    <row r="147" spans="1:1" ht="112" customHeight="1" x14ac:dyDescent="0.25">
      <c r="A147" s="9" t="str">
        <f>IF(LEN(需打标签!A147)=0,"",IFERROR(VLOOKUP(需打标签!A:A,标签details!A:B,2,0),需打标签!A148&amp;"无对应标签"))</f>
        <v/>
      </c>
    </row>
    <row r="148" spans="1:1" ht="112" customHeight="1" x14ac:dyDescent="0.25">
      <c r="A148" s="9" t="str">
        <f>IF(LEN(需打标签!A148)=0,"",IFERROR(VLOOKUP(需打标签!A:A,标签details!A:B,2,0),需打标签!A149&amp;"无对应标签"))</f>
        <v/>
      </c>
    </row>
    <row r="149" spans="1:1" ht="112" customHeight="1" x14ac:dyDescent="0.25">
      <c r="A149" s="9" t="str">
        <f>IF(LEN(需打标签!A149)=0,"",IFERROR(VLOOKUP(需打标签!A:A,标签details!A:B,2,0),需打标签!A150&amp;"无对应标签"))</f>
        <v/>
      </c>
    </row>
    <row r="150" spans="1:1" ht="112" customHeight="1" x14ac:dyDescent="0.25">
      <c r="A150" s="9" t="str">
        <f>IF(LEN(需打标签!A150)=0,"",IFERROR(VLOOKUP(需打标签!A:A,标签details!A:B,2,0),需打标签!A151&amp;"无对应标签"))</f>
        <v/>
      </c>
    </row>
    <row r="151" spans="1:1" ht="112" customHeight="1" x14ac:dyDescent="0.25">
      <c r="A151" s="9" t="str">
        <f>IF(LEN(需打标签!A151)=0,"",IFERROR(VLOOKUP(需打标签!A:A,标签details!A:B,2,0),需打标签!A152&amp;"无对应标签"))</f>
        <v/>
      </c>
    </row>
    <row r="152" spans="1:1" ht="112" customHeight="1" x14ac:dyDescent="0.25">
      <c r="A152" s="9" t="str">
        <f>IF(LEN(需打标签!A152)=0,"",IFERROR(VLOOKUP(需打标签!A:A,标签details!A:B,2,0),需打标签!A153&amp;"无对应标签"))</f>
        <v/>
      </c>
    </row>
    <row r="153" spans="1:1" ht="112" customHeight="1" x14ac:dyDescent="0.25">
      <c r="A153" s="9" t="str">
        <f>IF(LEN(需打标签!A153)=0,"",IFERROR(VLOOKUP(需打标签!A:A,标签details!A:B,2,0),需打标签!A154&amp;"无对应标签"))</f>
        <v/>
      </c>
    </row>
    <row r="154" spans="1:1" ht="112" customHeight="1" x14ac:dyDescent="0.25">
      <c r="A154" s="9" t="str">
        <f>IF(LEN(需打标签!A154)=0,"",IFERROR(VLOOKUP(需打标签!A:A,标签details!A:B,2,0),需打标签!A155&amp;"无对应标签"))</f>
        <v/>
      </c>
    </row>
    <row r="155" spans="1:1" ht="112" customHeight="1" x14ac:dyDescent="0.25">
      <c r="A155" s="9" t="str">
        <f>IF(LEN(需打标签!A155)=0,"",IFERROR(VLOOKUP(需打标签!A:A,标签details!A:B,2,0),需打标签!A156&amp;"无对应标签"))</f>
        <v/>
      </c>
    </row>
    <row r="156" spans="1:1" ht="112" customHeight="1" x14ac:dyDescent="0.25">
      <c r="A156" s="9" t="str">
        <f>IF(LEN(需打标签!A156)=0,"",IFERROR(VLOOKUP(需打标签!A:A,标签details!A:B,2,0),需打标签!A157&amp;"无对应标签"))</f>
        <v/>
      </c>
    </row>
    <row r="157" spans="1:1" ht="112" customHeight="1" x14ac:dyDescent="0.25">
      <c r="A157" s="9" t="str">
        <f>IF(LEN(需打标签!A157)=0,"",IFERROR(VLOOKUP(需打标签!A:A,标签details!A:B,2,0),需打标签!A158&amp;"无对应标签"))</f>
        <v/>
      </c>
    </row>
    <row r="158" spans="1:1" ht="112" customHeight="1" x14ac:dyDescent="0.25">
      <c r="A158" s="9" t="str">
        <f>IF(LEN(需打标签!A158)=0,"",IFERROR(VLOOKUP(需打标签!A:A,标签details!A:B,2,0),需打标签!A159&amp;"无对应标签"))</f>
        <v/>
      </c>
    </row>
    <row r="159" spans="1:1" ht="112" customHeight="1" x14ac:dyDescent="0.25">
      <c r="A159" s="9" t="str">
        <f>IF(LEN(需打标签!A159)=0,"",IFERROR(VLOOKUP(需打标签!A:A,标签details!A:B,2,0),需打标签!A160&amp;"无对应标签"))</f>
        <v/>
      </c>
    </row>
    <row r="160" spans="1:1" ht="112" customHeight="1" x14ac:dyDescent="0.25">
      <c r="A160" s="9" t="str">
        <f>IF(LEN(需打标签!A160)=0,"",IFERROR(VLOOKUP(需打标签!A:A,标签details!A:B,2,0),需打标签!A161&amp;"无对应标签"))</f>
        <v/>
      </c>
    </row>
    <row r="161" spans="1:1" ht="112" customHeight="1" x14ac:dyDescent="0.25">
      <c r="A161" s="9" t="str">
        <f>IF(LEN(需打标签!A161)=0,"",IFERROR(VLOOKUP(需打标签!A:A,标签details!A:B,2,0),需打标签!A162&amp;"无对应标签"))</f>
        <v/>
      </c>
    </row>
    <row r="162" spans="1:1" ht="112" customHeight="1" x14ac:dyDescent="0.25">
      <c r="A162" s="9" t="str">
        <f>IF(LEN(需打标签!A162)=0,"",IFERROR(VLOOKUP(需打标签!A:A,标签details!A:B,2,0),需打标签!A163&amp;"无对应标签"))</f>
        <v/>
      </c>
    </row>
    <row r="163" spans="1:1" ht="112" customHeight="1" x14ac:dyDescent="0.25">
      <c r="A163" s="9" t="str">
        <f>IF(LEN(需打标签!A163)=0,"",IFERROR(VLOOKUP(需打标签!A:A,标签details!A:B,2,0),需打标签!A164&amp;"无对应标签"))</f>
        <v/>
      </c>
    </row>
    <row r="164" spans="1:1" ht="112" customHeight="1" x14ac:dyDescent="0.25">
      <c r="A164" s="9" t="str">
        <f>IF(LEN(需打标签!A164)=0,"",IFERROR(VLOOKUP(需打标签!A:A,标签details!A:B,2,0),需打标签!A165&amp;"无对应标签"))</f>
        <v/>
      </c>
    </row>
    <row r="165" spans="1:1" ht="112" customHeight="1" x14ac:dyDescent="0.25">
      <c r="A165" s="9" t="str">
        <f>IF(LEN(需打标签!A165)=0,"",IFERROR(VLOOKUP(需打标签!A:A,标签details!A:B,2,0),需打标签!A166&amp;"无对应标签"))</f>
        <v/>
      </c>
    </row>
    <row r="166" spans="1:1" ht="112" customHeight="1" x14ac:dyDescent="0.25">
      <c r="A166" s="9" t="str">
        <f>IF(LEN(需打标签!A166)=0,"",IFERROR(VLOOKUP(需打标签!A:A,标签details!A:B,2,0),需打标签!A167&amp;"无对应标签"))</f>
        <v/>
      </c>
    </row>
    <row r="167" spans="1:1" ht="112" customHeight="1" x14ac:dyDescent="0.25">
      <c r="A167" s="9" t="str">
        <f>IF(LEN(需打标签!A167)=0,"",IFERROR(VLOOKUP(需打标签!A:A,标签details!A:B,2,0),需打标签!A168&amp;"无对应标签"))</f>
        <v/>
      </c>
    </row>
    <row r="168" spans="1:1" ht="112" customHeight="1" x14ac:dyDescent="0.25">
      <c r="A168" s="9" t="str">
        <f>IF(LEN(需打标签!A168)=0,"",IFERROR(VLOOKUP(需打标签!A:A,标签details!A:B,2,0),需打标签!A169&amp;"无对应标签"))</f>
        <v/>
      </c>
    </row>
    <row r="169" spans="1:1" ht="112" customHeight="1" x14ac:dyDescent="0.25">
      <c r="A169" s="9" t="str">
        <f>IF(LEN(需打标签!A169)=0,"",IFERROR(VLOOKUP(需打标签!A:A,标签details!A:B,2,0),需打标签!A170&amp;"无对应标签"))</f>
        <v/>
      </c>
    </row>
    <row r="170" spans="1:1" ht="112" customHeight="1" x14ac:dyDescent="0.25">
      <c r="A170" s="9" t="str">
        <f>IF(LEN(需打标签!A170)=0,"",IFERROR(VLOOKUP(需打标签!A:A,标签details!A:B,2,0),需打标签!A171&amp;"无对应标签"))</f>
        <v/>
      </c>
    </row>
    <row r="171" spans="1:1" ht="112" customHeight="1" x14ac:dyDescent="0.25">
      <c r="A171" s="9" t="str">
        <f>IF(LEN(需打标签!A171)=0,"",IFERROR(VLOOKUP(需打标签!A:A,标签details!A:B,2,0),需打标签!A172&amp;"无对应标签"))</f>
        <v/>
      </c>
    </row>
    <row r="172" spans="1:1" ht="112" customHeight="1" x14ac:dyDescent="0.25">
      <c r="A172" s="9" t="str">
        <f>IF(LEN(需打标签!A172)=0,"",IFERROR(VLOOKUP(需打标签!A:A,标签details!A:B,2,0),需打标签!A173&amp;"无对应标签"))</f>
        <v/>
      </c>
    </row>
    <row r="173" spans="1:1" ht="112" customHeight="1" x14ac:dyDescent="0.25">
      <c r="A173" s="9" t="str">
        <f>IF(LEN(需打标签!A173)=0,"",IFERROR(VLOOKUP(需打标签!A:A,标签details!A:B,2,0),需打标签!A174&amp;"无对应标签"))</f>
        <v/>
      </c>
    </row>
    <row r="174" spans="1:1" ht="112" customHeight="1" x14ac:dyDescent="0.25">
      <c r="A174" s="9" t="str">
        <f>IF(LEN(需打标签!A174)=0,"",IFERROR(VLOOKUP(需打标签!A:A,标签details!A:B,2,0),需打标签!A175&amp;"无对应标签"))</f>
        <v/>
      </c>
    </row>
    <row r="175" spans="1:1" ht="112" customHeight="1" x14ac:dyDescent="0.25">
      <c r="A175" s="9" t="str">
        <f>IF(LEN(需打标签!A175)=0,"",IFERROR(VLOOKUP(需打标签!A:A,标签details!A:B,2,0),需打标签!A176&amp;"无对应标签"))</f>
        <v/>
      </c>
    </row>
    <row r="176" spans="1:1" ht="112" customHeight="1" x14ac:dyDescent="0.25">
      <c r="A176" s="9" t="str">
        <f>IF(LEN(需打标签!A176)=0,"",IFERROR(VLOOKUP(需打标签!A:A,标签details!A:B,2,0),需打标签!A177&amp;"无对应标签"))</f>
        <v/>
      </c>
    </row>
    <row r="177" spans="1:1" ht="112" customHeight="1" x14ac:dyDescent="0.25">
      <c r="A177" s="9" t="str">
        <f>IF(LEN(需打标签!A177)=0,"",IFERROR(VLOOKUP(需打标签!A:A,标签details!A:B,2,0),需打标签!A178&amp;"无对应标签"))</f>
        <v/>
      </c>
    </row>
    <row r="178" spans="1:1" ht="112" customHeight="1" x14ac:dyDescent="0.25">
      <c r="A178" s="9" t="str">
        <f>IF(LEN(需打标签!A178)=0,"",IFERROR(VLOOKUP(需打标签!A:A,标签details!A:B,2,0),需打标签!A179&amp;"无对应标签"))</f>
        <v/>
      </c>
    </row>
    <row r="179" spans="1:1" ht="112" customHeight="1" x14ac:dyDescent="0.25">
      <c r="A179" s="9" t="str">
        <f>IF(LEN(需打标签!A179)=0,"",IFERROR(VLOOKUP(需打标签!A:A,标签details!A:B,2,0),需打标签!A180&amp;"无对应标签"))</f>
        <v/>
      </c>
    </row>
    <row r="180" spans="1:1" ht="112" customHeight="1" x14ac:dyDescent="0.25">
      <c r="A180" s="9" t="str">
        <f>IF(LEN(需打标签!A180)=0,"",IFERROR(VLOOKUP(需打标签!A:A,标签details!A:B,2,0),需打标签!A181&amp;"无对应标签"))</f>
        <v/>
      </c>
    </row>
    <row r="181" spans="1:1" ht="112" customHeight="1" x14ac:dyDescent="0.25">
      <c r="A181" s="9" t="str">
        <f>IF(LEN(需打标签!A181)=0,"",IFERROR(VLOOKUP(需打标签!A:A,标签details!A:B,2,0),需打标签!A182&amp;"无对应标签"))</f>
        <v/>
      </c>
    </row>
    <row r="182" spans="1:1" ht="112" customHeight="1" x14ac:dyDescent="0.25">
      <c r="A182" s="9" t="str">
        <f>IF(LEN(需打标签!A182)=0,"",IFERROR(VLOOKUP(需打标签!A:A,标签details!A:B,2,0),需打标签!A183&amp;"无对应标签"))</f>
        <v/>
      </c>
    </row>
    <row r="183" spans="1:1" ht="112" customHeight="1" x14ac:dyDescent="0.25">
      <c r="A183" s="9" t="str">
        <f>IF(LEN(需打标签!A183)=0,"",IFERROR(VLOOKUP(需打标签!A:A,标签details!A:B,2,0),需打标签!A184&amp;"无对应标签"))</f>
        <v/>
      </c>
    </row>
    <row r="184" spans="1:1" ht="112" customHeight="1" x14ac:dyDescent="0.25">
      <c r="A184" s="9" t="str">
        <f>IF(LEN(需打标签!A184)=0,"",IFERROR(VLOOKUP(需打标签!A:A,标签details!A:B,2,0),需打标签!A185&amp;"无对应标签"))</f>
        <v/>
      </c>
    </row>
    <row r="185" spans="1:1" ht="112" customHeight="1" x14ac:dyDescent="0.25">
      <c r="A185" s="9" t="str">
        <f>IF(LEN(需打标签!A185)=0,"",IFERROR(VLOOKUP(需打标签!A:A,标签details!A:B,2,0),需打标签!A186&amp;"无对应标签"))</f>
        <v/>
      </c>
    </row>
    <row r="186" spans="1:1" ht="112" customHeight="1" x14ac:dyDescent="0.25">
      <c r="A186" s="9" t="str">
        <f>IF(LEN(需打标签!A186)=0,"",IFERROR(VLOOKUP(需打标签!A:A,标签details!A:B,2,0),需打标签!A187&amp;"无对应标签"))</f>
        <v/>
      </c>
    </row>
    <row r="187" spans="1:1" ht="112" customHeight="1" x14ac:dyDescent="0.25">
      <c r="A187" s="9" t="str">
        <f>IF(LEN(需打标签!A187)=0,"",IFERROR(VLOOKUP(需打标签!A:A,标签details!A:B,2,0),需打标签!A188&amp;"无对应标签"))</f>
        <v/>
      </c>
    </row>
    <row r="188" spans="1:1" ht="112" customHeight="1" x14ac:dyDescent="0.25">
      <c r="A188" s="9" t="str">
        <f>IF(LEN(需打标签!A188)=0,"",IFERROR(VLOOKUP(需打标签!A:A,标签details!A:B,2,0),需打标签!A189&amp;"无对应标签"))</f>
        <v/>
      </c>
    </row>
    <row r="189" spans="1:1" ht="112" customHeight="1" x14ac:dyDescent="0.25">
      <c r="A189" s="9" t="str">
        <f>IF(LEN(需打标签!A189)=0,"",IFERROR(VLOOKUP(需打标签!A:A,标签details!A:B,2,0),需打标签!A190&amp;"无对应标签"))</f>
        <v/>
      </c>
    </row>
    <row r="190" spans="1:1" ht="112" customHeight="1" x14ac:dyDescent="0.25">
      <c r="A190" s="9" t="str">
        <f>IF(LEN(需打标签!A190)=0,"",IFERROR(VLOOKUP(需打标签!A:A,标签details!A:B,2,0),需打标签!A191&amp;"无对应标签"))</f>
        <v/>
      </c>
    </row>
    <row r="191" spans="1:1" ht="112" customHeight="1" x14ac:dyDescent="0.25">
      <c r="A191" s="9" t="str">
        <f>IF(LEN(需打标签!A191)=0,"",IFERROR(VLOOKUP(需打标签!A:A,标签details!A:B,2,0),需打标签!A192&amp;"无对应标签"))</f>
        <v/>
      </c>
    </row>
    <row r="192" spans="1:1" ht="112" customHeight="1" x14ac:dyDescent="0.25">
      <c r="A192" s="9" t="str">
        <f>IF(LEN(需打标签!A192)=0,"",IFERROR(VLOOKUP(需打标签!A:A,标签details!A:B,2,0),需打标签!A193&amp;"无对应标签"))</f>
        <v/>
      </c>
    </row>
    <row r="193" spans="1:1" ht="112" customHeight="1" x14ac:dyDescent="0.25">
      <c r="A193" s="9" t="str">
        <f>IF(LEN(需打标签!A193)=0,"",IFERROR(VLOOKUP(需打标签!A:A,标签details!A:B,2,0),需打标签!A194&amp;"无对应标签"))</f>
        <v/>
      </c>
    </row>
    <row r="194" spans="1:1" ht="112" customHeight="1" x14ac:dyDescent="0.25">
      <c r="A194" s="9" t="str">
        <f>IF(LEN(需打标签!A194)=0,"",IFERROR(VLOOKUP(需打标签!A:A,标签details!A:B,2,0),需打标签!A195&amp;"无对应标签"))</f>
        <v/>
      </c>
    </row>
    <row r="195" spans="1:1" ht="112" customHeight="1" x14ac:dyDescent="0.25">
      <c r="A195" s="9" t="str">
        <f>IF(LEN(需打标签!A195)=0,"",IFERROR(VLOOKUP(需打标签!A:A,标签details!A:B,2,0),需打标签!A196&amp;"无对应标签"))</f>
        <v/>
      </c>
    </row>
    <row r="196" spans="1:1" ht="112" customHeight="1" x14ac:dyDescent="0.25">
      <c r="A196" s="9" t="str">
        <f>IF(LEN(需打标签!A196)=0,"",IFERROR(VLOOKUP(需打标签!A:A,标签details!A:B,2,0),需打标签!A197&amp;"无对应标签"))</f>
        <v/>
      </c>
    </row>
    <row r="197" spans="1:1" ht="112" customHeight="1" x14ac:dyDescent="0.25">
      <c r="A197" s="9" t="str">
        <f>IF(LEN(需打标签!A197)=0,"",IFERROR(VLOOKUP(需打标签!A:A,标签details!A:B,2,0),需打标签!A198&amp;"无对应标签"))</f>
        <v/>
      </c>
    </row>
    <row r="198" spans="1:1" ht="112" customHeight="1" x14ac:dyDescent="0.25">
      <c r="A198" s="9" t="str">
        <f>IF(LEN(需打标签!A198)=0,"",IFERROR(VLOOKUP(需打标签!A:A,标签details!A:B,2,0),需打标签!A199&amp;"无对应标签"))</f>
        <v/>
      </c>
    </row>
    <row r="199" spans="1:1" ht="112" customHeight="1" x14ac:dyDescent="0.25">
      <c r="A199" s="9" t="str">
        <f>IF(LEN(需打标签!A199)=0,"",IFERROR(VLOOKUP(需打标签!A:A,标签details!A:B,2,0),需打标签!A200&amp;"无对应标签"))</f>
        <v/>
      </c>
    </row>
    <row r="200" spans="1:1" ht="112" customHeight="1" x14ac:dyDescent="0.25">
      <c r="A200" s="9" t="str">
        <f>IF(LEN(需打标签!A200)=0,"",IFERROR(VLOOKUP(需打标签!A:A,标签details!A:B,2,0),需打标签!A201&amp;"无对应标签"))</f>
        <v/>
      </c>
    </row>
    <row r="201" spans="1:1" ht="112" customHeight="1" x14ac:dyDescent="0.25">
      <c r="A201" s="9" t="str">
        <f>IF(LEN(需打标签!A201)=0,"",IFERROR(VLOOKUP(需打标签!A:A,标签details!A:B,2,0),需打标签!A202&amp;"无对应标签"))</f>
        <v/>
      </c>
    </row>
    <row r="202" spans="1:1" ht="112" customHeight="1" x14ac:dyDescent="0.25">
      <c r="A202" s="9" t="str">
        <f>IF(LEN(需打标签!A202)=0,"",IFERROR(VLOOKUP(需打标签!A:A,标签details!A:B,2,0),需打标签!A203&amp;"无对应标签"))</f>
        <v/>
      </c>
    </row>
    <row r="203" spans="1:1" ht="112" customHeight="1" x14ac:dyDescent="0.25">
      <c r="A203" s="9" t="str">
        <f>IF(LEN(需打标签!A203)=0,"",IFERROR(VLOOKUP(需打标签!A:A,标签details!A:B,2,0),需打标签!A204&amp;"无对应标签"))</f>
        <v/>
      </c>
    </row>
    <row r="204" spans="1:1" ht="112" customHeight="1" x14ac:dyDescent="0.25">
      <c r="A204" s="9" t="str">
        <f>IF(LEN(需打标签!A204)=0,"",IFERROR(VLOOKUP(需打标签!A:A,标签details!A:B,2,0),需打标签!A205&amp;"无对应标签"))</f>
        <v/>
      </c>
    </row>
    <row r="205" spans="1:1" ht="112" customHeight="1" x14ac:dyDescent="0.25">
      <c r="A205" s="9" t="str">
        <f>IF(LEN(需打标签!A205)=0,"",IFERROR(VLOOKUP(需打标签!A:A,标签details!A:B,2,0),需打标签!A206&amp;"无对应标签"))</f>
        <v/>
      </c>
    </row>
    <row r="206" spans="1:1" ht="112" customHeight="1" x14ac:dyDescent="0.25">
      <c r="A206" s="9" t="str">
        <f>IF(LEN(需打标签!A206)=0,"",IFERROR(VLOOKUP(需打标签!A:A,标签details!A:B,2,0),需打标签!A207&amp;"无对应标签"))</f>
        <v/>
      </c>
    </row>
    <row r="207" spans="1:1" ht="112" customHeight="1" x14ac:dyDescent="0.25">
      <c r="A207" s="9" t="str">
        <f>IF(LEN(需打标签!A207)=0,"",IFERROR(VLOOKUP(需打标签!A:A,标签details!A:B,2,0),需打标签!A208&amp;"无对应标签"))</f>
        <v/>
      </c>
    </row>
    <row r="208" spans="1:1" ht="112" customHeight="1" x14ac:dyDescent="0.25">
      <c r="A208" s="9" t="str">
        <f>IF(LEN(需打标签!A208)=0,"",IFERROR(VLOOKUP(需打标签!A:A,标签details!A:B,2,0),需打标签!A209&amp;"无对应标签"))</f>
        <v/>
      </c>
    </row>
    <row r="209" spans="1:1" ht="112" customHeight="1" x14ac:dyDescent="0.25">
      <c r="A209" s="9" t="str">
        <f>IF(LEN(需打标签!A209)=0,"",IFERROR(VLOOKUP(需打标签!A:A,标签details!A:B,2,0),需打标签!A210&amp;"无对应标签"))</f>
        <v/>
      </c>
    </row>
    <row r="210" spans="1:1" ht="112" customHeight="1" x14ac:dyDescent="0.25">
      <c r="A210" s="9" t="str">
        <f>IF(LEN(需打标签!A210)=0,"",IFERROR(VLOOKUP(需打标签!A:A,标签details!A:B,2,0),需打标签!A211&amp;"无对应标签"))</f>
        <v/>
      </c>
    </row>
    <row r="211" spans="1:1" ht="112" customHeight="1" x14ac:dyDescent="0.25">
      <c r="A211" s="9" t="str">
        <f>IF(LEN(需打标签!A211)=0,"",IFERROR(VLOOKUP(需打标签!A:A,标签details!A:B,2,0),需打标签!A212&amp;"无对应标签"))</f>
        <v/>
      </c>
    </row>
    <row r="212" spans="1:1" ht="112" customHeight="1" x14ac:dyDescent="0.25">
      <c r="A212" s="9" t="str">
        <f>IF(LEN(需打标签!A212)=0,"",IFERROR(VLOOKUP(需打标签!A:A,标签details!A:B,2,0),需打标签!A213&amp;"无对应标签"))</f>
        <v/>
      </c>
    </row>
    <row r="213" spans="1:1" ht="112" customHeight="1" x14ac:dyDescent="0.25">
      <c r="A213" s="9" t="str">
        <f>IF(LEN(需打标签!A213)=0,"",IFERROR(VLOOKUP(需打标签!A:A,标签details!A:B,2,0),需打标签!A214&amp;"无对应标签"))</f>
        <v/>
      </c>
    </row>
    <row r="214" spans="1:1" ht="112" customHeight="1" x14ac:dyDescent="0.25">
      <c r="A214" s="9" t="str">
        <f>IF(LEN(需打标签!A214)=0,"",IFERROR(VLOOKUP(需打标签!A:A,标签details!A:B,2,0),需打标签!A215&amp;"无对应标签"))</f>
        <v/>
      </c>
    </row>
    <row r="215" spans="1:1" ht="112" customHeight="1" x14ac:dyDescent="0.25">
      <c r="A215" s="9" t="str">
        <f>IF(LEN(需打标签!A215)=0,"",IFERROR(VLOOKUP(需打标签!A:A,标签details!A:B,2,0),需打标签!A216&amp;"无对应标签"))</f>
        <v/>
      </c>
    </row>
    <row r="216" spans="1:1" ht="112" customHeight="1" x14ac:dyDescent="0.25">
      <c r="A216" s="9" t="str">
        <f>IF(LEN(需打标签!A216)=0,"",IFERROR(VLOOKUP(需打标签!A:A,标签details!A:B,2,0),需打标签!A217&amp;"无对应标签"))</f>
        <v/>
      </c>
    </row>
    <row r="217" spans="1:1" ht="112" customHeight="1" x14ac:dyDescent="0.25">
      <c r="A217" s="9" t="str">
        <f>IF(LEN(需打标签!A217)=0,"",IFERROR(VLOOKUP(需打标签!A:A,标签details!A:B,2,0),需打标签!A218&amp;"无对应标签"))</f>
        <v/>
      </c>
    </row>
    <row r="218" spans="1:1" ht="112" customHeight="1" x14ac:dyDescent="0.25">
      <c r="A218" s="9" t="str">
        <f>IF(LEN(需打标签!A218)=0,"",IFERROR(VLOOKUP(需打标签!A:A,标签details!A:B,2,0),需打标签!A219&amp;"无对应标签"))</f>
        <v/>
      </c>
    </row>
    <row r="219" spans="1:1" ht="112" customHeight="1" x14ac:dyDescent="0.25">
      <c r="A219" s="9" t="str">
        <f>IF(LEN(需打标签!A219)=0,"",IFERROR(VLOOKUP(需打标签!A:A,标签details!A:B,2,0),需打标签!A220&amp;"无对应标签"))</f>
        <v/>
      </c>
    </row>
    <row r="220" spans="1:1" ht="112" customHeight="1" x14ac:dyDescent="0.25">
      <c r="A220" s="9" t="str">
        <f>IF(LEN(需打标签!A220)=0,"",IFERROR(VLOOKUP(需打标签!A:A,标签details!A:B,2,0),需打标签!A221&amp;"无对应标签"))</f>
        <v/>
      </c>
    </row>
    <row r="221" spans="1:1" ht="112" customHeight="1" x14ac:dyDescent="0.25">
      <c r="A221" s="9" t="str">
        <f>IF(LEN(需打标签!A221)=0,"",IFERROR(VLOOKUP(需打标签!A:A,标签details!A:B,2,0),需打标签!A222&amp;"无对应标签"))</f>
        <v/>
      </c>
    </row>
    <row r="222" spans="1:1" ht="112" customHeight="1" x14ac:dyDescent="0.25">
      <c r="A222" s="9" t="str">
        <f>IF(LEN(需打标签!A222)=0,"",IFERROR(VLOOKUP(需打标签!A:A,标签details!A:B,2,0),需打标签!A223&amp;"无对应标签"))</f>
        <v/>
      </c>
    </row>
    <row r="223" spans="1:1" ht="112" customHeight="1" x14ac:dyDescent="0.25">
      <c r="A223" s="9" t="str">
        <f>IF(LEN(需打标签!A223)=0,"",IFERROR(VLOOKUP(需打标签!A:A,标签details!A:B,2,0),需打标签!A224&amp;"无对应标签"))</f>
        <v/>
      </c>
    </row>
    <row r="224" spans="1:1" ht="112" customHeight="1" x14ac:dyDescent="0.25">
      <c r="A224" s="9" t="str">
        <f>IF(LEN(需打标签!A224)=0,"",IFERROR(VLOOKUP(需打标签!A:A,标签details!A:B,2,0),需打标签!A225&amp;"无对应标签"))</f>
        <v/>
      </c>
    </row>
    <row r="225" spans="1:1" ht="112" customHeight="1" x14ac:dyDescent="0.25">
      <c r="A225" s="9" t="str">
        <f>IF(LEN(需打标签!A225)=0,"",IFERROR(VLOOKUP(需打标签!A:A,标签details!A:B,2,0),需打标签!A226&amp;"无对应标签"))</f>
        <v/>
      </c>
    </row>
    <row r="226" spans="1:1" ht="112" customHeight="1" x14ac:dyDescent="0.25">
      <c r="A226" s="9" t="str">
        <f>IF(LEN(需打标签!A226)=0,"",IFERROR(VLOOKUP(需打标签!A:A,标签details!A:B,2,0),需打标签!A227&amp;"无对应标签"))</f>
        <v/>
      </c>
    </row>
    <row r="227" spans="1:1" ht="112" customHeight="1" x14ac:dyDescent="0.25">
      <c r="A227" s="9" t="str">
        <f>IF(LEN(需打标签!A227)=0,"",IFERROR(VLOOKUP(需打标签!A:A,标签details!A:B,2,0),需打标签!A228&amp;"无对应标签"))</f>
        <v/>
      </c>
    </row>
    <row r="228" spans="1:1" ht="112" customHeight="1" x14ac:dyDescent="0.25">
      <c r="A228" s="9" t="str">
        <f>IF(LEN(需打标签!A228)=0,"",IFERROR(VLOOKUP(需打标签!A:A,标签details!A:B,2,0),需打标签!A229&amp;"无对应标签"))</f>
        <v/>
      </c>
    </row>
    <row r="229" spans="1:1" ht="112" customHeight="1" x14ac:dyDescent="0.25">
      <c r="A229" s="9" t="str">
        <f>IF(LEN(需打标签!A229)=0,"",IFERROR(VLOOKUP(需打标签!A:A,标签details!A:B,2,0),需打标签!A230&amp;"无对应标签"))</f>
        <v/>
      </c>
    </row>
    <row r="230" spans="1:1" ht="112" customHeight="1" x14ac:dyDescent="0.25">
      <c r="A230" s="9" t="str">
        <f>IF(LEN(需打标签!A230)=0,"",IFERROR(VLOOKUP(需打标签!A:A,标签details!A:B,2,0),需打标签!A231&amp;"无对应标签"))</f>
        <v/>
      </c>
    </row>
    <row r="231" spans="1:1" ht="112" customHeight="1" x14ac:dyDescent="0.25">
      <c r="A231" s="9" t="str">
        <f>IF(LEN(需打标签!A231)=0,"",IFERROR(VLOOKUP(需打标签!A:A,标签details!A:B,2,0),需打标签!A232&amp;"无对应标签"))</f>
        <v/>
      </c>
    </row>
    <row r="232" spans="1:1" ht="112" customHeight="1" x14ac:dyDescent="0.25">
      <c r="A232" s="9" t="str">
        <f>IF(LEN(需打标签!A232)=0,"",IFERROR(VLOOKUP(需打标签!A:A,标签details!A:B,2,0),需打标签!A233&amp;"无对应标签"))</f>
        <v/>
      </c>
    </row>
    <row r="233" spans="1:1" ht="112" customHeight="1" x14ac:dyDescent="0.25">
      <c r="A233" s="9" t="str">
        <f>IF(LEN(需打标签!A233)=0,"",IFERROR(VLOOKUP(需打标签!A:A,标签details!A:B,2,0),需打标签!A234&amp;"无对应标签"))</f>
        <v/>
      </c>
    </row>
    <row r="234" spans="1:1" ht="112" customHeight="1" x14ac:dyDescent="0.25">
      <c r="A234" s="9" t="str">
        <f>IF(LEN(需打标签!A234)=0,"",IFERROR(VLOOKUP(需打标签!A:A,标签details!A:B,2,0),需打标签!A235&amp;"无对应标签"))</f>
        <v/>
      </c>
    </row>
    <row r="235" spans="1:1" ht="112" customHeight="1" x14ac:dyDescent="0.25">
      <c r="A235" s="9" t="str">
        <f>IF(LEN(需打标签!A235)=0,"",IFERROR(VLOOKUP(需打标签!A:A,标签details!A:B,2,0),需打标签!A236&amp;"无对应标签"))</f>
        <v/>
      </c>
    </row>
    <row r="236" spans="1:1" ht="112" customHeight="1" x14ac:dyDescent="0.25">
      <c r="A236" s="9" t="str">
        <f>IF(LEN(需打标签!A236)=0,"",IFERROR(VLOOKUP(需打标签!A:A,标签details!A:B,2,0),需打标签!A237&amp;"无对应标签"))</f>
        <v/>
      </c>
    </row>
    <row r="237" spans="1:1" ht="112" customHeight="1" x14ac:dyDescent="0.25">
      <c r="A237" s="9" t="str">
        <f>IF(LEN(需打标签!A237)=0,"",IFERROR(VLOOKUP(需打标签!A:A,标签details!A:B,2,0),需打标签!A238&amp;"无对应标签"))</f>
        <v/>
      </c>
    </row>
    <row r="238" spans="1:1" ht="112" customHeight="1" x14ac:dyDescent="0.25">
      <c r="A238" s="9" t="str">
        <f>IF(LEN(需打标签!A238)=0,"",IFERROR(VLOOKUP(需打标签!A:A,标签details!A:B,2,0),需打标签!A239&amp;"无对应标签"))</f>
        <v/>
      </c>
    </row>
    <row r="239" spans="1:1" ht="112" customHeight="1" x14ac:dyDescent="0.25">
      <c r="A239" s="9" t="str">
        <f>IF(LEN(需打标签!A239)=0,"",IFERROR(VLOOKUP(需打标签!A:A,标签details!A:B,2,0),需打标签!A240&amp;"无对应标签"))</f>
        <v/>
      </c>
    </row>
    <row r="240" spans="1:1" ht="112" customHeight="1" x14ac:dyDescent="0.25">
      <c r="A240" s="9" t="str">
        <f>IF(LEN(需打标签!A240)=0,"",IFERROR(VLOOKUP(需打标签!A:A,标签details!A:B,2,0),需打标签!A241&amp;"无对应标签"))</f>
        <v/>
      </c>
    </row>
    <row r="241" spans="1:1" ht="112" customHeight="1" x14ac:dyDescent="0.25">
      <c r="A241" s="9" t="str">
        <f>IF(LEN(需打标签!A241)=0,"",IFERROR(VLOOKUP(需打标签!A:A,标签details!A:B,2,0),需打标签!A242&amp;"无对应标签"))</f>
        <v/>
      </c>
    </row>
    <row r="242" spans="1:1" ht="112" customHeight="1" x14ac:dyDescent="0.25">
      <c r="A242" s="9" t="str">
        <f>IF(LEN(需打标签!A242)=0,"",IFERROR(VLOOKUP(需打标签!A:A,标签details!A:B,2,0),需打标签!A243&amp;"无对应标签"))</f>
        <v/>
      </c>
    </row>
    <row r="243" spans="1:1" ht="112" customHeight="1" x14ac:dyDescent="0.25">
      <c r="A243" s="9" t="str">
        <f>IF(LEN(需打标签!A243)=0,"",IFERROR(VLOOKUP(需打标签!A:A,标签details!A:B,2,0),需打标签!A244&amp;"无对应标签"))</f>
        <v/>
      </c>
    </row>
    <row r="244" spans="1:1" ht="112" customHeight="1" x14ac:dyDescent="0.25">
      <c r="A244" s="9" t="str">
        <f>IF(LEN(需打标签!A244)=0,"",IFERROR(VLOOKUP(需打标签!A:A,标签details!A:B,2,0),需打标签!A245&amp;"无对应标签"))</f>
        <v/>
      </c>
    </row>
    <row r="245" spans="1:1" ht="112" customHeight="1" x14ac:dyDescent="0.25">
      <c r="A245" s="9" t="str">
        <f>IF(LEN(需打标签!A245)=0,"",IFERROR(VLOOKUP(需打标签!A:A,标签details!A:B,2,0),需打标签!A246&amp;"无对应标签"))</f>
        <v/>
      </c>
    </row>
    <row r="246" spans="1:1" ht="112" customHeight="1" x14ac:dyDescent="0.25">
      <c r="A246" s="9" t="str">
        <f>IF(LEN(需打标签!A246)=0,"",IFERROR(VLOOKUP(需打标签!A:A,标签details!A:B,2,0),需打标签!A247&amp;"无对应标签"))</f>
        <v/>
      </c>
    </row>
    <row r="247" spans="1:1" ht="112" customHeight="1" x14ac:dyDescent="0.25">
      <c r="A247" s="9" t="str">
        <f>IF(LEN(需打标签!A247)=0,"",IFERROR(VLOOKUP(需打标签!A:A,标签details!A:B,2,0),需打标签!A248&amp;"无对应标签"))</f>
        <v/>
      </c>
    </row>
    <row r="248" spans="1:1" ht="112" customHeight="1" x14ac:dyDescent="0.25">
      <c r="A248" s="9" t="str">
        <f>IF(LEN(需打标签!A248)=0,"",IFERROR(VLOOKUP(需打标签!A:A,标签details!A:B,2,0),需打标签!A249&amp;"无对应标签"))</f>
        <v/>
      </c>
    </row>
    <row r="249" spans="1:1" ht="112" customHeight="1" x14ac:dyDescent="0.25">
      <c r="A249" s="9" t="str">
        <f>IF(LEN(需打标签!A249)=0,"",IFERROR(VLOOKUP(需打标签!A:A,标签details!A:B,2,0),需打标签!A250&amp;"无对应标签"))</f>
        <v/>
      </c>
    </row>
    <row r="250" spans="1:1" ht="112" customHeight="1" x14ac:dyDescent="0.25">
      <c r="A250" s="9" t="str">
        <f>IF(LEN(需打标签!A250)=0,"",IFERROR(VLOOKUP(需打标签!A:A,标签details!A:B,2,0),需打标签!A251&amp;"无对应标签"))</f>
        <v/>
      </c>
    </row>
  </sheetData>
  <sheetProtection password="C036" sheet="1" deleteRows="0" autoFilter="0"/>
  <autoFilter ref="A2:I250"/>
  <phoneticPr fontId="51" type="noConversion"/>
  <pageMargins left="0.38976377952755908" right="0" top="0" bottom="0" header="0" footer="0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选择打印标签">
                <anchor moveWithCells="1" sizeWithCells="1">
                  <from>
                    <xdr:col>5</xdr:col>
                    <xdr:colOff>12700</xdr:colOff>
                    <xdr:row>1</xdr:row>
                    <xdr:rowOff>628650</xdr:rowOff>
                  </from>
                  <to>
                    <xdr:col>6</xdr:col>
                    <xdr:colOff>127000</xdr:colOff>
                    <xdr:row>1</xdr:row>
                    <xdr:rowOff>1041400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A13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28.36328125" defaultRowHeight="112" customHeight="1" x14ac:dyDescent="0.25"/>
  <cols>
    <col min="1" max="1" width="28.36328125" customWidth="1"/>
  </cols>
  <sheetData>
    <row r="1" spans="1:1" ht="112" hidden="1" customHeight="1" x14ac:dyDescent="0.25">
      <c r="A1" s="57" t="str">
        <f>IF(LEN(挂钩标签!A1)&gt;10,挂钩标签!A1&amp;标签details!$D$1&amp;标签details!$C$1,"")</f>
        <v>EBT170730无对应标签
info@ebtex.com.cn</v>
      </c>
    </row>
    <row r="2" spans="1:1" ht="112" customHeight="1" x14ac:dyDescent="0.25">
      <c r="A2" s="57" t="str">
        <f>IF(LEN(挂钩标签!A2)&gt;10,挂钩标签!A2&amp;标签details!$D$1&amp;标签details!$C$1,"")</f>
        <v>ART.EBT170730
COMP:100%PL
WIDTH:125CM
WEIGHT:
info@ebtex.com.cn</v>
      </c>
    </row>
    <row r="3" spans="1:1" ht="112" customHeight="1" x14ac:dyDescent="0.25">
      <c r="A3" s="57" t="str">
        <f>IF(LEN(挂钩标签!A3)&gt;10,挂钩标签!A3&amp;标签details!$D$1&amp;标签details!$C$1,"")</f>
        <v/>
      </c>
    </row>
    <row r="4" spans="1:1" ht="112" customHeight="1" x14ac:dyDescent="0.25">
      <c r="A4" s="57" t="str">
        <f>IF(LEN(挂钩标签!A4)&gt;10,挂钩标签!A4&amp;标签details!$D$1&amp;标签details!$C$1,"")</f>
        <v/>
      </c>
    </row>
    <row r="5" spans="1:1" ht="112" customHeight="1" x14ac:dyDescent="0.25">
      <c r="A5" s="57" t="str">
        <f>IF(LEN(挂钩标签!A5)&gt;10,挂钩标签!A5&amp;标签details!$D$1&amp;标签details!$C$1,"")</f>
        <v/>
      </c>
    </row>
    <row r="6" spans="1:1" ht="112" customHeight="1" x14ac:dyDescent="0.25">
      <c r="A6" s="57" t="str">
        <f>IF(LEN(挂钩标签!A6)&gt;10,挂钩标签!A6&amp;标签details!$D$1&amp;标签details!$C$1,"")</f>
        <v/>
      </c>
    </row>
    <row r="7" spans="1:1" ht="112" customHeight="1" x14ac:dyDescent="0.25">
      <c r="A7" s="57" t="str">
        <f>IF(LEN(挂钩标签!A7)&gt;10,挂钩标签!A7&amp;标签details!$D$1&amp;标签details!$C$1,"")</f>
        <v/>
      </c>
    </row>
    <row r="8" spans="1:1" ht="112" customHeight="1" x14ac:dyDescent="0.25">
      <c r="A8" s="57" t="str">
        <f>IF(LEN(挂钩标签!A8)&gt;10,挂钩标签!A8&amp;标签details!$D$1&amp;标签details!$C$1,"")</f>
        <v/>
      </c>
    </row>
    <row r="9" spans="1:1" ht="112" customHeight="1" x14ac:dyDescent="0.25">
      <c r="A9" s="57" t="str">
        <f>IF(LEN(挂钩标签!A9)&gt;10,挂钩标签!A9&amp;标签details!$D$1&amp;标签details!$C$1,"")</f>
        <v/>
      </c>
    </row>
    <row r="10" spans="1:1" ht="112" customHeight="1" x14ac:dyDescent="0.25">
      <c r="A10" s="57" t="str">
        <f>IF(LEN(挂钩标签!A10)&gt;10,挂钩标签!A10&amp;标签details!$D$1&amp;标签details!$C$1,"")</f>
        <v/>
      </c>
    </row>
    <row r="11" spans="1:1" ht="112" customHeight="1" x14ac:dyDescent="0.25">
      <c r="A11" s="57" t="str">
        <f>IF(LEN(挂钩标签!A11)&gt;10,挂钩标签!A11&amp;标签details!$D$1&amp;标签details!$C$1,"")</f>
        <v/>
      </c>
    </row>
    <row r="12" spans="1:1" ht="112" customHeight="1" x14ac:dyDescent="0.25">
      <c r="A12" s="57" t="str">
        <f>IF(LEN(挂钩标签!A12)&gt;10,挂钩标签!A12&amp;标签details!$D$1&amp;标签details!$C$1,"")</f>
        <v/>
      </c>
    </row>
    <row r="13" spans="1:1" ht="112" customHeight="1" x14ac:dyDescent="0.25">
      <c r="A13" s="57" t="str">
        <f>IF(LEN(挂钩标签!A13)&gt;10,挂钩标签!A13&amp;标签details!$D$1&amp;标签details!$C$1,"")</f>
        <v/>
      </c>
    </row>
  </sheetData>
  <sheetProtection password="C036" sheet="1" deleteRows="0" autoFilter="0"/>
  <autoFilter ref="A2:A13"/>
  <phoneticPr fontId="51" type="noConversion"/>
  <pageMargins left="0.31496062992125984" right="0" top="0" bottom="0" header="0" footer="0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选择打印标签">
                <anchor moveWithCells="1" sizeWithCells="1">
                  <from>
                    <xdr:col>1</xdr:col>
                    <xdr:colOff>889000</xdr:colOff>
                    <xdr:row>1</xdr:row>
                    <xdr:rowOff>355600</xdr:rowOff>
                  </from>
                  <to>
                    <xdr:col>1</xdr:col>
                    <xdr:colOff>1924050</xdr:colOff>
                    <xdr:row>1</xdr:row>
                    <xdr:rowOff>641350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-0.249977111117893"/>
    <pageSetUpPr fitToPage="1"/>
  </sheetPr>
  <dimension ref="A1:A21"/>
  <sheetViews>
    <sheetView topLeftCell="A2" workbookViewId="0">
      <pane ySplit="1" topLeftCell="A3" activePane="bottomLeft" state="frozen"/>
      <selection activeCell="A2" sqref="A2"/>
      <selection pane="bottomLeft" activeCell="C4" sqref="C4"/>
    </sheetView>
  </sheetViews>
  <sheetFormatPr defaultColWidth="30.36328125" defaultRowHeight="14" x14ac:dyDescent="0.25"/>
  <sheetData>
    <row r="1" spans="1:1" hidden="1" x14ac:dyDescent="0.25">
      <c r="A1" s="67"/>
    </row>
    <row r="2" spans="1:1" ht="112" customHeight="1" x14ac:dyDescent="0.25">
      <c r="A2" s="72" t="str">
        <f ca="1">IF(LEN(需打标签!A2),固定信息!$A$1&amp;挂钩标签!A2&amp;需打标签!$E$1&amp;需打标签!E2&amp;需打标签!F2&amp;需打标签!G2&amp;需打标签!$H$1&amp;需打标签!H2&amp;需打标签!$I$1&amp;固定信息!D2&amp;IF(LEN(需打标签!J2),CHAR(10)&amp;需打标签!J2,""),"")</f>
        <v>Shipping Sample
ART.EBT170730
COMP:100%PL
WIDTH:125CM
WEIGHT:
PI:IHZ170230BS
Color:BLUE
Date:Jul/26/2017</v>
      </c>
    </row>
    <row r="3" spans="1:1" ht="112" customHeight="1" x14ac:dyDescent="0.25">
      <c r="A3" s="72" t="str">
        <f>IF(LEN(需打标签!A3),固定信息!$A$1&amp;挂钩标签!A3&amp;需打标签!$E$1&amp;需打标签!E3&amp;需打标签!F3&amp;需打标签!G3&amp;需打标签!$H$1&amp;需打标签!H3&amp;需打标签!$I$1&amp;固定信息!D3&amp;IF(LEN(需打标签!J3),CHAR(10)&amp;需打标签!J3,""),"")</f>
        <v/>
      </c>
    </row>
    <row r="4" spans="1:1" ht="112" customHeight="1" x14ac:dyDescent="0.25">
      <c r="A4" s="72" t="str">
        <f>IF(LEN(需打标签!A4),固定信息!$A$1&amp;挂钩标签!A4&amp;需打标签!$E$1&amp;需打标签!E4&amp;需打标签!F4&amp;需打标签!G4&amp;需打标签!$H$1&amp;需打标签!H4&amp;需打标签!$I$1&amp;固定信息!D4&amp;IF(LEN(需打标签!J4),CHAR(10)&amp;需打标签!J4,""),"")</f>
        <v/>
      </c>
    </row>
    <row r="5" spans="1:1" ht="112" customHeight="1" x14ac:dyDescent="0.25">
      <c r="A5" s="72" t="str">
        <f>IF(LEN(需打标签!A5),固定信息!$A$1&amp;挂钩标签!A5&amp;需打标签!$E$1&amp;需打标签!E5&amp;需打标签!F5&amp;需打标签!G5&amp;需打标签!$H$1&amp;需打标签!H5&amp;需打标签!$I$1&amp;固定信息!D5&amp;IF(LEN(需打标签!J5),CHAR(10)&amp;需打标签!J5,""),"")</f>
        <v/>
      </c>
    </row>
    <row r="6" spans="1:1" ht="112" customHeight="1" x14ac:dyDescent="0.25">
      <c r="A6" s="72" t="str">
        <f>IF(LEN(需打标签!A6),固定信息!$A$1&amp;挂钩标签!A6&amp;需打标签!$E$1&amp;需打标签!E6&amp;需打标签!F6&amp;需打标签!G6&amp;需打标签!$H$1&amp;需打标签!H6&amp;需打标签!$I$1&amp;固定信息!D6&amp;IF(LEN(需打标签!J6),CHAR(10)&amp;需打标签!J6,""),"")</f>
        <v/>
      </c>
    </row>
    <row r="7" spans="1:1" ht="112" customHeight="1" x14ac:dyDescent="0.25">
      <c r="A7" s="72" t="str">
        <f>IF(LEN(需打标签!A7),固定信息!$A$1&amp;挂钩标签!A7&amp;需打标签!$E$1&amp;需打标签!E7&amp;需打标签!F7&amp;需打标签!G7&amp;需打标签!$H$1&amp;需打标签!H7&amp;需打标签!$I$1&amp;固定信息!D7&amp;IF(LEN(需打标签!J7),CHAR(10)&amp;需打标签!J7,""),"")</f>
        <v/>
      </c>
    </row>
    <row r="8" spans="1:1" ht="112" customHeight="1" x14ac:dyDescent="0.25">
      <c r="A8" s="72" t="str">
        <f>IF(LEN(需打标签!A8),固定信息!$A$1&amp;挂钩标签!A8&amp;需打标签!$E$1&amp;需打标签!E8&amp;需打标签!F8&amp;需打标签!G8&amp;需打标签!$H$1&amp;需打标签!H8&amp;需打标签!$I$1&amp;固定信息!D8&amp;IF(LEN(需打标签!J8),CHAR(10)&amp;需打标签!J8,""),"")</f>
        <v/>
      </c>
    </row>
    <row r="9" spans="1:1" ht="112" customHeight="1" x14ac:dyDescent="0.25">
      <c r="A9" s="72" t="str">
        <f>IF(LEN(需打标签!A9),固定信息!$A$1&amp;挂钩标签!A9&amp;需打标签!$E$1&amp;需打标签!E9&amp;需打标签!F9&amp;需打标签!G9&amp;需打标签!$H$1&amp;需打标签!H9&amp;需打标签!$I$1&amp;固定信息!D9&amp;IF(LEN(需打标签!J9),CHAR(10)&amp;需打标签!J9,""),"")</f>
        <v/>
      </c>
    </row>
    <row r="10" spans="1:1" ht="112" customHeight="1" x14ac:dyDescent="0.25">
      <c r="A10" s="72" t="str">
        <f>IF(LEN(需打标签!A10),固定信息!$A$1&amp;挂钩标签!A10&amp;需打标签!$E$1&amp;需打标签!E10&amp;需打标签!F10&amp;需打标签!G10&amp;需打标签!$H$1&amp;需打标签!H10&amp;需打标签!$I$1&amp;固定信息!D10&amp;IF(LEN(需打标签!J10),CHAR(10)&amp;需打标签!J10,""),"")</f>
        <v/>
      </c>
    </row>
    <row r="11" spans="1:1" ht="112" customHeight="1" x14ac:dyDescent="0.25">
      <c r="A11" s="72" t="str">
        <f>IF(LEN(需打标签!A11),固定信息!$A$1&amp;挂钩标签!A11&amp;需打标签!$E$1&amp;需打标签!E11&amp;需打标签!F11&amp;需打标签!G11&amp;需打标签!$H$1&amp;需打标签!H11&amp;需打标签!$I$1&amp;固定信息!D11&amp;IF(LEN(需打标签!J11),CHAR(10)&amp;需打标签!J11,""),"")</f>
        <v/>
      </c>
    </row>
    <row r="12" spans="1:1" ht="112" customHeight="1" x14ac:dyDescent="0.25">
      <c r="A12" s="72" t="str">
        <f>IF(LEN(需打标签!A12),固定信息!$A$1&amp;挂钩标签!A12&amp;需打标签!$E$1&amp;需打标签!E12&amp;需打标签!F12&amp;需打标签!G12&amp;需打标签!$H$1&amp;需打标签!H12&amp;需打标签!$I$1&amp;固定信息!D12&amp;IF(LEN(需打标签!J12),CHAR(10)&amp;需打标签!J12,""),"")</f>
        <v/>
      </c>
    </row>
    <row r="13" spans="1:1" ht="112" customHeight="1" x14ac:dyDescent="0.25">
      <c r="A13" s="72" t="str">
        <f>IF(LEN(需打标签!A13),固定信息!$A$1&amp;挂钩标签!A13&amp;需打标签!$E$1&amp;需打标签!E13&amp;需打标签!F13&amp;需打标签!G13&amp;需打标签!$H$1&amp;需打标签!H13&amp;需打标签!$I$1&amp;固定信息!D13&amp;IF(LEN(需打标签!J13),CHAR(10)&amp;需打标签!J13,""),"")</f>
        <v/>
      </c>
    </row>
    <row r="14" spans="1:1" ht="112" customHeight="1" x14ac:dyDescent="0.25">
      <c r="A14" s="72" t="str">
        <f>IF(LEN(需打标签!A14),固定信息!$A$1&amp;挂钩标签!A14&amp;需打标签!$E$1&amp;需打标签!E14&amp;需打标签!F14&amp;需打标签!G14&amp;需打标签!$H$1&amp;需打标签!H14&amp;需打标签!$I$1&amp;固定信息!D14&amp;IF(LEN(需打标签!J14),CHAR(10)&amp;需打标签!J14,""),"")</f>
        <v/>
      </c>
    </row>
    <row r="15" spans="1:1" ht="112" customHeight="1" x14ac:dyDescent="0.25">
      <c r="A15" s="72" t="str">
        <f>IF(LEN(需打标签!A15),固定信息!$A$1&amp;挂钩标签!A15&amp;需打标签!$E$1&amp;需打标签!E15&amp;需打标签!F15&amp;需打标签!G15&amp;需打标签!$H$1&amp;需打标签!H15&amp;需打标签!$I$1&amp;固定信息!D15&amp;IF(LEN(需打标签!J15),CHAR(10)&amp;需打标签!J15,""),"")</f>
        <v/>
      </c>
    </row>
    <row r="16" spans="1:1" ht="112" customHeight="1" x14ac:dyDescent="0.25">
      <c r="A16" s="72" t="str">
        <f>IF(LEN(需打标签!A16),固定信息!$A$1&amp;挂钩标签!A16&amp;需打标签!$E$1&amp;需打标签!E16&amp;需打标签!F16&amp;需打标签!G16&amp;需打标签!$H$1&amp;需打标签!H16&amp;需打标签!$I$1&amp;固定信息!D16&amp;IF(LEN(需打标签!J16),CHAR(10)&amp;需打标签!J16,""),"")</f>
        <v/>
      </c>
    </row>
    <row r="17" spans="1:1" ht="112" customHeight="1" x14ac:dyDescent="0.25">
      <c r="A17" s="72" t="str">
        <f>IF(LEN(需打标签!A17),固定信息!$A$1&amp;挂钩标签!A17&amp;需打标签!$E$1&amp;需打标签!E17&amp;需打标签!F17&amp;需打标签!G17&amp;需打标签!$H$1&amp;需打标签!H17&amp;需打标签!$I$1&amp;固定信息!D17&amp;IF(LEN(需打标签!J17),CHAR(10)&amp;需打标签!J17,""),"")</f>
        <v/>
      </c>
    </row>
    <row r="18" spans="1:1" ht="112" customHeight="1" x14ac:dyDescent="0.25">
      <c r="A18" s="72" t="str">
        <f>IF(LEN(需打标签!A18),固定信息!$A$1&amp;挂钩标签!A18&amp;需打标签!$E$1&amp;需打标签!E18&amp;需打标签!F18&amp;需打标签!G18&amp;需打标签!$H$1&amp;需打标签!H18&amp;需打标签!$I$1&amp;固定信息!D18&amp;IF(LEN(需打标签!J18),CHAR(10)&amp;需打标签!J18,""),"")</f>
        <v/>
      </c>
    </row>
    <row r="19" spans="1:1" ht="112" customHeight="1" x14ac:dyDescent="0.25">
      <c r="A19" s="72" t="str">
        <f>IF(LEN(需打标签!A19),固定信息!$A$1&amp;挂钩标签!A19&amp;需打标签!$E$1&amp;需打标签!E19&amp;需打标签!F19&amp;需打标签!G19&amp;需打标签!$H$1&amp;需打标签!H19&amp;需打标签!$I$1&amp;固定信息!D19&amp;IF(LEN(需打标签!J19),CHAR(10)&amp;需打标签!J19,""),"")</f>
        <v/>
      </c>
    </row>
    <row r="20" spans="1:1" ht="112" customHeight="1" x14ac:dyDescent="0.25">
      <c r="A20" s="72" t="str">
        <f>IF(LEN(需打标签!A20),固定信息!$A$1&amp;挂钩标签!A20&amp;需打标签!$E$1&amp;需打标签!E20&amp;需打标签!F20&amp;需打标签!G20&amp;需打标签!$H$1&amp;需打标签!H20&amp;需打标签!$I$1&amp;固定信息!D20&amp;IF(LEN(需打标签!J20),CHAR(10)&amp;需打标签!J20,""),"")</f>
        <v/>
      </c>
    </row>
    <row r="21" spans="1:1" ht="112" customHeight="1" x14ac:dyDescent="0.25">
      <c r="A21" s="72" t="str">
        <f>IF(LEN(需打标签!A21),固定信息!$A$1&amp;挂钩标签!A21&amp;需打标签!$E$1&amp;需打标签!E21&amp;需打标签!F21&amp;需打标签!G21&amp;需打标签!$H$1&amp;需打标签!H21&amp;需打标签!$I$1&amp;固定信息!D21&amp;IF(LEN(需打标签!J21),CHAR(10)&amp;需打标签!J21,""),"")</f>
        <v/>
      </c>
    </row>
  </sheetData>
  <sheetProtection password="C036" sheet="1" deleteRows="0" autoFilter="0"/>
  <protectedRanges>
    <protectedRange sqref="A1:A21" name="BALABALA_1"/>
  </protectedRanges>
  <autoFilter ref="A2:A21"/>
  <phoneticPr fontId="51" type="noConversion" alignment="distributed"/>
  <pageMargins left="0.27559055118110237" right="0" top="0" bottom="0" header="0" footer="0"/>
  <pageSetup paperSize="9" fitToHeight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选择打印标签">
                <anchor moveWithCells="1" sizeWithCells="1">
                  <from>
                    <xdr:col>1</xdr:col>
                    <xdr:colOff>1136650</xdr:colOff>
                    <xdr:row>1</xdr:row>
                    <xdr:rowOff>412750</xdr:rowOff>
                  </from>
                  <to>
                    <xdr:col>2</xdr:col>
                    <xdr:colOff>69850</xdr:colOff>
                    <xdr:row>1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7030A0"/>
  </sheetPr>
  <dimension ref="A1:A250"/>
  <sheetViews>
    <sheetView workbookViewId="0">
      <pane ySplit="1" topLeftCell="A2" activePane="bottomLeft" state="frozen"/>
      <selection pane="bottomLeft" activeCell="C4" sqref="C4"/>
    </sheetView>
  </sheetViews>
  <sheetFormatPr defaultRowHeight="112" customHeight="1" x14ac:dyDescent="0.25"/>
  <cols>
    <col min="1" max="1" width="32.26953125" customWidth="1"/>
  </cols>
  <sheetData>
    <row r="1" spans="1:1" ht="112" customHeight="1" x14ac:dyDescent="0.25">
      <c r="A1" s="7" t="str">
        <f>IF(LEN(挂钩标签!A2),挂钩标签!A2&amp;CHAR(10)&amp;""&amp;需打标签!$L$2&amp;" "&amp;需打标签!$M$2&amp;" "&amp;需打标签!$N$2&amp;"           /"&amp;需打标签!$O$2,"")</f>
        <v>ART.EBT170730
COMP:100%PL
WIDTH:125CM
WEIGHT:
FOB SHA $           /M</v>
      </c>
    </row>
    <row r="2" spans="1:1" ht="112" customHeight="1" x14ac:dyDescent="0.25">
      <c r="A2" s="7" t="str">
        <f>IF(LEN(挂钩标签!A3),挂钩标签!A3&amp;CHAR(10)&amp;""&amp;需打标签!$L$2&amp;" "&amp;需打标签!$M$2&amp;" "&amp;需打标签!$N$2&amp;"           /"&amp;需打标签!$O$2,"")</f>
        <v/>
      </c>
    </row>
    <row r="3" spans="1:1" ht="112" customHeight="1" x14ac:dyDescent="0.25">
      <c r="A3" s="7" t="str">
        <f>IF(LEN(挂钩标签!A4),挂钩标签!A4&amp;CHAR(10)&amp;""&amp;需打标签!$L$2&amp;" "&amp;需打标签!$M$2&amp;" "&amp;需打标签!$N$2&amp;"           /"&amp;需打标签!$O$2,"")</f>
        <v/>
      </c>
    </row>
    <row r="4" spans="1:1" ht="112" customHeight="1" x14ac:dyDescent="0.25">
      <c r="A4" s="7" t="str">
        <f>IF(LEN(挂钩标签!A5),挂钩标签!A5&amp;CHAR(10)&amp;""&amp;需打标签!$L$2&amp;" "&amp;需打标签!$M$2&amp;" "&amp;需打标签!$N$2&amp;"           /"&amp;需打标签!$O$2,"")</f>
        <v/>
      </c>
    </row>
    <row r="5" spans="1:1" ht="112" customHeight="1" x14ac:dyDescent="0.25">
      <c r="A5" s="7" t="str">
        <f>IF(LEN(挂钩标签!A6),挂钩标签!A6&amp;CHAR(10)&amp;""&amp;需打标签!$L$2&amp;" "&amp;需打标签!$M$2&amp;" "&amp;需打标签!$N$2&amp;"           /"&amp;需打标签!$O$2,"")</f>
        <v/>
      </c>
    </row>
    <row r="6" spans="1:1" ht="112" customHeight="1" x14ac:dyDescent="0.25">
      <c r="A6" s="7" t="str">
        <f>IF(LEN(挂钩标签!A7),挂钩标签!A7&amp;CHAR(10)&amp;""&amp;需打标签!$L$2&amp;" "&amp;需打标签!$M$2&amp;" "&amp;需打标签!$N$2&amp;"           /"&amp;需打标签!$O$2,"")</f>
        <v/>
      </c>
    </row>
    <row r="7" spans="1:1" ht="112" customHeight="1" x14ac:dyDescent="0.25">
      <c r="A7" s="7" t="str">
        <f>IF(LEN(挂钩标签!A8),挂钩标签!A8&amp;CHAR(10)&amp;""&amp;需打标签!$L$2&amp;" "&amp;需打标签!$M$2&amp;" "&amp;需打标签!$N$2&amp;"           /"&amp;需打标签!$O$2,"")</f>
        <v/>
      </c>
    </row>
    <row r="8" spans="1:1" ht="112" customHeight="1" x14ac:dyDescent="0.25">
      <c r="A8" s="7" t="str">
        <f>IF(LEN(挂钩标签!A9),挂钩标签!A9&amp;CHAR(10)&amp;""&amp;需打标签!$L$2&amp;" "&amp;需打标签!$M$2&amp;" "&amp;需打标签!$N$2&amp;"           /"&amp;需打标签!$O$2,"")</f>
        <v/>
      </c>
    </row>
    <row r="9" spans="1:1" ht="112" customHeight="1" x14ac:dyDescent="0.25">
      <c r="A9" s="7" t="str">
        <f>IF(LEN(挂钩标签!A10),挂钩标签!A10&amp;CHAR(10)&amp;""&amp;需打标签!$L$2&amp;" "&amp;需打标签!$M$2&amp;" "&amp;需打标签!$N$2&amp;"           /"&amp;需打标签!$O$2,"")</f>
        <v/>
      </c>
    </row>
    <row r="10" spans="1:1" ht="112" customHeight="1" x14ac:dyDescent="0.25">
      <c r="A10" s="7" t="str">
        <f>IF(LEN(挂钩标签!A11),挂钩标签!A11&amp;CHAR(10)&amp;""&amp;需打标签!$L$2&amp;" "&amp;需打标签!$M$2&amp;" "&amp;需打标签!$N$2&amp;"           /"&amp;需打标签!$O$2,"")</f>
        <v/>
      </c>
    </row>
    <row r="11" spans="1:1" ht="112" customHeight="1" x14ac:dyDescent="0.25">
      <c r="A11" s="7" t="str">
        <f>IF(LEN(挂钩标签!A12),挂钩标签!A12&amp;CHAR(10)&amp;""&amp;需打标签!$L$2&amp;" "&amp;需打标签!$M$2&amp;" "&amp;需打标签!$N$2&amp;"           /"&amp;需打标签!$O$2,"")</f>
        <v/>
      </c>
    </row>
    <row r="12" spans="1:1" ht="112" customHeight="1" x14ac:dyDescent="0.25">
      <c r="A12" s="7" t="str">
        <f>IF(LEN(挂钩标签!A13),挂钩标签!A13&amp;CHAR(10)&amp;""&amp;需打标签!$L$2&amp;" "&amp;需打标签!$M$2&amp;" "&amp;需打标签!$N$2&amp;"           /"&amp;需打标签!$O$2,"")</f>
        <v/>
      </c>
    </row>
    <row r="13" spans="1:1" ht="112" customHeight="1" x14ac:dyDescent="0.25">
      <c r="A13" s="7" t="str">
        <f>IF(LEN(挂钩标签!A14),挂钩标签!A14&amp;CHAR(10)&amp;""&amp;需打标签!$L$2&amp;" "&amp;需打标签!$M$2&amp;" "&amp;需打标签!$N$2&amp;"           /"&amp;需打标签!$O$2,"")</f>
        <v/>
      </c>
    </row>
    <row r="14" spans="1:1" ht="112" customHeight="1" x14ac:dyDescent="0.25">
      <c r="A14" s="7" t="str">
        <f>IF(LEN(挂钩标签!A15),挂钩标签!A15&amp;CHAR(10)&amp;""&amp;需打标签!$L$2&amp;" "&amp;需打标签!$M$2&amp;" "&amp;需打标签!$N$2&amp;"           /"&amp;需打标签!$O$2,"")</f>
        <v/>
      </c>
    </row>
    <row r="15" spans="1:1" ht="112" customHeight="1" x14ac:dyDescent="0.25">
      <c r="A15" s="7" t="str">
        <f>IF(LEN(挂钩标签!A16),挂钩标签!A16&amp;CHAR(10)&amp;""&amp;需打标签!$L$2&amp;" "&amp;需打标签!$M$2&amp;" "&amp;需打标签!$N$2&amp;"           /"&amp;需打标签!$O$2,"")</f>
        <v/>
      </c>
    </row>
    <row r="16" spans="1:1" ht="112" customHeight="1" x14ac:dyDescent="0.25">
      <c r="A16" s="7" t="str">
        <f>IF(LEN(挂钩标签!A17),挂钩标签!A17&amp;CHAR(10)&amp;""&amp;需打标签!$L$2&amp;" "&amp;需打标签!$M$2&amp;" "&amp;需打标签!$N$2&amp;"           /"&amp;需打标签!$O$2,"")</f>
        <v/>
      </c>
    </row>
    <row r="17" spans="1:1" ht="112" customHeight="1" x14ac:dyDescent="0.25">
      <c r="A17" s="7" t="str">
        <f>IF(LEN(挂钩标签!A18),挂钩标签!A18&amp;CHAR(10)&amp;""&amp;需打标签!$L$2&amp;" "&amp;需打标签!$M$2&amp;" "&amp;需打标签!$N$2&amp;"           /"&amp;需打标签!$O$2,"")</f>
        <v/>
      </c>
    </row>
    <row r="18" spans="1:1" ht="112" customHeight="1" x14ac:dyDescent="0.25">
      <c r="A18" s="7" t="str">
        <f>IF(LEN(挂钩标签!A19),挂钩标签!A19&amp;CHAR(10)&amp;""&amp;需打标签!$L$2&amp;" "&amp;需打标签!$M$2&amp;" "&amp;需打标签!$N$2&amp;"           /"&amp;需打标签!$O$2,"")</f>
        <v/>
      </c>
    </row>
    <row r="19" spans="1:1" ht="112" customHeight="1" x14ac:dyDescent="0.25">
      <c r="A19" s="7" t="str">
        <f>IF(LEN(挂钩标签!A20),挂钩标签!A20&amp;CHAR(10)&amp;""&amp;需打标签!$L$2&amp;" "&amp;需打标签!$M$2&amp;" "&amp;需打标签!$N$2&amp;"           /"&amp;需打标签!$O$2,"")</f>
        <v/>
      </c>
    </row>
    <row r="20" spans="1:1" ht="112" customHeight="1" x14ac:dyDescent="0.25">
      <c r="A20" s="7" t="str">
        <f>IF(LEN(挂钩标签!A21),挂钩标签!A21&amp;CHAR(10)&amp;""&amp;需打标签!$L$2&amp;" "&amp;需打标签!$M$2&amp;" "&amp;需打标签!$N$2&amp;"           /"&amp;需打标签!$O$2,"")</f>
        <v/>
      </c>
    </row>
    <row r="21" spans="1:1" ht="112" customHeight="1" x14ac:dyDescent="0.25">
      <c r="A21" s="7" t="str">
        <f>IF(LEN(挂钩标签!A22),挂钩标签!A22&amp;CHAR(10)&amp;""&amp;需打标签!$L$2&amp;" "&amp;需打标签!$M$2&amp;" "&amp;需打标签!$N$2&amp;"           /"&amp;需打标签!$O$2,"")</f>
        <v/>
      </c>
    </row>
    <row r="22" spans="1:1" ht="112" customHeight="1" x14ac:dyDescent="0.25">
      <c r="A22" s="7" t="str">
        <f>IF(LEN(挂钩标签!A23),挂钩标签!A23&amp;CHAR(10)&amp;""&amp;需打标签!$L$2&amp;" "&amp;需打标签!$M$2&amp;" "&amp;需打标签!$N$2&amp;"           /"&amp;需打标签!$O$2,"")</f>
        <v/>
      </c>
    </row>
    <row r="23" spans="1:1" ht="112" customHeight="1" x14ac:dyDescent="0.25">
      <c r="A23" s="7" t="str">
        <f>IF(LEN(挂钩标签!A24),挂钩标签!A24&amp;CHAR(10)&amp;""&amp;需打标签!$L$2&amp;" "&amp;需打标签!$M$2&amp;" "&amp;需打标签!$N$2&amp;"           /"&amp;需打标签!$O$2,"")</f>
        <v/>
      </c>
    </row>
    <row r="24" spans="1:1" ht="112" customHeight="1" x14ac:dyDescent="0.25">
      <c r="A24" s="7" t="str">
        <f>IF(LEN(挂钩标签!A25),挂钩标签!A25&amp;CHAR(10)&amp;""&amp;需打标签!$L$2&amp;" "&amp;需打标签!$M$2&amp;" "&amp;需打标签!$N$2&amp;"           /"&amp;需打标签!$O$2,"")</f>
        <v/>
      </c>
    </row>
    <row r="25" spans="1:1" ht="112" customHeight="1" x14ac:dyDescent="0.25">
      <c r="A25" s="7" t="str">
        <f>IF(LEN(挂钩标签!A26),挂钩标签!A26&amp;CHAR(10)&amp;""&amp;需打标签!$L$2&amp;" "&amp;需打标签!$M$2&amp;" "&amp;需打标签!$N$2&amp;"           /"&amp;需打标签!$O$2,"")</f>
        <v/>
      </c>
    </row>
    <row r="26" spans="1:1" ht="112" customHeight="1" x14ac:dyDescent="0.25">
      <c r="A26" s="7" t="str">
        <f>IF(LEN(挂钩标签!A27),挂钩标签!A27&amp;CHAR(10)&amp;""&amp;需打标签!$L$2&amp;" "&amp;需打标签!$M$2&amp;" "&amp;需打标签!$N$2&amp;"           /"&amp;需打标签!$O$2,"")</f>
        <v/>
      </c>
    </row>
    <row r="27" spans="1:1" ht="112" customHeight="1" x14ac:dyDescent="0.25">
      <c r="A27" s="7" t="str">
        <f>IF(LEN(挂钩标签!A28),挂钩标签!A28&amp;CHAR(10)&amp;""&amp;需打标签!$L$2&amp;" "&amp;需打标签!$M$2&amp;" "&amp;需打标签!$N$2&amp;"           /"&amp;需打标签!$O$2,"")</f>
        <v/>
      </c>
    </row>
    <row r="28" spans="1:1" ht="112" customHeight="1" x14ac:dyDescent="0.25">
      <c r="A28" s="7" t="str">
        <f>IF(LEN(挂钩标签!A29),挂钩标签!A29&amp;CHAR(10)&amp;""&amp;需打标签!$L$2&amp;" "&amp;需打标签!$M$2&amp;" "&amp;需打标签!$N$2&amp;"           /"&amp;需打标签!$O$2,"")</f>
        <v/>
      </c>
    </row>
    <row r="29" spans="1:1" ht="112" customHeight="1" x14ac:dyDescent="0.25">
      <c r="A29" s="7" t="str">
        <f>IF(LEN(挂钩标签!A30),挂钩标签!A30&amp;CHAR(10)&amp;""&amp;需打标签!$L$2&amp;" "&amp;需打标签!$M$2&amp;" "&amp;需打标签!$N$2&amp;"           /"&amp;需打标签!$O$2,"")</f>
        <v/>
      </c>
    </row>
    <row r="30" spans="1:1" ht="112" customHeight="1" x14ac:dyDescent="0.25">
      <c r="A30" s="7" t="str">
        <f>IF(LEN(挂钩标签!A31),挂钩标签!A31&amp;CHAR(10)&amp;""&amp;需打标签!$L$2&amp;" "&amp;需打标签!$M$2&amp;" "&amp;需打标签!$N$2&amp;"           /"&amp;需打标签!$O$2,"")</f>
        <v/>
      </c>
    </row>
    <row r="31" spans="1:1" ht="112" customHeight="1" x14ac:dyDescent="0.25">
      <c r="A31" s="7" t="str">
        <f>IF(LEN(挂钩标签!A32),挂钩标签!A32&amp;CHAR(10)&amp;""&amp;需打标签!$L$2&amp;" "&amp;需打标签!$M$2&amp;" "&amp;需打标签!$N$2&amp;"           /"&amp;需打标签!$O$2,"")</f>
        <v/>
      </c>
    </row>
    <row r="32" spans="1:1" ht="112" customHeight="1" x14ac:dyDescent="0.25">
      <c r="A32" s="7" t="str">
        <f>IF(LEN(挂钩标签!A33),挂钩标签!A33&amp;CHAR(10)&amp;""&amp;需打标签!$L$2&amp;" "&amp;需打标签!$M$2&amp;" "&amp;需打标签!$N$2&amp;"           /"&amp;需打标签!$O$2,"")</f>
        <v/>
      </c>
    </row>
    <row r="33" spans="1:1" ht="112" customHeight="1" x14ac:dyDescent="0.25">
      <c r="A33" s="7" t="str">
        <f>IF(LEN(挂钩标签!A34),挂钩标签!A34&amp;CHAR(10)&amp;""&amp;需打标签!$L$2&amp;" "&amp;需打标签!$M$2&amp;" "&amp;需打标签!$N$2&amp;"           /"&amp;需打标签!$O$2,"")</f>
        <v/>
      </c>
    </row>
    <row r="34" spans="1:1" ht="112" customHeight="1" x14ac:dyDescent="0.25">
      <c r="A34" s="7" t="str">
        <f>IF(LEN(挂钩标签!A35),挂钩标签!A35&amp;CHAR(10)&amp;""&amp;需打标签!$L$2&amp;" "&amp;需打标签!$M$2&amp;" "&amp;需打标签!$N$2&amp;"           /"&amp;需打标签!$O$2,"")</f>
        <v/>
      </c>
    </row>
    <row r="35" spans="1:1" ht="112" customHeight="1" x14ac:dyDescent="0.25">
      <c r="A35" s="7" t="str">
        <f>IF(LEN(挂钩标签!A36),挂钩标签!A36&amp;CHAR(10)&amp;""&amp;需打标签!$L$2&amp;" "&amp;需打标签!$M$2&amp;" "&amp;需打标签!$N$2&amp;"           /"&amp;需打标签!$O$2,"")</f>
        <v/>
      </c>
    </row>
    <row r="36" spans="1:1" ht="112" customHeight="1" x14ac:dyDescent="0.25">
      <c r="A36" s="7" t="str">
        <f>IF(LEN(挂钩标签!A37),挂钩标签!A37&amp;CHAR(10)&amp;""&amp;需打标签!$L$2&amp;" "&amp;需打标签!$M$2&amp;" "&amp;需打标签!$N$2&amp;"           /"&amp;需打标签!$O$2,"")</f>
        <v/>
      </c>
    </row>
    <row r="37" spans="1:1" ht="112" customHeight="1" x14ac:dyDescent="0.25">
      <c r="A37" s="7" t="str">
        <f>IF(LEN(挂钩标签!A38),挂钩标签!A38&amp;CHAR(10)&amp;""&amp;需打标签!$L$2&amp;" "&amp;需打标签!$M$2&amp;" "&amp;需打标签!$N$2&amp;"           /"&amp;需打标签!$O$2,"")</f>
        <v/>
      </c>
    </row>
    <row r="38" spans="1:1" ht="112" customHeight="1" x14ac:dyDescent="0.25">
      <c r="A38" s="7" t="str">
        <f>IF(LEN(挂钩标签!A39),挂钩标签!A39&amp;CHAR(10)&amp;""&amp;需打标签!$L$2&amp;" "&amp;需打标签!$M$2&amp;" "&amp;需打标签!$N$2&amp;"           /"&amp;需打标签!$O$2,"")</f>
        <v/>
      </c>
    </row>
    <row r="39" spans="1:1" ht="112" customHeight="1" x14ac:dyDescent="0.25">
      <c r="A39" s="7" t="str">
        <f>IF(LEN(挂钩标签!A40),挂钩标签!A40&amp;CHAR(10)&amp;""&amp;需打标签!$L$2&amp;" "&amp;需打标签!$M$2&amp;" "&amp;需打标签!$N$2&amp;"           /"&amp;需打标签!$O$2,"")</f>
        <v/>
      </c>
    </row>
    <row r="40" spans="1:1" ht="112" customHeight="1" x14ac:dyDescent="0.25">
      <c r="A40" s="7" t="str">
        <f>IF(LEN(挂钩标签!A41),挂钩标签!A41&amp;CHAR(10)&amp;""&amp;需打标签!$L$2&amp;" "&amp;需打标签!$M$2&amp;" "&amp;需打标签!$N$2&amp;"           /"&amp;需打标签!$O$2,"")</f>
        <v/>
      </c>
    </row>
    <row r="41" spans="1:1" ht="112" customHeight="1" x14ac:dyDescent="0.25">
      <c r="A41" s="7" t="str">
        <f>IF(LEN(挂钩标签!A42),挂钩标签!A42&amp;CHAR(10)&amp;""&amp;需打标签!$L$2&amp;" "&amp;需打标签!$M$2&amp;" "&amp;需打标签!$N$2&amp;"           /"&amp;需打标签!$O$2,"")</f>
        <v/>
      </c>
    </row>
    <row r="42" spans="1:1" ht="112" customHeight="1" x14ac:dyDescent="0.25">
      <c r="A42" s="7" t="str">
        <f>IF(LEN(挂钩标签!A43),挂钩标签!A43&amp;CHAR(10)&amp;""&amp;需打标签!$L$2&amp;" "&amp;需打标签!$M$2&amp;" "&amp;需打标签!$N$2&amp;"           /"&amp;需打标签!$O$2,"")</f>
        <v/>
      </c>
    </row>
    <row r="43" spans="1:1" ht="112" customHeight="1" x14ac:dyDescent="0.25">
      <c r="A43" s="7" t="str">
        <f>IF(LEN(挂钩标签!A44),挂钩标签!A44&amp;CHAR(10)&amp;""&amp;需打标签!$L$2&amp;" "&amp;需打标签!$M$2&amp;" "&amp;需打标签!$N$2&amp;"           /"&amp;需打标签!$O$2,"")</f>
        <v/>
      </c>
    </row>
    <row r="44" spans="1:1" ht="112" customHeight="1" x14ac:dyDescent="0.25">
      <c r="A44" s="7" t="str">
        <f>IF(LEN(挂钩标签!A45),挂钩标签!A45&amp;CHAR(10)&amp;""&amp;需打标签!$L$2&amp;" "&amp;需打标签!$M$2&amp;" "&amp;需打标签!$N$2&amp;"           /"&amp;需打标签!$O$2,"")</f>
        <v/>
      </c>
    </row>
    <row r="45" spans="1:1" ht="112" customHeight="1" x14ac:dyDescent="0.25">
      <c r="A45" s="7" t="str">
        <f>IF(LEN(挂钩标签!A46),挂钩标签!A46&amp;CHAR(10)&amp;""&amp;需打标签!$L$2&amp;" "&amp;需打标签!$M$2&amp;" "&amp;需打标签!$N$2&amp;"           /"&amp;需打标签!$O$2,"")</f>
        <v/>
      </c>
    </row>
    <row r="46" spans="1:1" ht="112" customHeight="1" x14ac:dyDescent="0.25">
      <c r="A46" s="7" t="str">
        <f>IF(LEN(挂钩标签!A47),挂钩标签!A47&amp;CHAR(10)&amp;""&amp;需打标签!$L$2&amp;" "&amp;需打标签!$M$2&amp;" "&amp;需打标签!$N$2&amp;"           /"&amp;需打标签!$O$2,"")</f>
        <v/>
      </c>
    </row>
    <row r="47" spans="1:1" ht="112" customHeight="1" x14ac:dyDescent="0.25">
      <c r="A47" s="7" t="str">
        <f>IF(LEN(挂钩标签!A48),挂钩标签!A48&amp;CHAR(10)&amp;""&amp;需打标签!$L$2&amp;" "&amp;需打标签!$M$2&amp;" "&amp;需打标签!$N$2&amp;"           /"&amp;需打标签!$O$2,"")</f>
        <v/>
      </c>
    </row>
    <row r="48" spans="1:1" ht="112" customHeight="1" x14ac:dyDescent="0.25">
      <c r="A48" s="7" t="str">
        <f>IF(LEN(挂钩标签!A49),挂钩标签!A49&amp;CHAR(10)&amp;""&amp;需打标签!$L$2&amp;" "&amp;需打标签!$M$2&amp;" "&amp;需打标签!$N$2&amp;"           /"&amp;需打标签!$O$2,"")</f>
        <v/>
      </c>
    </row>
    <row r="49" spans="1:1" ht="112" customHeight="1" x14ac:dyDescent="0.25">
      <c r="A49" s="7" t="str">
        <f>IF(LEN(挂钩标签!A50),挂钩标签!A50&amp;CHAR(10)&amp;""&amp;需打标签!$L$2&amp;" "&amp;需打标签!$M$2&amp;" "&amp;需打标签!$N$2&amp;"           /"&amp;需打标签!$O$2,"")</f>
        <v/>
      </c>
    </row>
    <row r="50" spans="1:1" ht="112" customHeight="1" x14ac:dyDescent="0.25">
      <c r="A50" s="7" t="str">
        <f>IF(LEN(挂钩标签!A51),挂钩标签!A51&amp;CHAR(10)&amp;""&amp;需打标签!$L$2&amp;" "&amp;需打标签!$M$2&amp;" "&amp;需打标签!$N$2&amp;"           /"&amp;需打标签!$O$2,"")</f>
        <v/>
      </c>
    </row>
    <row r="51" spans="1:1" ht="112" customHeight="1" x14ac:dyDescent="0.25">
      <c r="A51" s="7" t="str">
        <f>IF(LEN(挂钩标签!A52),挂钩标签!A52&amp;CHAR(10)&amp;""&amp;需打标签!$L$2&amp;" "&amp;需打标签!$M$2&amp;" "&amp;需打标签!$N$2&amp;"           /"&amp;需打标签!$O$2,"")</f>
        <v/>
      </c>
    </row>
    <row r="52" spans="1:1" ht="112" customHeight="1" x14ac:dyDescent="0.25">
      <c r="A52" s="7" t="str">
        <f>IF(LEN(挂钩标签!A53),挂钩标签!A53&amp;CHAR(10)&amp;""&amp;需打标签!$L$2&amp;" "&amp;需打标签!$M$2&amp;" "&amp;需打标签!$N$2&amp;"           /"&amp;需打标签!$O$2,"")</f>
        <v/>
      </c>
    </row>
    <row r="53" spans="1:1" ht="112" customHeight="1" x14ac:dyDescent="0.25">
      <c r="A53" s="7" t="str">
        <f>IF(LEN(挂钩标签!A54),挂钩标签!A54&amp;CHAR(10)&amp;""&amp;需打标签!$L$2&amp;" "&amp;需打标签!$M$2&amp;" "&amp;需打标签!$N$2&amp;"           /"&amp;需打标签!$O$2,"")</f>
        <v/>
      </c>
    </row>
    <row r="54" spans="1:1" ht="112" customHeight="1" x14ac:dyDescent="0.25">
      <c r="A54" s="7" t="str">
        <f>IF(LEN(挂钩标签!A55),挂钩标签!A55&amp;CHAR(10)&amp;""&amp;需打标签!$L$2&amp;" "&amp;需打标签!$M$2&amp;" "&amp;需打标签!$N$2&amp;"           /"&amp;需打标签!$O$2,"")</f>
        <v/>
      </c>
    </row>
    <row r="55" spans="1:1" ht="112" customHeight="1" x14ac:dyDescent="0.25">
      <c r="A55" s="7" t="str">
        <f>IF(LEN(挂钩标签!A56),挂钩标签!A56&amp;CHAR(10)&amp;""&amp;需打标签!$L$2&amp;" "&amp;需打标签!$M$2&amp;" "&amp;需打标签!$N$2&amp;"           /"&amp;需打标签!$O$2,"")</f>
        <v/>
      </c>
    </row>
    <row r="56" spans="1:1" ht="112" customHeight="1" x14ac:dyDescent="0.25">
      <c r="A56" s="7" t="str">
        <f>IF(LEN(挂钩标签!A57),挂钩标签!A57&amp;CHAR(10)&amp;""&amp;需打标签!$L$2&amp;" "&amp;需打标签!$M$2&amp;" "&amp;需打标签!$N$2&amp;"           /"&amp;需打标签!$O$2,"")</f>
        <v/>
      </c>
    </row>
    <row r="57" spans="1:1" ht="112" customHeight="1" x14ac:dyDescent="0.25">
      <c r="A57" s="7" t="str">
        <f>IF(LEN(挂钩标签!A58),挂钩标签!A58&amp;CHAR(10)&amp;""&amp;需打标签!$L$2&amp;" "&amp;需打标签!$M$2&amp;" "&amp;需打标签!$N$2&amp;"           /"&amp;需打标签!$O$2,"")</f>
        <v/>
      </c>
    </row>
    <row r="58" spans="1:1" ht="112" customHeight="1" x14ac:dyDescent="0.25">
      <c r="A58" s="7" t="str">
        <f>IF(LEN(挂钩标签!A59),挂钩标签!A59&amp;CHAR(10)&amp;""&amp;需打标签!$L$2&amp;" "&amp;需打标签!$M$2&amp;" "&amp;需打标签!$N$2&amp;"           /"&amp;需打标签!$O$2,"")</f>
        <v/>
      </c>
    </row>
    <row r="59" spans="1:1" ht="112" customHeight="1" x14ac:dyDescent="0.25">
      <c r="A59" s="7" t="str">
        <f>IF(LEN(挂钩标签!A60),挂钩标签!A60&amp;CHAR(10)&amp;""&amp;需打标签!$L$2&amp;" "&amp;需打标签!$M$2&amp;" "&amp;需打标签!$N$2&amp;"           /"&amp;需打标签!$O$2,"")</f>
        <v/>
      </c>
    </row>
    <row r="60" spans="1:1" ht="112" customHeight="1" x14ac:dyDescent="0.25">
      <c r="A60" s="7" t="str">
        <f>IF(LEN(挂钩标签!A61),挂钩标签!A61&amp;CHAR(10)&amp;""&amp;需打标签!$L$2&amp;" "&amp;需打标签!$M$2&amp;" "&amp;需打标签!$N$2&amp;"           /"&amp;需打标签!$O$2,"")</f>
        <v/>
      </c>
    </row>
    <row r="61" spans="1:1" ht="112" customHeight="1" x14ac:dyDescent="0.25">
      <c r="A61" s="7" t="str">
        <f>IF(LEN(挂钩标签!A62),挂钩标签!A62&amp;CHAR(10)&amp;""&amp;需打标签!$L$2&amp;" "&amp;需打标签!$M$2&amp;" "&amp;需打标签!$N$2&amp;"           /"&amp;需打标签!$O$2,"")</f>
        <v/>
      </c>
    </row>
    <row r="62" spans="1:1" ht="112" customHeight="1" x14ac:dyDescent="0.25">
      <c r="A62" s="7" t="str">
        <f>IF(LEN(挂钩标签!A63),挂钩标签!A63&amp;CHAR(10)&amp;""&amp;需打标签!$L$2&amp;" "&amp;需打标签!$M$2&amp;" "&amp;需打标签!$N$2&amp;"           /"&amp;需打标签!$O$2,"")</f>
        <v/>
      </c>
    </row>
    <row r="63" spans="1:1" ht="112" customHeight="1" x14ac:dyDescent="0.25">
      <c r="A63" s="7" t="str">
        <f>IF(LEN(挂钩标签!A64),挂钩标签!A64&amp;CHAR(10)&amp;""&amp;需打标签!$L$2&amp;" "&amp;需打标签!$M$2&amp;" "&amp;需打标签!$N$2&amp;"           /"&amp;需打标签!$O$2,"")</f>
        <v/>
      </c>
    </row>
    <row r="64" spans="1:1" ht="112" customHeight="1" x14ac:dyDescent="0.25">
      <c r="A64" s="7" t="str">
        <f>IF(LEN(挂钩标签!A65),挂钩标签!A65&amp;CHAR(10)&amp;""&amp;需打标签!$L$2&amp;" "&amp;需打标签!$M$2&amp;" "&amp;需打标签!$N$2&amp;"           /"&amp;需打标签!$O$2,"")</f>
        <v/>
      </c>
    </row>
    <row r="65" spans="1:1" ht="112" customHeight="1" x14ac:dyDescent="0.25">
      <c r="A65" s="7" t="str">
        <f>IF(LEN(挂钩标签!A66),挂钩标签!A66&amp;CHAR(10)&amp;""&amp;需打标签!$L$2&amp;" "&amp;需打标签!$M$2&amp;" "&amp;需打标签!$N$2&amp;"           /"&amp;需打标签!$O$2,"")</f>
        <v/>
      </c>
    </row>
    <row r="66" spans="1:1" ht="112" customHeight="1" x14ac:dyDescent="0.25">
      <c r="A66" s="7" t="str">
        <f>IF(LEN(挂钩标签!A67),挂钩标签!A67&amp;CHAR(10)&amp;""&amp;需打标签!$L$2&amp;" "&amp;需打标签!$M$2&amp;" "&amp;需打标签!$N$2&amp;"           /"&amp;需打标签!$O$2,"")</f>
        <v/>
      </c>
    </row>
    <row r="67" spans="1:1" ht="112" customHeight="1" x14ac:dyDescent="0.25">
      <c r="A67" s="7" t="str">
        <f>IF(LEN(挂钩标签!A68),挂钩标签!A68&amp;CHAR(10)&amp;""&amp;需打标签!$L$2&amp;" "&amp;需打标签!$M$2&amp;" "&amp;需打标签!$N$2&amp;"           /"&amp;需打标签!$O$2,"")</f>
        <v/>
      </c>
    </row>
    <row r="68" spans="1:1" ht="112" customHeight="1" x14ac:dyDescent="0.25">
      <c r="A68" s="7" t="str">
        <f>IF(LEN(挂钩标签!A69),挂钩标签!A69&amp;CHAR(10)&amp;""&amp;需打标签!$L$2&amp;" "&amp;需打标签!$M$2&amp;" "&amp;需打标签!$N$2&amp;"           /"&amp;需打标签!$O$2,"")</f>
        <v/>
      </c>
    </row>
    <row r="69" spans="1:1" ht="112" customHeight="1" x14ac:dyDescent="0.25">
      <c r="A69" s="7" t="str">
        <f>IF(LEN(挂钩标签!A70),挂钩标签!A70&amp;CHAR(10)&amp;""&amp;需打标签!$L$2&amp;" "&amp;需打标签!$M$2&amp;" "&amp;需打标签!$N$2&amp;"           /"&amp;需打标签!$O$2,"")</f>
        <v/>
      </c>
    </row>
    <row r="70" spans="1:1" ht="112" customHeight="1" x14ac:dyDescent="0.25">
      <c r="A70" s="7" t="str">
        <f>IF(LEN(挂钩标签!A71),挂钩标签!A71&amp;CHAR(10)&amp;""&amp;需打标签!$L$2&amp;" "&amp;需打标签!$M$2&amp;" "&amp;需打标签!$N$2&amp;"           /"&amp;需打标签!$O$2,"")</f>
        <v/>
      </c>
    </row>
    <row r="71" spans="1:1" ht="112" customHeight="1" x14ac:dyDescent="0.25">
      <c r="A71" s="7" t="str">
        <f>IF(LEN(挂钩标签!A72),挂钩标签!A72&amp;CHAR(10)&amp;""&amp;需打标签!$L$2&amp;" "&amp;需打标签!$M$2&amp;" "&amp;需打标签!$N$2&amp;"           /"&amp;需打标签!$O$2,"")</f>
        <v/>
      </c>
    </row>
    <row r="72" spans="1:1" ht="112" customHeight="1" x14ac:dyDescent="0.25">
      <c r="A72" s="7" t="str">
        <f>IF(LEN(挂钩标签!A73),挂钩标签!A73&amp;CHAR(10)&amp;""&amp;需打标签!$L$2&amp;" "&amp;需打标签!$M$2&amp;" "&amp;需打标签!$N$2&amp;"           /"&amp;需打标签!$O$2,"")</f>
        <v/>
      </c>
    </row>
    <row r="73" spans="1:1" ht="112" customHeight="1" x14ac:dyDescent="0.25">
      <c r="A73" s="7" t="str">
        <f>IF(LEN(挂钩标签!A74),挂钩标签!A74&amp;CHAR(10)&amp;""&amp;需打标签!$L$2&amp;" "&amp;需打标签!$M$2&amp;" "&amp;需打标签!$N$2&amp;"           /"&amp;需打标签!$O$2,"")</f>
        <v/>
      </c>
    </row>
    <row r="74" spans="1:1" ht="112" customHeight="1" x14ac:dyDescent="0.25">
      <c r="A74" s="7" t="str">
        <f>IF(LEN(挂钩标签!A75),挂钩标签!A75&amp;CHAR(10)&amp;""&amp;需打标签!$L$2&amp;" "&amp;需打标签!$M$2&amp;" "&amp;需打标签!$N$2&amp;"           /"&amp;需打标签!$O$2,"")</f>
        <v/>
      </c>
    </row>
    <row r="75" spans="1:1" ht="112" customHeight="1" x14ac:dyDescent="0.25">
      <c r="A75" s="7" t="str">
        <f>IF(LEN(挂钩标签!A76),挂钩标签!A76&amp;CHAR(10)&amp;""&amp;需打标签!$L$2&amp;" "&amp;需打标签!$M$2&amp;" "&amp;需打标签!$N$2&amp;"           /"&amp;需打标签!$O$2,"")</f>
        <v/>
      </c>
    </row>
    <row r="76" spans="1:1" ht="112" customHeight="1" x14ac:dyDescent="0.25">
      <c r="A76" s="7" t="str">
        <f>IF(LEN(挂钩标签!A77),挂钩标签!A77&amp;CHAR(10)&amp;""&amp;需打标签!$L$2&amp;" "&amp;需打标签!$M$2&amp;" "&amp;需打标签!$N$2&amp;"           /"&amp;需打标签!$O$2,"")</f>
        <v/>
      </c>
    </row>
    <row r="77" spans="1:1" ht="112" customHeight="1" x14ac:dyDescent="0.25">
      <c r="A77" s="7" t="str">
        <f>IF(LEN(挂钩标签!A78),挂钩标签!A78&amp;CHAR(10)&amp;""&amp;需打标签!$L$2&amp;" "&amp;需打标签!$M$2&amp;" "&amp;需打标签!$N$2&amp;"           /"&amp;需打标签!$O$2,"")</f>
        <v/>
      </c>
    </row>
    <row r="78" spans="1:1" ht="112" customHeight="1" x14ac:dyDescent="0.25">
      <c r="A78" s="7" t="str">
        <f>IF(LEN(挂钩标签!A79),挂钩标签!A79&amp;CHAR(10)&amp;""&amp;需打标签!$L$2&amp;" "&amp;需打标签!$M$2&amp;" "&amp;需打标签!$N$2&amp;"           /"&amp;需打标签!$O$2,"")</f>
        <v/>
      </c>
    </row>
    <row r="79" spans="1:1" ht="112" customHeight="1" x14ac:dyDescent="0.25">
      <c r="A79" s="7" t="str">
        <f>IF(LEN(挂钩标签!A80),挂钩标签!A80&amp;CHAR(10)&amp;""&amp;需打标签!$L$2&amp;" "&amp;需打标签!$M$2&amp;" "&amp;需打标签!$N$2&amp;"           /"&amp;需打标签!$O$2,"")</f>
        <v/>
      </c>
    </row>
    <row r="80" spans="1:1" ht="112" customHeight="1" x14ac:dyDescent="0.25">
      <c r="A80" s="7" t="str">
        <f>IF(LEN(挂钩标签!A81),挂钩标签!A81&amp;CHAR(10)&amp;""&amp;需打标签!$L$2&amp;" "&amp;需打标签!$M$2&amp;" "&amp;需打标签!$N$2&amp;"           /"&amp;需打标签!$O$2,"")</f>
        <v/>
      </c>
    </row>
    <row r="81" spans="1:1" ht="112" customHeight="1" x14ac:dyDescent="0.25">
      <c r="A81" s="7" t="str">
        <f>IF(LEN(挂钩标签!A82),挂钩标签!A82&amp;CHAR(10)&amp;""&amp;需打标签!$L$2&amp;" "&amp;需打标签!$M$2&amp;" "&amp;需打标签!$N$2&amp;"           /"&amp;需打标签!$O$2,"")</f>
        <v/>
      </c>
    </row>
    <row r="82" spans="1:1" ht="112" customHeight="1" x14ac:dyDescent="0.25">
      <c r="A82" s="7" t="str">
        <f>IF(LEN(挂钩标签!A83),挂钩标签!A83&amp;CHAR(10)&amp;""&amp;需打标签!$L$2&amp;" "&amp;需打标签!$M$2&amp;" "&amp;需打标签!$N$2&amp;"           /"&amp;需打标签!$O$2,"")</f>
        <v/>
      </c>
    </row>
    <row r="83" spans="1:1" ht="112" customHeight="1" x14ac:dyDescent="0.25">
      <c r="A83" s="7" t="str">
        <f>IF(LEN(挂钩标签!A84),挂钩标签!A84&amp;CHAR(10)&amp;""&amp;需打标签!$L$2&amp;" "&amp;需打标签!$M$2&amp;" "&amp;需打标签!$N$2&amp;"           /"&amp;需打标签!$O$2,"")</f>
        <v/>
      </c>
    </row>
    <row r="84" spans="1:1" ht="112" customHeight="1" x14ac:dyDescent="0.25">
      <c r="A84" s="7" t="str">
        <f>IF(LEN(挂钩标签!A85),挂钩标签!A85&amp;CHAR(10)&amp;""&amp;需打标签!$L$2&amp;" "&amp;需打标签!$M$2&amp;" "&amp;需打标签!$N$2&amp;"           /"&amp;需打标签!$O$2,"")</f>
        <v/>
      </c>
    </row>
    <row r="85" spans="1:1" ht="112" customHeight="1" x14ac:dyDescent="0.25">
      <c r="A85" s="7" t="str">
        <f>IF(LEN(挂钩标签!A86),挂钩标签!A86&amp;CHAR(10)&amp;""&amp;需打标签!$L$2&amp;" "&amp;需打标签!$M$2&amp;" "&amp;需打标签!$N$2&amp;"           /"&amp;需打标签!$O$2,"")</f>
        <v/>
      </c>
    </row>
    <row r="86" spans="1:1" ht="112" customHeight="1" x14ac:dyDescent="0.25">
      <c r="A86" s="7" t="str">
        <f>IF(LEN(挂钩标签!A87),挂钩标签!A87&amp;CHAR(10)&amp;""&amp;需打标签!$L$2&amp;" "&amp;需打标签!$M$2&amp;" "&amp;需打标签!$N$2&amp;"           /"&amp;需打标签!$O$2,"")</f>
        <v/>
      </c>
    </row>
    <row r="87" spans="1:1" ht="112" customHeight="1" x14ac:dyDescent="0.25">
      <c r="A87" s="7" t="str">
        <f>IF(LEN(挂钩标签!A88),挂钩标签!A88&amp;CHAR(10)&amp;""&amp;需打标签!$L$2&amp;" "&amp;需打标签!$M$2&amp;" "&amp;需打标签!$N$2&amp;"           /"&amp;需打标签!$O$2,"")</f>
        <v/>
      </c>
    </row>
    <row r="88" spans="1:1" ht="112" customHeight="1" x14ac:dyDescent="0.25">
      <c r="A88" s="7" t="str">
        <f>IF(LEN(挂钩标签!A89),挂钩标签!A89&amp;CHAR(10)&amp;""&amp;需打标签!$L$2&amp;" "&amp;需打标签!$M$2&amp;" "&amp;需打标签!$N$2&amp;"           /"&amp;需打标签!$O$2,"")</f>
        <v/>
      </c>
    </row>
    <row r="89" spans="1:1" ht="112" customHeight="1" x14ac:dyDescent="0.25">
      <c r="A89" s="7" t="str">
        <f>IF(LEN(挂钩标签!A90),挂钩标签!A90&amp;CHAR(10)&amp;""&amp;需打标签!$L$2&amp;" "&amp;需打标签!$M$2&amp;" "&amp;需打标签!$N$2&amp;"           /"&amp;需打标签!$O$2,"")</f>
        <v/>
      </c>
    </row>
    <row r="90" spans="1:1" ht="112" customHeight="1" x14ac:dyDescent="0.25">
      <c r="A90" s="7" t="str">
        <f>IF(LEN(挂钩标签!A91),挂钩标签!A91&amp;CHAR(10)&amp;""&amp;需打标签!$L$2&amp;" "&amp;需打标签!$M$2&amp;" "&amp;需打标签!$N$2&amp;"           /"&amp;需打标签!$O$2,"")</f>
        <v/>
      </c>
    </row>
    <row r="91" spans="1:1" ht="112" customHeight="1" x14ac:dyDescent="0.25">
      <c r="A91" s="7" t="str">
        <f>IF(LEN(挂钩标签!A92),挂钩标签!A92&amp;CHAR(10)&amp;""&amp;需打标签!$L$2&amp;" "&amp;需打标签!$M$2&amp;" "&amp;需打标签!$N$2&amp;"           /"&amp;需打标签!$O$2,"")</f>
        <v/>
      </c>
    </row>
    <row r="92" spans="1:1" ht="112" customHeight="1" x14ac:dyDescent="0.25">
      <c r="A92" s="7" t="str">
        <f>IF(LEN(挂钩标签!A93),挂钩标签!A93&amp;CHAR(10)&amp;""&amp;需打标签!$L$2&amp;" "&amp;需打标签!$M$2&amp;" "&amp;需打标签!$N$2&amp;"           /"&amp;需打标签!$O$2,"")</f>
        <v/>
      </c>
    </row>
    <row r="93" spans="1:1" ht="112" customHeight="1" x14ac:dyDescent="0.25">
      <c r="A93" s="7" t="str">
        <f>IF(LEN(挂钩标签!A94),挂钩标签!A94&amp;CHAR(10)&amp;""&amp;需打标签!$L$2&amp;" "&amp;需打标签!$M$2&amp;" "&amp;需打标签!$N$2&amp;"           /"&amp;需打标签!$O$2,"")</f>
        <v/>
      </c>
    </row>
    <row r="94" spans="1:1" ht="112" customHeight="1" x14ac:dyDescent="0.25">
      <c r="A94" s="7" t="str">
        <f>IF(LEN(挂钩标签!A95),挂钩标签!A95&amp;CHAR(10)&amp;""&amp;需打标签!$L$2&amp;" "&amp;需打标签!$M$2&amp;" "&amp;需打标签!$N$2&amp;"           /"&amp;需打标签!$O$2,"")</f>
        <v/>
      </c>
    </row>
    <row r="95" spans="1:1" ht="112" customHeight="1" x14ac:dyDescent="0.25">
      <c r="A95" s="7" t="str">
        <f>IF(LEN(挂钩标签!A96),挂钩标签!A96&amp;CHAR(10)&amp;""&amp;需打标签!$L$2&amp;" "&amp;需打标签!$M$2&amp;" "&amp;需打标签!$N$2&amp;"           /"&amp;需打标签!$O$2,"")</f>
        <v/>
      </c>
    </row>
    <row r="96" spans="1:1" ht="112" customHeight="1" x14ac:dyDescent="0.25">
      <c r="A96" s="7" t="str">
        <f>IF(LEN(挂钩标签!A97),挂钩标签!A97&amp;CHAR(10)&amp;""&amp;需打标签!$L$2&amp;" "&amp;需打标签!$M$2&amp;" "&amp;需打标签!$N$2&amp;"           /"&amp;需打标签!$O$2,"")</f>
        <v/>
      </c>
    </row>
    <row r="97" spans="1:1" ht="112" customHeight="1" x14ac:dyDescent="0.25">
      <c r="A97" s="7" t="str">
        <f>IF(LEN(挂钩标签!A98),挂钩标签!A98&amp;CHAR(10)&amp;""&amp;需打标签!$L$2&amp;" "&amp;需打标签!$M$2&amp;" "&amp;需打标签!$N$2&amp;"           /"&amp;需打标签!$O$2,"")</f>
        <v/>
      </c>
    </row>
    <row r="98" spans="1:1" ht="112" customHeight="1" x14ac:dyDescent="0.25">
      <c r="A98" s="7" t="str">
        <f>IF(LEN(挂钩标签!A99),挂钩标签!A99&amp;CHAR(10)&amp;""&amp;需打标签!$L$2&amp;" "&amp;需打标签!$M$2&amp;" "&amp;需打标签!$N$2&amp;"           /"&amp;需打标签!$O$2,"")</f>
        <v/>
      </c>
    </row>
    <row r="99" spans="1:1" ht="112" customHeight="1" x14ac:dyDescent="0.25">
      <c r="A99" s="7" t="str">
        <f>IF(LEN(挂钩标签!A100),挂钩标签!A100&amp;CHAR(10)&amp;""&amp;需打标签!$L$2&amp;" "&amp;需打标签!$M$2&amp;" "&amp;需打标签!$N$2&amp;"           /"&amp;需打标签!$O$2,"")</f>
        <v/>
      </c>
    </row>
    <row r="100" spans="1:1" ht="112" customHeight="1" x14ac:dyDescent="0.25">
      <c r="A100" s="7" t="str">
        <f>IF(LEN(挂钩标签!A101),挂钩标签!A101&amp;CHAR(10)&amp;""&amp;需打标签!$L$2&amp;" "&amp;需打标签!$M$2&amp;" "&amp;需打标签!$N$2&amp;"           /"&amp;需打标签!$O$2,"")</f>
        <v/>
      </c>
    </row>
    <row r="101" spans="1:1" ht="112" customHeight="1" x14ac:dyDescent="0.25">
      <c r="A101" s="7" t="str">
        <f>IF(LEN(挂钩标签!A102),挂钩标签!A102&amp;CHAR(10)&amp;""&amp;需打标签!$L$2&amp;" "&amp;需打标签!$M$2&amp;" "&amp;需打标签!$N$2&amp;"           /"&amp;需打标签!$O$2,"")</f>
        <v/>
      </c>
    </row>
    <row r="102" spans="1:1" ht="112" customHeight="1" x14ac:dyDescent="0.25">
      <c r="A102" s="7" t="str">
        <f>IF(LEN(挂钩标签!A103),挂钩标签!A103&amp;CHAR(10)&amp;""&amp;需打标签!$L$2&amp;" "&amp;需打标签!$M$2&amp;" "&amp;需打标签!$N$2&amp;"           /"&amp;需打标签!$O$2,"")</f>
        <v/>
      </c>
    </row>
    <row r="103" spans="1:1" ht="112" customHeight="1" x14ac:dyDescent="0.25">
      <c r="A103" s="7" t="str">
        <f>IF(LEN(挂钩标签!A104),挂钩标签!A104&amp;CHAR(10)&amp;""&amp;需打标签!$L$2&amp;" "&amp;需打标签!$M$2&amp;" "&amp;需打标签!$N$2&amp;"           /"&amp;需打标签!$O$2,"")</f>
        <v/>
      </c>
    </row>
    <row r="104" spans="1:1" ht="112" customHeight="1" x14ac:dyDescent="0.25">
      <c r="A104" s="7" t="str">
        <f>IF(LEN(挂钩标签!A105),挂钩标签!A105&amp;CHAR(10)&amp;""&amp;需打标签!$L$2&amp;" "&amp;需打标签!$M$2&amp;" "&amp;需打标签!$N$2&amp;"           /"&amp;需打标签!$O$2,"")</f>
        <v/>
      </c>
    </row>
    <row r="105" spans="1:1" ht="112" customHeight="1" x14ac:dyDescent="0.25">
      <c r="A105" s="7" t="str">
        <f>IF(LEN(挂钩标签!A106),挂钩标签!A106&amp;CHAR(10)&amp;""&amp;需打标签!$L$2&amp;" "&amp;需打标签!$M$2&amp;" "&amp;需打标签!$N$2&amp;"           /"&amp;需打标签!$O$2,"")</f>
        <v/>
      </c>
    </row>
    <row r="106" spans="1:1" ht="112" customHeight="1" x14ac:dyDescent="0.25">
      <c r="A106" s="7" t="str">
        <f>IF(LEN(挂钩标签!A107),挂钩标签!A107&amp;CHAR(10)&amp;""&amp;需打标签!$L$2&amp;" "&amp;需打标签!$M$2&amp;" "&amp;需打标签!$N$2&amp;"           /"&amp;需打标签!$O$2,"")</f>
        <v/>
      </c>
    </row>
    <row r="107" spans="1:1" ht="112" customHeight="1" x14ac:dyDescent="0.25">
      <c r="A107" s="7" t="str">
        <f>IF(LEN(挂钩标签!A108),挂钩标签!A108&amp;CHAR(10)&amp;""&amp;需打标签!$L$2&amp;" "&amp;需打标签!$M$2&amp;" "&amp;需打标签!$N$2&amp;"           /"&amp;需打标签!$O$2,"")</f>
        <v/>
      </c>
    </row>
    <row r="108" spans="1:1" ht="112" customHeight="1" x14ac:dyDescent="0.25">
      <c r="A108" s="7" t="str">
        <f>IF(LEN(挂钩标签!A109),挂钩标签!A109&amp;CHAR(10)&amp;""&amp;需打标签!$L$2&amp;" "&amp;需打标签!$M$2&amp;" "&amp;需打标签!$N$2&amp;"           /"&amp;需打标签!$O$2,"")</f>
        <v/>
      </c>
    </row>
    <row r="109" spans="1:1" ht="112" customHeight="1" x14ac:dyDescent="0.25">
      <c r="A109" s="7" t="str">
        <f>IF(LEN(挂钩标签!A110),挂钩标签!A110&amp;CHAR(10)&amp;""&amp;需打标签!$L$2&amp;" "&amp;需打标签!$M$2&amp;" "&amp;需打标签!$N$2&amp;"           /"&amp;需打标签!$O$2,"")</f>
        <v/>
      </c>
    </row>
    <row r="110" spans="1:1" ht="112" customHeight="1" x14ac:dyDescent="0.25">
      <c r="A110" s="7" t="str">
        <f>IF(LEN(挂钩标签!A111),挂钩标签!A111&amp;CHAR(10)&amp;""&amp;需打标签!$L$2&amp;" "&amp;需打标签!$M$2&amp;" "&amp;需打标签!$N$2&amp;"           /"&amp;需打标签!$O$2,"")</f>
        <v/>
      </c>
    </row>
    <row r="111" spans="1:1" ht="112" customHeight="1" x14ac:dyDescent="0.25">
      <c r="A111" s="7" t="str">
        <f>IF(LEN(挂钩标签!A112),挂钩标签!A112&amp;CHAR(10)&amp;""&amp;需打标签!$L$2&amp;" "&amp;需打标签!$M$2&amp;" "&amp;需打标签!$N$2&amp;"           /"&amp;需打标签!$O$2,"")</f>
        <v/>
      </c>
    </row>
    <row r="112" spans="1:1" ht="112" customHeight="1" x14ac:dyDescent="0.25">
      <c r="A112" s="7" t="str">
        <f>IF(LEN(挂钩标签!A113),挂钩标签!A113&amp;CHAR(10)&amp;""&amp;需打标签!$L$2&amp;" "&amp;需打标签!$M$2&amp;" "&amp;需打标签!$N$2&amp;"           /"&amp;需打标签!$O$2,"")</f>
        <v/>
      </c>
    </row>
    <row r="113" spans="1:1" ht="112" customHeight="1" x14ac:dyDescent="0.25">
      <c r="A113" s="7" t="str">
        <f>IF(LEN(挂钩标签!A114),挂钩标签!A114&amp;CHAR(10)&amp;""&amp;需打标签!$L$2&amp;" "&amp;需打标签!$M$2&amp;" "&amp;需打标签!$N$2&amp;"           /"&amp;需打标签!$O$2,"")</f>
        <v/>
      </c>
    </row>
    <row r="114" spans="1:1" ht="112" customHeight="1" x14ac:dyDescent="0.25">
      <c r="A114" s="7" t="str">
        <f>IF(LEN(挂钩标签!A115),挂钩标签!A115&amp;CHAR(10)&amp;""&amp;需打标签!$L$2&amp;" "&amp;需打标签!$M$2&amp;" "&amp;需打标签!$N$2&amp;"           /"&amp;需打标签!$O$2,"")</f>
        <v/>
      </c>
    </row>
    <row r="115" spans="1:1" ht="112" customHeight="1" x14ac:dyDescent="0.25">
      <c r="A115" s="7" t="str">
        <f>IF(LEN(挂钩标签!A116),挂钩标签!A116&amp;CHAR(10)&amp;""&amp;需打标签!$L$2&amp;" "&amp;需打标签!$M$2&amp;" "&amp;需打标签!$N$2&amp;"           /"&amp;需打标签!$O$2,"")</f>
        <v/>
      </c>
    </row>
    <row r="116" spans="1:1" ht="112" customHeight="1" x14ac:dyDescent="0.25">
      <c r="A116" s="7" t="str">
        <f>IF(LEN(挂钩标签!A117),挂钩标签!A117&amp;CHAR(10)&amp;""&amp;需打标签!$L$2&amp;" "&amp;需打标签!$M$2&amp;" "&amp;需打标签!$N$2&amp;"           /"&amp;需打标签!$O$2,"")</f>
        <v/>
      </c>
    </row>
    <row r="117" spans="1:1" ht="112" customHeight="1" x14ac:dyDescent="0.25">
      <c r="A117" s="7" t="str">
        <f>IF(LEN(挂钩标签!A118),挂钩标签!A118&amp;CHAR(10)&amp;""&amp;需打标签!$L$2&amp;" "&amp;需打标签!$M$2&amp;" "&amp;需打标签!$N$2&amp;"           /"&amp;需打标签!$O$2,"")</f>
        <v/>
      </c>
    </row>
    <row r="118" spans="1:1" ht="112" customHeight="1" x14ac:dyDescent="0.25">
      <c r="A118" s="7" t="str">
        <f>IF(LEN(挂钩标签!A119),挂钩标签!A119&amp;CHAR(10)&amp;""&amp;需打标签!$L$2&amp;" "&amp;需打标签!$M$2&amp;" "&amp;需打标签!$N$2&amp;"           /"&amp;需打标签!$O$2,"")</f>
        <v/>
      </c>
    </row>
    <row r="119" spans="1:1" ht="112" customHeight="1" x14ac:dyDescent="0.25">
      <c r="A119" s="7" t="str">
        <f>IF(LEN(挂钩标签!A120),挂钩标签!A120&amp;CHAR(10)&amp;""&amp;需打标签!$L$2&amp;" "&amp;需打标签!$M$2&amp;" "&amp;需打标签!$N$2&amp;"           /"&amp;需打标签!$O$2,"")</f>
        <v/>
      </c>
    </row>
    <row r="120" spans="1:1" ht="112" customHeight="1" x14ac:dyDescent="0.25">
      <c r="A120" s="7" t="str">
        <f>IF(LEN(挂钩标签!A121),挂钩标签!A121&amp;CHAR(10)&amp;""&amp;需打标签!$L$2&amp;" "&amp;需打标签!$M$2&amp;" "&amp;需打标签!$N$2&amp;"           /"&amp;需打标签!$O$2,"")</f>
        <v/>
      </c>
    </row>
    <row r="121" spans="1:1" ht="112" customHeight="1" x14ac:dyDescent="0.25">
      <c r="A121" s="7" t="str">
        <f>IF(LEN(挂钩标签!A122),挂钩标签!A122&amp;CHAR(10)&amp;""&amp;需打标签!$L$2&amp;" "&amp;需打标签!$M$2&amp;" "&amp;需打标签!$N$2&amp;"           /"&amp;需打标签!$O$2,"")</f>
        <v/>
      </c>
    </row>
    <row r="122" spans="1:1" ht="112" customHeight="1" x14ac:dyDescent="0.25">
      <c r="A122" s="7" t="str">
        <f>IF(LEN(挂钩标签!A123),挂钩标签!A123&amp;CHAR(10)&amp;""&amp;需打标签!$L$2&amp;" "&amp;需打标签!$M$2&amp;" "&amp;需打标签!$N$2&amp;"           /"&amp;需打标签!$O$2,"")</f>
        <v/>
      </c>
    </row>
    <row r="123" spans="1:1" ht="112" customHeight="1" x14ac:dyDescent="0.25">
      <c r="A123" s="7" t="str">
        <f>IF(LEN(挂钩标签!A124),挂钩标签!A124&amp;CHAR(10)&amp;""&amp;需打标签!$L$2&amp;" "&amp;需打标签!$M$2&amp;" "&amp;需打标签!$N$2&amp;"           /"&amp;需打标签!$O$2,"")</f>
        <v/>
      </c>
    </row>
    <row r="124" spans="1:1" ht="112" customHeight="1" x14ac:dyDescent="0.25">
      <c r="A124" s="7" t="str">
        <f>IF(LEN(挂钩标签!A125),挂钩标签!A125&amp;CHAR(10)&amp;""&amp;需打标签!$L$2&amp;" "&amp;需打标签!$M$2&amp;" "&amp;需打标签!$N$2&amp;"           /"&amp;需打标签!$O$2,"")</f>
        <v/>
      </c>
    </row>
    <row r="125" spans="1:1" ht="112" customHeight="1" x14ac:dyDescent="0.25">
      <c r="A125" s="7" t="str">
        <f>IF(LEN(挂钩标签!A126),挂钩标签!A126&amp;CHAR(10)&amp;""&amp;需打标签!$L$2&amp;" "&amp;需打标签!$M$2&amp;" "&amp;需打标签!$N$2&amp;"           /"&amp;需打标签!$O$2,"")</f>
        <v/>
      </c>
    </row>
    <row r="126" spans="1:1" ht="112" customHeight="1" x14ac:dyDescent="0.25">
      <c r="A126" s="7" t="str">
        <f>IF(LEN(挂钩标签!A127),挂钩标签!A127&amp;CHAR(10)&amp;""&amp;需打标签!$L$2&amp;" "&amp;需打标签!$M$2&amp;" "&amp;需打标签!$N$2&amp;"           /"&amp;需打标签!$O$2,"")</f>
        <v/>
      </c>
    </row>
    <row r="127" spans="1:1" ht="112" customHeight="1" x14ac:dyDescent="0.25">
      <c r="A127" s="7" t="str">
        <f>IF(LEN(挂钩标签!A128),挂钩标签!A128&amp;CHAR(10)&amp;""&amp;需打标签!$L$2&amp;" "&amp;需打标签!$M$2&amp;" "&amp;需打标签!$N$2&amp;"           /"&amp;需打标签!$O$2,"")</f>
        <v/>
      </c>
    </row>
    <row r="128" spans="1:1" ht="112" customHeight="1" x14ac:dyDescent="0.25">
      <c r="A128" s="7" t="str">
        <f>IF(LEN(挂钩标签!A129),挂钩标签!A129&amp;CHAR(10)&amp;""&amp;需打标签!$L$2&amp;" "&amp;需打标签!$M$2&amp;" "&amp;需打标签!$N$2&amp;"           /"&amp;需打标签!$O$2,"")</f>
        <v/>
      </c>
    </row>
    <row r="129" spans="1:1" ht="112" customHeight="1" x14ac:dyDescent="0.25">
      <c r="A129" s="7" t="str">
        <f>IF(LEN(挂钩标签!A130),挂钩标签!A130&amp;CHAR(10)&amp;""&amp;需打标签!$L$2&amp;" "&amp;需打标签!$M$2&amp;" "&amp;需打标签!$N$2&amp;"           /"&amp;需打标签!$O$2,"")</f>
        <v/>
      </c>
    </row>
    <row r="130" spans="1:1" ht="112" customHeight="1" x14ac:dyDescent="0.25">
      <c r="A130" s="7" t="str">
        <f>IF(LEN(挂钩标签!A131),挂钩标签!A131&amp;CHAR(10)&amp;""&amp;需打标签!$L$2&amp;" "&amp;需打标签!$M$2&amp;" "&amp;需打标签!$N$2&amp;"           /"&amp;需打标签!$O$2,"")</f>
        <v/>
      </c>
    </row>
    <row r="131" spans="1:1" ht="112" customHeight="1" x14ac:dyDescent="0.25">
      <c r="A131" s="7" t="str">
        <f>IF(LEN(挂钩标签!A132),挂钩标签!A132&amp;CHAR(10)&amp;""&amp;需打标签!$L$2&amp;" "&amp;需打标签!$M$2&amp;" "&amp;需打标签!$N$2&amp;"           /"&amp;需打标签!$O$2,"")</f>
        <v/>
      </c>
    </row>
    <row r="132" spans="1:1" ht="112" customHeight="1" x14ac:dyDescent="0.25">
      <c r="A132" s="7" t="str">
        <f>IF(LEN(挂钩标签!A133),挂钩标签!A133&amp;CHAR(10)&amp;""&amp;需打标签!$L$2&amp;" "&amp;需打标签!$M$2&amp;" "&amp;需打标签!$N$2&amp;"           /"&amp;需打标签!$O$2,"")</f>
        <v/>
      </c>
    </row>
    <row r="133" spans="1:1" ht="112" customHeight="1" x14ac:dyDescent="0.25">
      <c r="A133" s="7" t="str">
        <f>IF(LEN(挂钩标签!A134),挂钩标签!A134&amp;CHAR(10)&amp;""&amp;需打标签!$L$2&amp;" "&amp;需打标签!$M$2&amp;" "&amp;需打标签!$N$2&amp;"           /"&amp;需打标签!$O$2,"")</f>
        <v/>
      </c>
    </row>
    <row r="134" spans="1:1" ht="112" customHeight="1" x14ac:dyDescent="0.25">
      <c r="A134" s="7" t="str">
        <f>IF(LEN(挂钩标签!A135),挂钩标签!A135&amp;CHAR(10)&amp;""&amp;需打标签!$L$2&amp;" "&amp;需打标签!$M$2&amp;" "&amp;需打标签!$N$2&amp;"           /"&amp;需打标签!$O$2,"")</f>
        <v/>
      </c>
    </row>
    <row r="135" spans="1:1" ht="112" customHeight="1" x14ac:dyDescent="0.25">
      <c r="A135" s="7" t="str">
        <f>IF(LEN(挂钩标签!A136),挂钩标签!A136&amp;CHAR(10)&amp;""&amp;需打标签!$L$2&amp;" "&amp;需打标签!$M$2&amp;" "&amp;需打标签!$N$2&amp;"           /"&amp;需打标签!$O$2,"")</f>
        <v/>
      </c>
    </row>
    <row r="136" spans="1:1" ht="112" customHeight="1" x14ac:dyDescent="0.25">
      <c r="A136" s="7" t="str">
        <f>IF(LEN(挂钩标签!A137),挂钩标签!A137&amp;CHAR(10)&amp;""&amp;需打标签!$L$2&amp;" "&amp;需打标签!$M$2&amp;" "&amp;需打标签!$N$2&amp;"           /"&amp;需打标签!$O$2,"")</f>
        <v/>
      </c>
    </row>
    <row r="137" spans="1:1" ht="112" customHeight="1" x14ac:dyDescent="0.25">
      <c r="A137" s="7" t="str">
        <f>IF(LEN(挂钩标签!A138),挂钩标签!A138&amp;CHAR(10)&amp;""&amp;需打标签!$L$2&amp;" "&amp;需打标签!$M$2&amp;" "&amp;需打标签!$N$2&amp;"           /"&amp;需打标签!$O$2,"")</f>
        <v/>
      </c>
    </row>
    <row r="138" spans="1:1" ht="112" customHeight="1" x14ac:dyDescent="0.25">
      <c r="A138" s="7" t="str">
        <f>IF(LEN(挂钩标签!A139),挂钩标签!A139&amp;CHAR(10)&amp;""&amp;需打标签!$L$2&amp;" "&amp;需打标签!$M$2&amp;" "&amp;需打标签!$N$2&amp;"           /"&amp;需打标签!$O$2,"")</f>
        <v/>
      </c>
    </row>
    <row r="139" spans="1:1" ht="112" customHeight="1" x14ac:dyDescent="0.25">
      <c r="A139" s="7" t="str">
        <f>IF(LEN(挂钩标签!A140),挂钩标签!A140&amp;CHAR(10)&amp;""&amp;需打标签!$L$2&amp;" "&amp;需打标签!$M$2&amp;" "&amp;需打标签!$N$2&amp;"           /"&amp;需打标签!$O$2,"")</f>
        <v/>
      </c>
    </row>
    <row r="140" spans="1:1" ht="112" customHeight="1" x14ac:dyDescent="0.25">
      <c r="A140" s="7" t="str">
        <f>IF(LEN(挂钩标签!A141),挂钩标签!A141&amp;CHAR(10)&amp;""&amp;需打标签!$L$2&amp;" "&amp;需打标签!$M$2&amp;" "&amp;需打标签!$N$2&amp;"           /"&amp;需打标签!$O$2,"")</f>
        <v/>
      </c>
    </row>
    <row r="141" spans="1:1" ht="112" customHeight="1" x14ac:dyDescent="0.25">
      <c r="A141" s="7" t="str">
        <f>IF(LEN(挂钩标签!A142),挂钩标签!A142&amp;CHAR(10)&amp;""&amp;需打标签!$L$2&amp;" "&amp;需打标签!$M$2&amp;" "&amp;需打标签!$N$2&amp;"           /"&amp;需打标签!$O$2,"")</f>
        <v/>
      </c>
    </row>
    <row r="142" spans="1:1" ht="112" customHeight="1" x14ac:dyDescent="0.25">
      <c r="A142" s="7" t="str">
        <f>IF(LEN(挂钩标签!A143),挂钩标签!A143&amp;CHAR(10)&amp;""&amp;需打标签!$L$2&amp;" "&amp;需打标签!$M$2&amp;" "&amp;需打标签!$N$2&amp;"           /"&amp;需打标签!$O$2,"")</f>
        <v/>
      </c>
    </row>
    <row r="143" spans="1:1" ht="112" customHeight="1" x14ac:dyDescent="0.25">
      <c r="A143" s="7" t="str">
        <f>IF(LEN(挂钩标签!A144),挂钩标签!A144&amp;CHAR(10)&amp;""&amp;需打标签!$L$2&amp;" "&amp;需打标签!$M$2&amp;" "&amp;需打标签!$N$2&amp;"           /"&amp;需打标签!$O$2,"")</f>
        <v/>
      </c>
    </row>
    <row r="144" spans="1:1" ht="112" customHeight="1" x14ac:dyDescent="0.25">
      <c r="A144" s="7" t="str">
        <f>IF(LEN(挂钩标签!A145),挂钩标签!A145&amp;CHAR(10)&amp;""&amp;需打标签!$L$2&amp;" "&amp;需打标签!$M$2&amp;" "&amp;需打标签!$N$2&amp;"           /"&amp;需打标签!$O$2,"")</f>
        <v/>
      </c>
    </row>
    <row r="145" spans="1:1" ht="112" customHeight="1" x14ac:dyDescent="0.25">
      <c r="A145" s="7" t="str">
        <f>IF(LEN(挂钩标签!A146),挂钩标签!A146&amp;CHAR(10)&amp;""&amp;需打标签!$L$2&amp;" "&amp;需打标签!$M$2&amp;" "&amp;需打标签!$N$2&amp;"           /"&amp;需打标签!$O$2,"")</f>
        <v/>
      </c>
    </row>
    <row r="146" spans="1:1" ht="112" customHeight="1" x14ac:dyDescent="0.25">
      <c r="A146" s="7" t="str">
        <f>IF(LEN(挂钩标签!A147),挂钩标签!A147&amp;CHAR(10)&amp;""&amp;需打标签!$L$2&amp;" "&amp;需打标签!$M$2&amp;" "&amp;需打标签!$N$2&amp;"           /"&amp;需打标签!$O$2,"")</f>
        <v/>
      </c>
    </row>
    <row r="147" spans="1:1" ht="112" customHeight="1" x14ac:dyDescent="0.25">
      <c r="A147" s="7" t="str">
        <f>IF(LEN(挂钩标签!A148),挂钩标签!A148&amp;CHAR(10)&amp;""&amp;需打标签!$L$2&amp;" "&amp;需打标签!$M$2&amp;" "&amp;需打标签!$N$2&amp;"           /"&amp;需打标签!$O$2,"")</f>
        <v/>
      </c>
    </row>
    <row r="148" spans="1:1" ht="112" customHeight="1" x14ac:dyDescent="0.25">
      <c r="A148" s="7" t="str">
        <f>IF(LEN(挂钩标签!A149),挂钩标签!A149&amp;CHAR(10)&amp;""&amp;需打标签!$L$2&amp;" "&amp;需打标签!$M$2&amp;" "&amp;需打标签!$N$2&amp;"           /"&amp;需打标签!$O$2,"")</f>
        <v/>
      </c>
    </row>
    <row r="149" spans="1:1" ht="112" customHeight="1" x14ac:dyDescent="0.25">
      <c r="A149" s="7" t="str">
        <f>IF(LEN(挂钩标签!A150),挂钩标签!A150&amp;CHAR(10)&amp;""&amp;需打标签!$L$2&amp;" "&amp;需打标签!$M$2&amp;" "&amp;需打标签!$N$2&amp;"           /"&amp;需打标签!$O$2,"")</f>
        <v/>
      </c>
    </row>
    <row r="150" spans="1:1" ht="112" customHeight="1" x14ac:dyDescent="0.25">
      <c r="A150" s="7" t="str">
        <f>IF(LEN(挂钩标签!A151),挂钩标签!A151&amp;CHAR(10)&amp;""&amp;需打标签!$L$2&amp;" "&amp;需打标签!$M$2&amp;" "&amp;需打标签!$N$2&amp;"           /"&amp;需打标签!$O$2,"")</f>
        <v/>
      </c>
    </row>
    <row r="151" spans="1:1" ht="112" customHeight="1" x14ac:dyDescent="0.25">
      <c r="A151" s="7" t="str">
        <f>IF(LEN(挂钩标签!A152),挂钩标签!A152&amp;CHAR(10)&amp;""&amp;需打标签!$L$2&amp;" "&amp;需打标签!$M$2&amp;" "&amp;需打标签!$N$2&amp;"           /"&amp;需打标签!$O$2,"")</f>
        <v/>
      </c>
    </row>
    <row r="152" spans="1:1" ht="112" customHeight="1" x14ac:dyDescent="0.25">
      <c r="A152" s="7" t="str">
        <f>IF(LEN(挂钩标签!A153),挂钩标签!A153&amp;CHAR(10)&amp;""&amp;需打标签!$L$2&amp;" "&amp;需打标签!$M$2&amp;" "&amp;需打标签!$N$2&amp;"           /"&amp;需打标签!$O$2,"")</f>
        <v/>
      </c>
    </row>
    <row r="153" spans="1:1" ht="112" customHeight="1" x14ac:dyDescent="0.25">
      <c r="A153" s="7" t="str">
        <f>IF(LEN(挂钩标签!A154),挂钩标签!A154&amp;CHAR(10)&amp;""&amp;需打标签!$L$2&amp;" "&amp;需打标签!$M$2&amp;" "&amp;需打标签!$N$2&amp;"           /"&amp;需打标签!$O$2,"")</f>
        <v/>
      </c>
    </row>
    <row r="154" spans="1:1" ht="112" customHeight="1" x14ac:dyDescent="0.25">
      <c r="A154" s="7" t="str">
        <f>IF(LEN(挂钩标签!A155),挂钩标签!A155&amp;CHAR(10)&amp;""&amp;需打标签!$L$2&amp;" "&amp;需打标签!$M$2&amp;" "&amp;需打标签!$N$2&amp;"           /"&amp;需打标签!$O$2,"")</f>
        <v/>
      </c>
    </row>
    <row r="155" spans="1:1" ht="112" customHeight="1" x14ac:dyDescent="0.25">
      <c r="A155" s="7" t="str">
        <f>IF(LEN(挂钩标签!A156),挂钩标签!A156&amp;CHAR(10)&amp;""&amp;需打标签!$L$2&amp;" "&amp;需打标签!$M$2&amp;" "&amp;需打标签!$N$2&amp;"           /"&amp;需打标签!$O$2,"")</f>
        <v/>
      </c>
    </row>
    <row r="156" spans="1:1" ht="112" customHeight="1" x14ac:dyDescent="0.25">
      <c r="A156" s="7" t="str">
        <f>IF(LEN(挂钩标签!A157),挂钩标签!A157&amp;CHAR(10)&amp;""&amp;需打标签!$L$2&amp;" "&amp;需打标签!$M$2&amp;" "&amp;需打标签!$N$2&amp;"           /"&amp;需打标签!$O$2,"")</f>
        <v/>
      </c>
    </row>
    <row r="157" spans="1:1" ht="112" customHeight="1" x14ac:dyDescent="0.25">
      <c r="A157" s="7" t="str">
        <f>IF(LEN(挂钩标签!A158),挂钩标签!A158&amp;CHAR(10)&amp;""&amp;需打标签!$L$2&amp;" "&amp;需打标签!$M$2&amp;" "&amp;需打标签!$N$2&amp;"           /"&amp;需打标签!$O$2,"")</f>
        <v/>
      </c>
    </row>
    <row r="158" spans="1:1" ht="112" customHeight="1" x14ac:dyDescent="0.25">
      <c r="A158" s="7" t="str">
        <f>IF(LEN(挂钩标签!A159),挂钩标签!A159&amp;CHAR(10)&amp;""&amp;需打标签!$L$2&amp;" "&amp;需打标签!$M$2&amp;" "&amp;需打标签!$N$2&amp;"           /"&amp;需打标签!$O$2,"")</f>
        <v/>
      </c>
    </row>
    <row r="159" spans="1:1" ht="112" customHeight="1" x14ac:dyDescent="0.25">
      <c r="A159" s="7" t="str">
        <f>IF(LEN(挂钩标签!A160),挂钩标签!A160&amp;CHAR(10)&amp;""&amp;需打标签!$L$2&amp;" "&amp;需打标签!$M$2&amp;" "&amp;需打标签!$N$2&amp;"           /"&amp;需打标签!$O$2,"")</f>
        <v/>
      </c>
    </row>
    <row r="160" spans="1:1" ht="112" customHeight="1" x14ac:dyDescent="0.25">
      <c r="A160" s="7" t="str">
        <f>IF(LEN(挂钩标签!A161),挂钩标签!A161&amp;CHAR(10)&amp;""&amp;需打标签!$L$2&amp;" "&amp;需打标签!$M$2&amp;" "&amp;需打标签!$N$2&amp;"           /"&amp;需打标签!$O$2,"")</f>
        <v/>
      </c>
    </row>
    <row r="161" spans="1:1" ht="112" customHeight="1" x14ac:dyDescent="0.25">
      <c r="A161" s="7" t="str">
        <f>IF(LEN(挂钩标签!A162),挂钩标签!A162&amp;CHAR(10)&amp;""&amp;需打标签!$L$2&amp;" "&amp;需打标签!$M$2&amp;" "&amp;需打标签!$N$2&amp;"           /"&amp;需打标签!$O$2,"")</f>
        <v/>
      </c>
    </row>
    <row r="162" spans="1:1" ht="112" customHeight="1" x14ac:dyDescent="0.25">
      <c r="A162" s="7" t="str">
        <f>IF(LEN(挂钩标签!A163),挂钩标签!A163&amp;CHAR(10)&amp;""&amp;需打标签!$L$2&amp;" "&amp;需打标签!$M$2&amp;" "&amp;需打标签!$N$2&amp;"           /"&amp;需打标签!$O$2,"")</f>
        <v/>
      </c>
    </row>
    <row r="163" spans="1:1" ht="112" customHeight="1" x14ac:dyDescent="0.25">
      <c r="A163" s="7" t="str">
        <f>IF(LEN(挂钩标签!A164),挂钩标签!A164&amp;CHAR(10)&amp;""&amp;需打标签!$L$2&amp;" "&amp;需打标签!$M$2&amp;" "&amp;需打标签!$N$2&amp;"           /"&amp;需打标签!$O$2,"")</f>
        <v/>
      </c>
    </row>
    <row r="164" spans="1:1" ht="112" customHeight="1" x14ac:dyDescent="0.25">
      <c r="A164" s="7" t="str">
        <f>IF(LEN(挂钩标签!A165),挂钩标签!A165&amp;CHAR(10)&amp;""&amp;需打标签!$L$2&amp;" "&amp;需打标签!$M$2&amp;" "&amp;需打标签!$N$2&amp;"           /"&amp;需打标签!$O$2,"")</f>
        <v/>
      </c>
    </row>
    <row r="165" spans="1:1" ht="112" customHeight="1" x14ac:dyDescent="0.25">
      <c r="A165" s="7" t="str">
        <f>IF(LEN(挂钩标签!A166),挂钩标签!A166&amp;CHAR(10)&amp;""&amp;需打标签!$L$2&amp;" "&amp;需打标签!$M$2&amp;" "&amp;需打标签!$N$2&amp;"           /"&amp;需打标签!$O$2,"")</f>
        <v/>
      </c>
    </row>
    <row r="166" spans="1:1" ht="112" customHeight="1" x14ac:dyDescent="0.25">
      <c r="A166" s="7" t="str">
        <f>IF(LEN(挂钩标签!A167),挂钩标签!A167&amp;CHAR(10)&amp;""&amp;需打标签!$L$2&amp;" "&amp;需打标签!$M$2&amp;" "&amp;需打标签!$N$2&amp;"           /"&amp;需打标签!$O$2,"")</f>
        <v/>
      </c>
    </row>
    <row r="167" spans="1:1" ht="112" customHeight="1" x14ac:dyDescent="0.25">
      <c r="A167" s="7" t="str">
        <f>IF(LEN(挂钩标签!A168),挂钩标签!A168&amp;CHAR(10)&amp;""&amp;需打标签!$L$2&amp;" "&amp;需打标签!$M$2&amp;" "&amp;需打标签!$N$2&amp;"           /"&amp;需打标签!$O$2,"")</f>
        <v/>
      </c>
    </row>
    <row r="168" spans="1:1" ht="112" customHeight="1" x14ac:dyDescent="0.25">
      <c r="A168" s="7" t="str">
        <f>IF(LEN(挂钩标签!A169),挂钩标签!A169&amp;CHAR(10)&amp;""&amp;需打标签!$L$2&amp;" "&amp;需打标签!$M$2&amp;" "&amp;需打标签!$N$2&amp;"           /"&amp;需打标签!$O$2,"")</f>
        <v/>
      </c>
    </row>
    <row r="169" spans="1:1" ht="112" customHeight="1" x14ac:dyDescent="0.25">
      <c r="A169" s="7" t="str">
        <f>IF(LEN(挂钩标签!A170),挂钩标签!A170&amp;CHAR(10)&amp;""&amp;需打标签!$L$2&amp;" "&amp;需打标签!$M$2&amp;" "&amp;需打标签!$N$2&amp;"           /"&amp;需打标签!$O$2,"")</f>
        <v/>
      </c>
    </row>
    <row r="170" spans="1:1" ht="112" customHeight="1" x14ac:dyDescent="0.25">
      <c r="A170" s="7" t="str">
        <f>IF(LEN(挂钩标签!A171),挂钩标签!A171&amp;CHAR(10)&amp;""&amp;需打标签!$L$2&amp;" "&amp;需打标签!$M$2&amp;" "&amp;需打标签!$N$2&amp;"           /"&amp;需打标签!$O$2,"")</f>
        <v/>
      </c>
    </row>
    <row r="171" spans="1:1" ht="112" customHeight="1" x14ac:dyDescent="0.25">
      <c r="A171" s="7" t="str">
        <f>IF(LEN(挂钩标签!A172),挂钩标签!A172&amp;CHAR(10)&amp;""&amp;需打标签!$L$2&amp;" "&amp;需打标签!$M$2&amp;" "&amp;需打标签!$N$2&amp;"           /"&amp;需打标签!$O$2,"")</f>
        <v/>
      </c>
    </row>
    <row r="172" spans="1:1" ht="112" customHeight="1" x14ac:dyDescent="0.25">
      <c r="A172" s="7" t="str">
        <f>IF(LEN(挂钩标签!A173),挂钩标签!A173&amp;CHAR(10)&amp;""&amp;需打标签!$L$2&amp;" "&amp;需打标签!$M$2&amp;" "&amp;需打标签!$N$2&amp;"           /"&amp;需打标签!$O$2,"")</f>
        <v/>
      </c>
    </row>
    <row r="173" spans="1:1" ht="112" customHeight="1" x14ac:dyDescent="0.25">
      <c r="A173" s="7" t="str">
        <f>IF(LEN(挂钩标签!A174),挂钩标签!A174&amp;CHAR(10)&amp;""&amp;需打标签!$L$2&amp;" "&amp;需打标签!$M$2&amp;" "&amp;需打标签!$N$2&amp;"           /"&amp;需打标签!$O$2,"")</f>
        <v/>
      </c>
    </row>
    <row r="174" spans="1:1" ht="112" customHeight="1" x14ac:dyDescent="0.25">
      <c r="A174" s="7" t="str">
        <f>IF(LEN(挂钩标签!A175),挂钩标签!A175&amp;CHAR(10)&amp;""&amp;需打标签!$L$2&amp;" "&amp;需打标签!$M$2&amp;" "&amp;需打标签!$N$2&amp;"           /"&amp;需打标签!$O$2,"")</f>
        <v/>
      </c>
    </row>
    <row r="175" spans="1:1" ht="112" customHeight="1" x14ac:dyDescent="0.25">
      <c r="A175" s="7" t="str">
        <f>IF(LEN(挂钩标签!A176),挂钩标签!A176&amp;CHAR(10)&amp;""&amp;需打标签!$L$2&amp;" "&amp;需打标签!$M$2&amp;" "&amp;需打标签!$N$2&amp;"           /"&amp;需打标签!$O$2,"")</f>
        <v/>
      </c>
    </row>
    <row r="176" spans="1:1" ht="112" customHeight="1" x14ac:dyDescent="0.25">
      <c r="A176" s="7" t="str">
        <f>IF(LEN(挂钩标签!A177),挂钩标签!A177&amp;CHAR(10)&amp;""&amp;需打标签!$L$2&amp;" "&amp;需打标签!$M$2&amp;" "&amp;需打标签!$N$2&amp;"           /"&amp;需打标签!$O$2,"")</f>
        <v/>
      </c>
    </row>
    <row r="177" spans="1:1" ht="112" customHeight="1" x14ac:dyDescent="0.25">
      <c r="A177" s="7" t="str">
        <f>IF(LEN(挂钩标签!A178),挂钩标签!A178&amp;CHAR(10)&amp;""&amp;需打标签!$L$2&amp;" "&amp;需打标签!$M$2&amp;" "&amp;需打标签!$N$2&amp;"           /"&amp;需打标签!$O$2,"")</f>
        <v/>
      </c>
    </row>
    <row r="178" spans="1:1" ht="112" customHeight="1" x14ac:dyDescent="0.25">
      <c r="A178" s="7" t="str">
        <f>IF(LEN(挂钩标签!A179),挂钩标签!A179&amp;CHAR(10)&amp;""&amp;需打标签!$L$2&amp;" "&amp;需打标签!$M$2&amp;" "&amp;需打标签!$N$2&amp;"           /"&amp;需打标签!$O$2,"")</f>
        <v/>
      </c>
    </row>
    <row r="179" spans="1:1" ht="112" customHeight="1" x14ac:dyDescent="0.25">
      <c r="A179" s="7" t="str">
        <f>IF(LEN(挂钩标签!A180),挂钩标签!A180&amp;CHAR(10)&amp;""&amp;需打标签!$L$2&amp;" "&amp;需打标签!$M$2&amp;" "&amp;需打标签!$N$2&amp;"           /"&amp;需打标签!$O$2,"")</f>
        <v/>
      </c>
    </row>
    <row r="180" spans="1:1" ht="112" customHeight="1" x14ac:dyDescent="0.25">
      <c r="A180" s="7" t="str">
        <f>IF(LEN(挂钩标签!A181),挂钩标签!A181&amp;CHAR(10)&amp;""&amp;需打标签!$L$2&amp;" "&amp;需打标签!$M$2&amp;" "&amp;需打标签!$N$2&amp;"           /"&amp;需打标签!$O$2,"")</f>
        <v/>
      </c>
    </row>
    <row r="181" spans="1:1" ht="112" customHeight="1" x14ac:dyDescent="0.25">
      <c r="A181" s="7" t="str">
        <f>IF(LEN(挂钩标签!A182),挂钩标签!A182&amp;CHAR(10)&amp;""&amp;需打标签!$L$2&amp;" "&amp;需打标签!$M$2&amp;" "&amp;需打标签!$N$2&amp;"           /"&amp;需打标签!$O$2,"")</f>
        <v/>
      </c>
    </row>
    <row r="182" spans="1:1" ht="112" customHeight="1" x14ac:dyDescent="0.25">
      <c r="A182" s="7" t="str">
        <f>IF(LEN(挂钩标签!A183),挂钩标签!A183&amp;CHAR(10)&amp;""&amp;需打标签!$L$2&amp;" "&amp;需打标签!$M$2&amp;" "&amp;需打标签!$N$2&amp;"           /"&amp;需打标签!$O$2,"")</f>
        <v/>
      </c>
    </row>
    <row r="183" spans="1:1" ht="112" customHeight="1" x14ac:dyDescent="0.25">
      <c r="A183" s="7" t="str">
        <f>IF(LEN(挂钩标签!A184),挂钩标签!A184&amp;CHAR(10)&amp;""&amp;需打标签!$L$2&amp;" "&amp;需打标签!$M$2&amp;" "&amp;需打标签!$N$2&amp;"           /"&amp;需打标签!$O$2,"")</f>
        <v/>
      </c>
    </row>
    <row r="184" spans="1:1" ht="112" customHeight="1" x14ac:dyDescent="0.25">
      <c r="A184" s="7" t="str">
        <f>IF(LEN(挂钩标签!A185),挂钩标签!A185&amp;CHAR(10)&amp;""&amp;需打标签!$L$2&amp;" "&amp;需打标签!$M$2&amp;" "&amp;需打标签!$N$2&amp;"           /"&amp;需打标签!$O$2,"")</f>
        <v/>
      </c>
    </row>
    <row r="185" spans="1:1" ht="112" customHeight="1" x14ac:dyDescent="0.25">
      <c r="A185" s="7" t="str">
        <f>IF(LEN(挂钩标签!A186),挂钩标签!A186&amp;CHAR(10)&amp;""&amp;需打标签!$L$2&amp;" "&amp;需打标签!$M$2&amp;" "&amp;需打标签!$N$2&amp;"           /"&amp;需打标签!$O$2,"")</f>
        <v/>
      </c>
    </row>
    <row r="186" spans="1:1" ht="112" customHeight="1" x14ac:dyDescent="0.25">
      <c r="A186" s="7" t="str">
        <f>IF(LEN(挂钩标签!A187),挂钩标签!A187&amp;CHAR(10)&amp;""&amp;需打标签!$L$2&amp;" "&amp;需打标签!$M$2&amp;" "&amp;需打标签!$N$2&amp;"           /"&amp;需打标签!$O$2,"")</f>
        <v/>
      </c>
    </row>
    <row r="187" spans="1:1" ht="112" customHeight="1" x14ac:dyDescent="0.25">
      <c r="A187" s="7" t="str">
        <f>IF(LEN(挂钩标签!A188),挂钩标签!A188&amp;CHAR(10)&amp;""&amp;需打标签!$L$2&amp;" "&amp;需打标签!$M$2&amp;" "&amp;需打标签!$N$2&amp;"           /"&amp;需打标签!$O$2,"")</f>
        <v/>
      </c>
    </row>
    <row r="188" spans="1:1" ht="112" customHeight="1" x14ac:dyDescent="0.25">
      <c r="A188" s="7" t="str">
        <f>IF(LEN(挂钩标签!A189),挂钩标签!A189&amp;CHAR(10)&amp;""&amp;需打标签!$L$2&amp;" "&amp;需打标签!$M$2&amp;" "&amp;需打标签!$N$2&amp;"           /"&amp;需打标签!$O$2,"")</f>
        <v/>
      </c>
    </row>
    <row r="189" spans="1:1" ht="112" customHeight="1" x14ac:dyDescent="0.25">
      <c r="A189" s="7" t="str">
        <f>IF(LEN(挂钩标签!A190),挂钩标签!A190&amp;CHAR(10)&amp;""&amp;需打标签!$L$2&amp;" "&amp;需打标签!$M$2&amp;" "&amp;需打标签!$N$2&amp;"           /"&amp;需打标签!$O$2,"")</f>
        <v/>
      </c>
    </row>
    <row r="190" spans="1:1" ht="112" customHeight="1" x14ac:dyDescent="0.25">
      <c r="A190" s="7" t="str">
        <f>IF(LEN(挂钩标签!A191),挂钩标签!A191&amp;CHAR(10)&amp;""&amp;需打标签!$L$2&amp;" "&amp;需打标签!$M$2&amp;" "&amp;需打标签!$N$2&amp;"           /"&amp;需打标签!$O$2,"")</f>
        <v/>
      </c>
    </row>
    <row r="191" spans="1:1" ht="112" customHeight="1" x14ac:dyDescent="0.25">
      <c r="A191" s="7" t="str">
        <f>IF(LEN(挂钩标签!A192),挂钩标签!A192&amp;CHAR(10)&amp;""&amp;需打标签!$L$2&amp;" "&amp;需打标签!$M$2&amp;" "&amp;需打标签!$N$2&amp;"           /"&amp;需打标签!$O$2,"")</f>
        <v/>
      </c>
    </row>
    <row r="192" spans="1:1" ht="112" customHeight="1" x14ac:dyDescent="0.25">
      <c r="A192" s="7" t="str">
        <f>IF(LEN(挂钩标签!A193),挂钩标签!A193&amp;CHAR(10)&amp;""&amp;需打标签!$L$2&amp;" "&amp;需打标签!$M$2&amp;" "&amp;需打标签!$N$2&amp;"           /"&amp;需打标签!$O$2,"")</f>
        <v/>
      </c>
    </row>
    <row r="193" spans="1:1" ht="112" customHeight="1" x14ac:dyDescent="0.25">
      <c r="A193" s="7" t="str">
        <f>IF(LEN(挂钩标签!A194),挂钩标签!A194&amp;CHAR(10)&amp;""&amp;需打标签!$L$2&amp;" "&amp;需打标签!$M$2&amp;" "&amp;需打标签!$N$2&amp;"           /"&amp;需打标签!$O$2,"")</f>
        <v/>
      </c>
    </row>
    <row r="194" spans="1:1" ht="112" customHeight="1" x14ac:dyDescent="0.25">
      <c r="A194" s="7" t="str">
        <f>IF(LEN(挂钩标签!A195),挂钩标签!A195&amp;CHAR(10)&amp;""&amp;需打标签!$L$2&amp;" "&amp;需打标签!$M$2&amp;" "&amp;需打标签!$N$2&amp;"           /"&amp;需打标签!$O$2,"")</f>
        <v/>
      </c>
    </row>
    <row r="195" spans="1:1" ht="112" customHeight="1" x14ac:dyDescent="0.25">
      <c r="A195" s="7" t="str">
        <f>IF(LEN(挂钩标签!A196),挂钩标签!A196&amp;CHAR(10)&amp;""&amp;需打标签!$L$2&amp;" "&amp;需打标签!$M$2&amp;" "&amp;需打标签!$N$2&amp;"           /"&amp;需打标签!$O$2,"")</f>
        <v/>
      </c>
    </row>
    <row r="196" spans="1:1" ht="112" customHeight="1" x14ac:dyDescent="0.25">
      <c r="A196" s="7" t="str">
        <f>IF(LEN(挂钩标签!A197),挂钩标签!A197&amp;CHAR(10)&amp;""&amp;需打标签!$L$2&amp;" "&amp;需打标签!$M$2&amp;" "&amp;需打标签!$N$2&amp;"           /"&amp;需打标签!$O$2,"")</f>
        <v/>
      </c>
    </row>
    <row r="197" spans="1:1" ht="112" customHeight="1" x14ac:dyDescent="0.25">
      <c r="A197" s="7" t="str">
        <f>IF(LEN(挂钩标签!A198),挂钩标签!A198&amp;CHAR(10)&amp;""&amp;需打标签!$L$2&amp;" "&amp;需打标签!$M$2&amp;" "&amp;需打标签!$N$2&amp;"           /"&amp;需打标签!$O$2,"")</f>
        <v/>
      </c>
    </row>
    <row r="198" spans="1:1" ht="112" customHeight="1" x14ac:dyDescent="0.25">
      <c r="A198" s="7" t="str">
        <f>IF(LEN(挂钩标签!A199),挂钩标签!A199&amp;CHAR(10)&amp;""&amp;需打标签!$L$2&amp;" "&amp;需打标签!$M$2&amp;" "&amp;需打标签!$N$2&amp;"           /"&amp;需打标签!$O$2,"")</f>
        <v/>
      </c>
    </row>
    <row r="199" spans="1:1" ht="112" customHeight="1" x14ac:dyDescent="0.25">
      <c r="A199" s="7" t="str">
        <f>IF(LEN(挂钩标签!A200),挂钩标签!A200&amp;CHAR(10)&amp;""&amp;需打标签!$L$2&amp;" "&amp;需打标签!$M$2&amp;" "&amp;需打标签!$N$2&amp;"           /"&amp;需打标签!$O$2,"")</f>
        <v/>
      </c>
    </row>
    <row r="200" spans="1:1" ht="112" customHeight="1" x14ac:dyDescent="0.25">
      <c r="A200" s="7" t="str">
        <f>IF(LEN(挂钩标签!A201),挂钩标签!A201&amp;CHAR(10)&amp;""&amp;需打标签!$L$2&amp;" "&amp;需打标签!$M$2&amp;" "&amp;需打标签!$N$2&amp;"           /"&amp;需打标签!$O$2,"")</f>
        <v/>
      </c>
    </row>
    <row r="201" spans="1:1" ht="112" customHeight="1" x14ac:dyDescent="0.25">
      <c r="A201" s="7" t="str">
        <f>IF(LEN(挂钩标签!A202),挂钩标签!A202&amp;CHAR(10)&amp;""&amp;需打标签!$L$2&amp;" "&amp;需打标签!$M$2&amp;" "&amp;需打标签!$N$2&amp;"           /"&amp;需打标签!$O$2,"")</f>
        <v/>
      </c>
    </row>
    <row r="202" spans="1:1" ht="112" customHeight="1" x14ac:dyDescent="0.25">
      <c r="A202" s="7" t="str">
        <f>IF(LEN(挂钩标签!A203),挂钩标签!A203&amp;CHAR(10)&amp;""&amp;需打标签!$L$2&amp;" "&amp;需打标签!$M$2&amp;" "&amp;需打标签!$N$2&amp;"           /"&amp;需打标签!$O$2,"")</f>
        <v/>
      </c>
    </row>
    <row r="203" spans="1:1" ht="112" customHeight="1" x14ac:dyDescent="0.25">
      <c r="A203" s="7" t="str">
        <f>IF(LEN(挂钩标签!A204),挂钩标签!A204&amp;CHAR(10)&amp;""&amp;需打标签!$L$2&amp;" "&amp;需打标签!$M$2&amp;" "&amp;需打标签!$N$2&amp;"           /"&amp;需打标签!$O$2,"")</f>
        <v/>
      </c>
    </row>
    <row r="204" spans="1:1" ht="112" customHeight="1" x14ac:dyDescent="0.25">
      <c r="A204" s="7" t="str">
        <f>IF(LEN(挂钩标签!A205),挂钩标签!A205&amp;CHAR(10)&amp;""&amp;需打标签!$L$2&amp;" "&amp;需打标签!$M$2&amp;" "&amp;需打标签!$N$2&amp;"           /"&amp;需打标签!$O$2,"")</f>
        <v/>
      </c>
    </row>
    <row r="205" spans="1:1" ht="112" customHeight="1" x14ac:dyDescent="0.25">
      <c r="A205" s="7" t="str">
        <f>IF(LEN(挂钩标签!A206),挂钩标签!A206&amp;CHAR(10)&amp;""&amp;需打标签!$L$2&amp;" "&amp;需打标签!$M$2&amp;" "&amp;需打标签!$N$2&amp;"           /"&amp;需打标签!$O$2,"")</f>
        <v/>
      </c>
    </row>
    <row r="206" spans="1:1" ht="112" customHeight="1" x14ac:dyDescent="0.25">
      <c r="A206" s="7" t="str">
        <f>IF(LEN(挂钩标签!A207),挂钩标签!A207&amp;CHAR(10)&amp;""&amp;需打标签!$L$2&amp;" "&amp;需打标签!$M$2&amp;" "&amp;需打标签!$N$2&amp;"           /"&amp;需打标签!$O$2,"")</f>
        <v/>
      </c>
    </row>
    <row r="207" spans="1:1" ht="112" customHeight="1" x14ac:dyDescent="0.25">
      <c r="A207" s="7" t="str">
        <f>IF(LEN(挂钩标签!A208),挂钩标签!A208&amp;CHAR(10)&amp;""&amp;需打标签!$L$2&amp;" "&amp;需打标签!$M$2&amp;" "&amp;需打标签!$N$2&amp;"           /"&amp;需打标签!$O$2,"")</f>
        <v/>
      </c>
    </row>
    <row r="208" spans="1:1" ht="112" customHeight="1" x14ac:dyDescent="0.25">
      <c r="A208" s="7" t="str">
        <f>IF(LEN(挂钩标签!A209),挂钩标签!A209&amp;CHAR(10)&amp;""&amp;需打标签!$L$2&amp;" "&amp;需打标签!$M$2&amp;" "&amp;需打标签!$N$2&amp;"           /"&amp;需打标签!$O$2,"")</f>
        <v/>
      </c>
    </row>
    <row r="209" spans="1:1" ht="112" customHeight="1" x14ac:dyDescent="0.25">
      <c r="A209" s="7" t="str">
        <f>IF(LEN(挂钩标签!A210),挂钩标签!A210&amp;CHAR(10)&amp;""&amp;需打标签!$L$2&amp;" "&amp;需打标签!$M$2&amp;" "&amp;需打标签!$N$2&amp;"           /"&amp;需打标签!$O$2,"")</f>
        <v/>
      </c>
    </row>
    <row r="210" spans="1:1" ht="112" customHeight="1" x14ac:dyDescent="0.25">
      <c r="A210" s="7" t="str">
        <f>IF(LEN(挂钩标签!A211),挂钩标签!A211&amp;CHAR(10)&amp;""&amp;需打标签!$L$2&amp;" "&amp;需打标签!$M$2&amp;" "&amp;需打标签!$N$2&amp;"           /"&amp;需打标签!$O$2,"")</f>
        <v/>
      </c>
    </row>
    <row r="211" spans="1:1" ht="112" customHeight="1" x14ac:dyDescent="0.25">
      <c r="A211" s="7" t="str">
        <f>IF(LEN(挂钩标签!A212),挂钩标签!A212&amp;CHAR(10)&amp;""&amp;需打标签!$L$2&amp;" "&amp;需打标签!$M$2&amp;" "&amp;需打标签!$N$2&amp;"           /"&amp;需打标签!$O$2,"")</f>
        <v/>
      </c>
    </row>
    <row r="212" spans="1:1" ht="112" customHeight="1" x14ac:dyDescent="0.25">
      <c r="A212" s="7" t="str">
        <f>IF(LEN(挂钩标签!A213),挂钩标签!A213&amp;CHAR(10)&amp;""&amp;需打标签!$L$2&amp;" "&amp;需打标签!$M$2&amp;" "&amp;需打标签!$N$2&amp;"           /"&amp;需打标签!$O$2,"")</f>
        <v/>
      </c>
    </row>
    <row r="213" spans="1:1" ht="112" customHeight="1" x14ac:dyDescent="0.25">
      <c r="A213" s="7" t="str">
        <f>IF(LEN(挂钩标签!A214),挂钩标签!A214&amp;CHAR(10)&amp;""&amp;需打标签!$L$2&amp;" "&amp;需打标签!$M$2&amp;" "&amp;需打标签!$N$2&amp;"           /"&amp;需打标签!$O$2,"")</f>
        <v/>
      </c>
    </row>
    <row r="214" spans="1:1" ht="112" customHeight="1" x14ac:dyDescent="0.25">
      <c r="A214" s="7" t="str">
        <f>IF(LEN(挂钩标签!A215),挂钩标签!A215&amp;CHAR(10)&amp;""&amp;需打标签!$L$2&amp;" "&amp;需打标签!$M$2&amp;" "&amp;需打标签!$N$2&amp;"           /"&amp;需打标签!$O$2,"")</f>
        <v/>
      </c>
    </row>
    <row r="215" spans="1:1" ht="112" customHeight="1" x14ac:dyDescent="0.25">
      <c r="A215" s="7" t="str">
        <f>IF(LEN(挂钩标签!A216),挂钩标签!A216&amp;CHAR(10)&amp;""&amp;需打标签!$L$2&amp;" "&amp;需打标签!$M$2&amp;" "&amp;需打标签!$N$2&amp;"           /"&amp;需打标签!$O$2,"")</f>
        <v/>
      </c>
    </row>
    <row r="216" spans="1:1" ht="112" customHeight="1" x14ac:dyDescent="0.25">
      <c r="A216" s="7" t="str">
        <f>IF(LEN(挂钩标签!A217),挂钩标签!A217&amp;CHAR(10)&amp;""&amp;需打标签!$L$2&amp;" "&amp;需打标签!$M$2&amp;" "&amp;需打标签!$N$2&amp;"           /"&amp;需打标签!$O$2,"")</f>
        <v/>
      </c>
    </row>
    <row r="217" spans="1:1" ht="112" customHeight="1" x14ac:dyDescent="0.25">
      <c r="A217" s="7" t="str">
        <f>IF(LEN(挂钩标签!A218),挂钩标签!A218&amp;CHAR(10)&amp;""&amp;需打标签!$L$2&amp;" "&amp;需打标签!$M$2&amp;" "&amp;需打标签!$N$2&amp;"           /"&amp;需打标签!$O$2,"")</f>
        <v/>
      </c>
    </row>
    <row r="218" spans="1:1" ht="112" customHeight="1" x14ac:dyDescent="0.25">
      <c r="A218" s="7" t="str">
        <f>IF(LEN(挂钩标签!A219),挂钩标签!A219&amp;CHAR(10)&amp;""&amp;需打标签!$L$2&amp;" "&amp;需打标签!$M$2&amp;" "&amp;需打标签!$N$2&amp;"           /"&amp;需打标签!$O$2,"")</f>
        <v/>
      </c>
    </row>
    <row r="219" spans="1:1" ht="112" customHeight="1" x14ac:dyDescent="0.25">
      <c r="A219" s="7" t="str">
        <f>IF(LEN(挂钩标签!A220),挂钩标签!A220&amp;CHAR(10)&amp;""&amp;需打标签!$L$2&amp;" "&amp;需打标签!$M$2&amp;" "&amp;需打标签!$N$2&amp;"           /"&amp;需打标签!$O$2,"")</f>
        <v/>
      </c>
    </row>
    <row r="220" spans="1:1" ht="112" customHeight="1" x14ac:dyDescent="0.25">
      <c r="A220" s="7" t="str">
        <f>IF(LEN(挂钩标签!A221),挂钩标签!A221&amp;CHAR(10)&amp;""&amp;需打标签!$L$2&amp;" "&amp;需打标签!$M$2&amp;" "&amp;需打标签!$N$2&amp;"           /"&amp;需打标签!$O$2,"")</f>
        <v/>
      </c>
    </row>
    <row r="221" spans="1:1" ht="112" customHeight="1" x14ac:dyDescent="0.25">
      <c r="A221" s="7" t="str">
        <f>IF(LEN(挂钩标签!A222),挂钩标签!A222&amp;CHAR(10)&amp;""&amp;需打标签!$L$2&amp;" "&amp;需打标签!$M$2&amp;" "&amp;需打标签!$N$2&amp;"           /"&amp;需打标签!$O$2,"")</f>
        <v/>
      </c>
    </row>
    <row r="222" spans="1:1" ht="112" customHeight="1" x14ac:dyDescent="0.25">
      <c r="A222" s="7" t="str">
        <f>IF(LEN(挂钩标签!A223),挂钩标签!A223&amp;CHAR(10)&amp;""&amp;需打标签!$L$2&amp;" "&amp;需打标签!$M$2&amp;" "&amp;需打标签!$N$2&amp;"           /"&amp;需打标签!$O$2,"")</f>
        <v/>
      </c>
    </row>
    <row r="223" spans="1:1" ht="112" customHeight="1" x14ac:dyDescent="0.25">
      <c r="A223" s="7" t="str">
        <f>IF(LEN(挂钩标签!A224),挂钩标签!A224&amp;CHAR(10)&amp;""&amp;需打标签!$L$2&amp;" "&amp;需打标签!$M$2&amp;" "&amp;需打标签!$N$2&amp;"           /"&amp;需打标签!$O$2,"")</f>
        <v/>
      </c>
    </row>
    <row r="224" spans="1:1" ht="112" customHeight="1" x14ac:dyDescent="0.25">
      <c r="A224" s="7" t="str">
        <f>IF(LEN(挂钩标签!A225),挂钩标签!A225&amp;CHAR(10)&amp;""&amp;需打标签!$L$2&amp;" "&amp;需打标签!$M$2&amp;" "&amp;需打标签!$N$2&amp;"           /"&amp;需打标签!$O$2,"")</f>
        <v/>
      </c>
    </row>
    <row r="225" spans="1:1" ht="112" customHeight="1" x14ac:dyDescent="0.25">
      <c r="A225" s="7" t="str">
        <f>IF(LEN(挂钩标签!A226),挂钩标签!A226&amp;CHAR(10)&amp;""&amp;需打标签!$L$2&amp;" "&amp;需打标签!$M$2&amp;" "&amp;需打标签!$N$2&amp;"           /"&amp;需打标签!$O$2,"")</f>
        <v/>
      </c>
    </row>
    <row r="226" spans="1:1" ht="112" customHeight="1" x14ac:dyDescent="0.25">
      <c r="A226" s="7" t="str">
        <f>IF(LEN(挂钩标签!A227),挂钩标签!A227&amp;CHAR(10)&amp;""&amp;需打标签!$L$2&amp;" "&amp;需打标签!$M$2&amp;" "&amp;需打标签!$N$2&amp;"           /"&amp;需打标签!$O$2,"")</f>
        <v/>
      </c>
    </row>
    <row r="227" spans="1:1" ht="112" customHeight="1" x14ac:dyDescent="0.25">
      <c r="A227" s="7" t="str">
        <f>IF(LEN(挂钩标签!A228),挂钩标签!A228&amp;CHAR(10)&amp;""&amp;需打标签!$L$2&amp;" "&amp;需打标签!$M$2&amp;" "&amp;需打标签!$N$2&amp;"           /"&amp;需打标签!$O$2,"")</f>
        <v/>
      </c>
    </row>
    <row r="228" spans="1:1" ht="112" customHeight="1" x14ac:dyDescent="0.25">
      <c r="A228" s="7" t="str">
        <f>IF(LEN(挂钩标签!A229),挂钩标签!A229&amp;CHAR(10)&amp;""&amp;需打标签!$L$2&amp;" "&amp;需打标签!$M$2&amp;" "&amp;需打标签!$N$2&amp;"           /"&amp;需打标签!$O$2,"")</f>
        <v/>
      </c>
    </row>
    <row r="229" spans="1:1" ht="112" customHeight="1" x14ac:dyDescent="0.25">
      <c r="A229" s="7" t="str">
        <f>IF(LEN(挂钩标签!A230),挂钩标签!A230&amp;CHAR(10)&amp;""&amp;需打标签!$L$2&amp;" "&amp;需打标签!$M$2&amp;" "&amp;需打标签!$N$2&amp;"           /"&amp;需打标签!$O$2,"")</f>
        <v/>
      </c>
    </row>
    <row r="230" spans="1:1" ht="112" customHeight="1" x14ac:dyDescent="0.25">
      <c r="A230" s="7" t="str">
        <f>IF(LEN(挂钩标签!A231),挂钩标签!A231&amp;CHAR(10)&amp;""&amp;需打标签!$L$2&amp;" "&amp;需打标签!$M$2&amp;" "&amp;需打标签!$N$2&amp;"           /"&amp;需打标签!$O$2,"")</f>
        <v/>
      </c>
    </row>
    <row r="231" spans="1:1" ht="112" customHeight="1" x14ac:dyDescent="0.25">
      <c r="A231" s="7" t="str">
        <f>IF(LEN(挂钩标签!A232),挂钩标签!A232&amp;CHAR(10)&amp;""&amp;需打标签!$L$2&amp;" "&amp;需打标签!$M$2&amp;" "&amp;需打标签!$N$2&amp;"           /"&amp;需打标签!$O$2,"")</f>
        <v/>
      </c>
    </row>
    <row r="232" spans="1:1" ht="112" customHeight="1" x14ac:dyDescent="0.25">
      <c r="A232" s="7" t="str">
        <f>IF(LEN(挂钩标签!A233),挂钩标签!A233&amp;CHAR(10)&amp;""&amp;需打标签!$L$2&amp;" "&amp;需打标签!$M$2&amp;" "&amp;需打标签!$N$2&amp;"           /"&amp;需打标签!$O$2,"")</f>
        <v/>
      </c>
    </row>
    <row r="233" spans="1:1" ht="112" customHeight="1" x14ac:dyDescent="0.25">
      <c r="A233" s="7" t="str">
        <f>IF(LEN(挂钩标签!A234),挂钩标签!A234&amp;CHAR(10)&amp;""&amp;需打标签!$L$2&amp;" "&amp;需打标签!$M$2&amp;" "&amp;需打标签!$N$2&amp;"           /"&amp;需打标签!$O$2,"")</f>
        <v/>
      </c>
    </row>
    <row r="234" spans="1:1" ht="112" customHeight="1" x14ac:dyDescent="0.25">
      <c r="A234" s="7" t="str">
        <f>IF(LEN(挂钩标签!A235),挂钩标签!A235&amp;CHAR(10)&amp;""&amp;需打标签!$L$2&amp;" "&amp;需打标签!$M$2&amp;" "&amp;需打标签!$N$2&amp;"           /"&amp;需打标签!$O$2,"")</f>
        <v/>
      </c>
    </row>
    <row r="235" spans="1:1" ht="112" customHeight="1" x14ac:dyDescent="0.25">
      <c r="A235" s="7" t="str">
        <f>IF(LEN(挂钩标签!A236),挂钩标签!A236&amp;CHAR(10)&amp;""&amp;需打标签!$L$2&amp;" "&amp;需打标签!$M$2&amp;" "&amp;需打标签!$N$2&amp;"           /"&amp;需打标签!$O$2,"")</f>
        <v/>
      </c>
    </row>
    <row r="236" spans="1:1" ht="112" customHeight="1" x14ac:dyDescent="0.25">
      <c r="A236" s="7" t="str">
        <f>IF(LEN(挂钩标签!A237),挂钩标签!A237&amp;CHAR(10)&amp;""&amp;需打标签!$L$2&amp;" "&amp;需打标签!$M$2&amp;" "&amp;需打标签!$N$2&amp;"           /"&amp;需打标签!$O$2,"")</f>
        <v/>
      </c>
    </row>
    <row r="237" spans="1:1" ht="112" customHeight="1" x14ac:dyDescent="0.25">
      <c r="A237" s="7" t="str">
        <f>IF(LEN(挂钩标签!A238),挂钩标签!A238&amp;CHAR(10)&amp;""&amp;需打标签!$L$2&amp;" "&amp;需打标签!$M$2&amp;" "&amp;需打标签!$N$2&amp;"           /"&amp;需打标签!$O$2,"")</f>
        <v/>
      </c>
    </row>
    <row r="238" spans="1:1" ht="112" customHeight="1" x14ac:dyDescent="0.25">
      <c r="A238" s="7" t="str">
        <f>IF(LEN(挂钩标签!A239),挂钩标签!A239&amp;CHAR(10)&amp;""&amp;需打标签!$L$2&amp;" "&amp;需打标签!$M$2&amp;" "&amp;需打标签!$N$2&amp;"           /"&amp;需打标签!$O$2,"")</f>
        <v/>
      </c>
    </row>
    <row r="239" spans="1:1" ht="112" customHeight="1" x14ac:dyDescent="0.25">
      <c r="A239" s="7" t="str">
        <f>IF(LEN(挂钩标签!A240),挂钩标签!A240&amp;CHAR(10)&amp;""&amp;需打标签!$L$2&amp;" "&amp;需打标签!$M$2&amp;" "&amp;需打标签!$N$2&amp;"           /"&amp;需打标签!$O$2,"")</f>
        <v/>
      </c>
    </row>
    <row r="240" spans="1:1" ht="112" customHeight="1" x14ac:dyDescent="0.25">
      <c r="A240" s="7" t="str">
        <f>IF(LEN(挂钩标签!A241),挂钩标签!A241&amp;CHAR(10)&amp;""&amp;需打标签!$L$2&amp;" "&amp;需打标签!$M$2&amp;" "&amp;需打标签!$N$2&amp;"           /"&amp;需打标签!$O$2,"")</f>
        <v/>
      </c>
    </row>
    <row r="241" spans="1:1" ht="112" customHeight="1" x14ac:dyDescent="0.25">
      <c r="A241" s="7" t="str">
        <f>IF(LEN(挂钩标签!A242),挂钩标签!A242&amp;CHAR(10)&amp;""&amp;需打标签!$L$2&amp;" "&amp;需打标签!$M$2&amp;" "&amp;需打标签!$N$2&amp;"           /"&amp;需打标签!$O$2,"")</f>
        <v/>
      </c>
    </row>
    <row r="242" spans="1:1" ht="112" customHeight="1" x14ac:dyDescent="0.25">
      <c r="A242" s="7" t="str">
        <f>IF(LEN(挂钩标签!A243),挂钩标签!A243&amp;CHAR(10)&amp;""&amp;需打标签!$L$2&amp;" "&amp;需打标签!$M$2&amp;" "&amp;需打标签!$N$2&amp;"           /"&amp;需打标签!$O$2,"")</f>
        <v/>
      </c>
    </row>
    <row r="243" spans="1:1" ht="112" customHeight="1" x14ac:dyDescent="0.25">
      <c r="A243" s="7" t="str">
        <f>IF(LEN(挂钩标签!A244),挂钩标签!A244&amp;CHAR(10)&amp;""&amp;需打标签!$L$2&amp;" "&amp;需打标签!$M$2&amp;" "&amp;需打标签!$N$2&amp;"           /"&amp;需打标签!$O$2,"")</f>
        <v/>
      </c>
    </row>
    <row r="244" spans="1:1" ht="112" customHeight="1" x14ac:dyDescent="0.25">
      <c r="A244" s="7" t="str">
        <f>IF(LEN(挂钩标签!A245),挂钩标签!A245&amp;CHAR(10)&amp;""&amp;需打标签!$L$2&amp;" "&amp;需打标签!$M$2&amp;" "&amp;需打标签!$N$2&amp;"           /"&amp;需打标签!$O$2,"")</f>
        <v/>
      </c>
    </row>
    <row r="245" spans="1:1" ht="112" customHeight="1" x14ac:dyDescent="0.25">
      <c r="A245" s="7" t="str">
        <f>IF(LEN(挂钩标签!A246),挂钩标签!A246&amp;CHAR(10)&amp;""&amp;需打标签!$L$2&amp;" "&amp;需打标签!$M$2&amp;" "&amp;需打标签!$N$2&amp;"           /"&amp;需打标签!$O$2,"")</f>
        <v/>
      </c>
    </row>
    <row r="246" spans="1:1" ht="112" customHeight="1" x14ac:dyDescent="0.25">
      <c r="A246" s="7" t="str">
        <f>IF(LEN(挂钩标签!A247),挂钩标签!A247&amp;CHAR(10)&amp;""&amp;需打标签!$L$2&amp;" "&amp;需打标签!$M$2&amp;" "&amp;需打标签!$N$2&amp;"           /"&amp;需打标签!$O$2,"")</f>
        <v/>
      </c>
    </row>
    <row r="247" spans="1:1" ht="112" customHeight="1" x14ac:dyDescent="0.25">
      <c r="A247" s="7" t="str">
        <f>IF(LEN(挂钩标签!A248),挂钩标签!A248&amp;CHAR(10)&amp;""&amp;需打标签!$L$2&amp;" "&amp;需打标签!$M$2&amp;" "&amp;需打标签!$N$2&amp;"           /"&amp;需打标签!$O$2,"")</f>
        <v/>
      </c>
    </row>
    <row r="248" spans="1:1" ht="112" customHeight="1" x14ac:dyDescent="0.25">
      <c r="A248" s="7" t="str">
        <f>IF(LEN(挂钩标签!A249),挂钩标签!A249&amp;CHAR(10)&amp;""&amp;需打标签!$L$2&amp;" "&amp;需打标签!$M$2&amp;" "&amp;需打标签!$N$2&amp;"           /"&amp;需打标签!$O$2,"")</f>
        <v/>
      </c>
    </row>
    <row r="249" spans="1:1" ht="112" customHeight="1" x14ac:dyDescent="0.25">
      <c r="A249" s="7" t="str">
        <f>IF(LEN(挂钩标签!A250),挂钩标签!A250&amp;CHAR(10)&amp;""&amp;需打标签!$L$2&amp;" "&amp;需打标签!$M$2&amp;" "&amp;需打标签!$N$2&amp;"           /"&amp;需打标签!$O$2,"")</f>
        <v/>
      </c>
    </row>
    <row r="250" spans="1:1" ht="112" customHeight="1" x14ac:dyDescent="0.25">
      <c r="A250" s="7" t="str">
        <f>IF(LEN(挂钩标签!A251),挂钩标签!A251&amp;CHAR(10)&amp;""&amp;需打标签!$L$2&amp;" "&amp;需打标签!$M$2&amp;" "&amp;需打标签!$N$2&amp;"           /"&amp;需打标签!$O$2,"")</f>
        <v/>
      </c>
    </row>
  </sheetData>
  <sheetProtection password="C036" sheet="1" deleteRows="0" autoFilter="0"/>
  <autoFilter ref="A1:A250"/>
  <phoneticPr fontId="51" type="noConversion"/>
  <pageMargins left="0.27559055118110237" right="0" top="7.874015748031496E-2" bottom="0" header="0" footer="0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选择打印标签">
                <anchor moveWithCells="1" sizeWithCells="1">
                  <from>
                    <xdr:col>2</xdr:col>
                    <xdr:colOff>241300</xdr:colOff>
                    <xdr:row>0</xdr:row>
                    <xdr:rowOff>393700</xdr:rowOff>
                  </from>
                  <to>
                    <xdr:col>4</xdr:col>
                    <xdr:colOff>165100</xdr:colOff>
                    <xdr:row>0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workbookViewId="0"/>
  </sheetViews>
  <sheetFormatPr defaultRowHeight="14" x14ac:dyDescent="0.25"/>
  <cols>
    <col min="1" max="1" width="31.7265625" customWidth="1"/>
  </cols>
  <sheetData>
    <row r="1" spans="1:1" ht="112" customHeight="1" x14ac:dyDescent="0.25">
      <c r="A1" s="61" t="s">
        <v>8161</v>
      </c>
    </row>
  </sheetData>
  <phoneticPr fontId="51" type="noConversion"/>
  <pageMargins left="0.27559055118110237" right="0" top="0" bottom="0" header="0" footer="0"/>
  <pageSetup paperSize="9" orientation="portrait" horizontalDpi="203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62"/>
  <sheetViews>
    <sheetView topLeftCell="A4" zoomScaleNormal="100" workbookViewId="0">
      <selection activeCell="C6" sqref="C6"/>
    </sheetView>
  </sheetViews>
  <sheetFormatPr defaultRowHeight="15.5" x14ac:dyDescent="0.25"/>
  <cols>
    <col min="1" max="1" width="28.36328125" style="83" customWidth="1"/>
    <col min="2" max="2" width="9.26953125" bestFit="1" customWidth="1"/>
    <col min="4" max="4" width="10.36328125" bestFit="1" customWidth="1"/>
    <col min="5" max="5" width="13.90625" customWidth="1"/>
    <col min="6" max="6" width="21.26953125" customWidth="1"/>
    <col min="7" max="7" width="10.36328125" bestFit="1" customWidth="1"/>
  </cols>
  <sheetData>
    <row r="1" spans="1:10" ht="112" customHeight="1" x14ac:dyDescent="0.25">
      <c r="A1" s="81" t="s">
        <v>8779</v>
      </c>
      <c r="C1" s="56" t="s">
        <v>7371</v>
      </c>
      <c r="D1">
        <f ca="1">TODAY()</f>
        <v>42942</v>
      </c>
      <c r="E1" s="66" t="s">
        <v>8786</v>
      </c>
      <c r="F1" s="66" t="s">
        <v>8787</v>
      </c>
      <c r="G1" s="64">
        <f ca="1">DAY(D1)</f>
        <v>26</v>
      </c>
      <c r="H1" s="64" t="str">
        <f ca="1">TEXT(MONTH(D1)*28,"mmm")</f>
        <v>Jul</v>
      </c>
      <c r="I1" s="64">
        <f ca="1">YEAR(D1)</f>
        <v>2017</v>
      </c>
      <c r="J1" s="65" t="str">
        <f ca="1">CHAR(10)&amp;"Date:"&amp;H1&amp;"/"&amp;G1&amp;"/"&amp;I1</f>
        <v xml:space="preserve">
Date:Jul/26/2017</v>
      </c>
    </row>
    <row r="2" spans="1:10" ht="112" customHeight="1" x14ac:dyDescent="0.25">
      <c r="A2" s="88" t="s">
        <v>9063</v>
      </c>
      <c r="H2" s="64"/>
    </row>
    <row r="3" spans="1:10" ht="112" customHeight="1" x14ac:dyDescent="0.25">
      <c r="A3" s="7" t="s">
        <v>9064</v>
      </c>
    </row>
    <row r="4" spans="1:10" ht="112" customHeight="1" x14ac:dyDescent="0.25">
      <c r="A4" s="7" t="s">
        <v>9065</v>
      </c>
    </row>
    <row r="5" spans="1:10" ht="112" customHeight="1" x14ac:dyDescent="0.25">
      <c r="A5" s="88" t="s">
        <v>8822</v>
      </c>
    </row>
    <row r="6" spans="1:10" ht="112" customHeight="1" x14ac:dyDescent="0.25">
      <c r="A6" s="81" t="s">
        <v>8780</v>
      </c>
    </row>
    <row r="7" spans="1:10" ht="112" customHeight="1" x14ac:dyDescent="0.25">
      <c r="A7" s="82" t="s">
        <v>8781</v>
      </c>
    </row>
    <row r="8" spans="1:10" ht="112" customHeight="1" x14ac:dyDescent="0.25">
      <c r="A8" s="82" t="s">
        <v>8782</v>
      </c>
    </row>
    <row r="9" spans="1:10" ht="112" customHeight="1" x14ac:dyDescent="0.25"/>
    <row r="10" spans="1:10" ht="112" customHeight="1" x14ac:dyDescent="0.25">
      <c r="A10" s="84"/>
    </row>
    <row r="11" spans="1:10" ht="112" customHeight="1" x14ac:dyDescent="0.25"/>
    <row r="12" spans="1:10" ht="112" customHeight="1" x14ac:dyDescent="0.25"/>
    <row r="13" spans="1:10" ht="112" customHeight="1" x14ac:dyDescent="0.25"/>
    <row r="14" spans="1:10" ht="112" customHeight="1" x14ac:dyDescent="0.25"/>
    <row r="15" spans="1:10" ht="112" customHeight="1" x14ac:dyDescent="0.25"/>
    <row r="16" spans="1:10" ht="112" customHeight="1" x14ac:dyDescent="0.25"/>
    <row r="17" spans="1:1" ht="112" customHeight="1" x14ac:dyDescent="0.25"/>
    <row r="18" spans="1:1" ht="112" customHeight="1" x14ac:dyDescent="0.25"/>
    <row r="19" spans="1:1" ht="112" customHeight="1" x14ac:dyDescent="0.25"/>
    <row r="20" spans="1:1" ht="112" customHeight="1" x14ac:dyDescent="0.25"/>
    <row r="21" spans="1:1" ht="112" customHeight="1" x14ac:dyDescent="0.25">
      <c r="A21" s="83" t="s">
        <v>7142</v>
      </c>
    </row>
    <row r="22" spans="1:1" ht="112" customHeight="1" x14ac:dyDescent="0.25"/>
    <row r="23" spans="1:1" ht="112" customHeight="1" x14ac:dyDescent="0.25"/>
    <row r="24" spans="1:1" ht="112" customHeight="1" x14ac:dyDescent="0.25"/>
    <row r="25" spans="1:1" ht="112" customHeight="1" x14ac:dyDescent="0.25"/>
    <row r="26" spans="1:1" ht="112" customHeight="1" x14ac:dyDescent="0.25"/>
    <row r="27" spans="1:1" ht="112" customHeight="1" x14ac:dyDescent="0.25"/>
    <row r="28" spans="1:1" ht="112" customHeight="1" x14ac:dyDescent="0.25"/>
    <row r="29" spans="1:1" ht="112" customHeight="1" x14ac:dyDescent="0.25"/>
    <row r="30" spans="1:1" ht="112" customHeight="1" x14ac:dyDescent="0.25"/>
    <row r="31" spans="1:1" ht="112" customHeight="1" x14ac:dyDescent="0.25"/>
    <row r="32" spans="1:1" ht="112" customHeight="1" x14ac:dyDescent="0.25"/>
    <row r="33" ht="112" customHeight="1" x14ac:dyDescent="0.25"/>
    <row r="34" ht="112" customHeight="1" x14ac:dyDescent="0.25"/>
    <row r="35" ht="112" customHeight="1" x14ac:dyDescent="0.25"/>
    <row r="36" ht="112" customHeight="1" x14ac:dyDescent="0.25"/>
    <row r="37" ht="112" customHeight="1" x14ac:dyDescent="0.25"/>
    <row r="38" ht="112" customHeight="1" x14ac:dyDescent="0.25"/>
    <row r="39" ht="112" customHeight="1" x14ac:dyDescent="0.25"/>
    <row r="40" ht="112" customHeight="1" x14ac:dyDescent="0.25"/>
    <row r="41" ht="112" customHeight="1" x14ac:dyDescent="0.25"/>
    <row r="42" ht="112" customHeight="1" x14ac:dyDescent="0.25"/>
    <row r="43" ht="112" customHeight="1" x14ac:dyDescent="0.25"/>
    <row r="44" ht="112" customHeight="1" x14ac:dyDescent="0.25"/>
    <row r="45" ht="112" customHeight="1" x14ac:dyDescent="0.25"/>
    <row r="46" ht="112" customHeight="1" x14ac:dyDescent="0.25"/>
    <row r="47" ht="112" customHeight="1" x14ac:dyDescent="0.25"/>
    <row r="48" ht="112" customHeight="1" x14ac:dyDescent="0.25"/>
    <row r="49" ht="112" customHeight="1" x14ac:dyDescent="0.25"/>
    <row r="50" ht="112" customHeight="1" x14ac:dyDescent="0.25"/>
    <row r="51" ht="112" customHeight="1" x14ac:dyDescent="0.25"/>
    <row r="52" ht="112" customHeight="1" x14ac:dyDescent="0.25"/>
    <row r="53" ht="112" customHeight="1" x14ac:dyDescent="0.25"/>
    <row r="54" ht="112" customHeight="1" x14ac:dyDescent="0.25"/>
    <row r="55" ht="112" customHeight="1" x14ac:dyDescent="0.25"/>
    <row r="56" ht="112" customHeight="1" x14ac:dyDescent="0.25"/>
    <row r="57" ht="112" customHeight="1" x14ac:dyDescent="0.25"/>
    <row r="58" ht="112" customHeight="1" x14ac:dyDescent="0.25"/>
    <row r="59" ht="112" customHeight="1" x14ac:dyDescent="0.25"/>
    <row r="60" ht="112" customHeight="1" x14ac:dyDescent="0.25"/>
    <row r="61" ht="112" customHeight="1" x14ac:dyDescent="0.25"/>
    <row r="62" ht="112" customHeight="1" x14ac:dyDescent="0.25"/>
    <row r="63" ht="112" customHeight="1" x14ac:dyDescent="0.25"/>
    <row r="64" ht="112" customHeight="1" x14ac:dyDescent="0.25"/>
    <row r="65" ht="112" customHeight="1" x14ac:dyDescent="0.25"/>
    <row r="66" ht="112" customHeight="1" x14ac:dyDescent="0.25"/>
    <row r="67" ht="112" customHeight="1" x14ac:dyDescent="0.25"/>
    <row r="68" ht="112" customHeight="1" x14ac:dyDescent="0.25"/>
    <row r="69" ht="112" customHeight="1" x14ac:dyDescent="0.25"/>
    <row r="70" ht="112" customHeight="1" x14ac:dyDescent="0.25"/>
    <row r="71" ht="112" customHeight="1" x14ac:dyDescent="0.25"/>
    <row r="72" ht="112" customHeight="1" x14ac:dyDescent="0.25"/>
    <row r="73" ht="112" customHeight="1" x14ac:dyDescent="0.25"/>
    <row r="74" ht="112" customHeight="1" x14ac:dyDescent="0.25"/>
    <row r="75" ht="112" customHeight="1" x14ac:dyDescent="0.25"/>
    <row r="76" ht="112" customHeight="1" x14ac:dyDescent="0.25"/>
    <row r="77" ht="112" customHeight="1" x14ac:dyDescent="0.25"/>
    <row r="78" ht="112" customHeight="1" x14ac:dyDescent="0.25"/>
    <row r="79" ht="112" customHeight="1" x14ac:dyDescent="0.25"/>
    <row r="80" ht="112" customHeight="1" x14ac:dyDescent="0.25"/>
    <row r="81" ht="112" customHeight="1" x14ac:dyDescent="0.25"/>
    <row r="82" ht="112" customHeight="1" x14ac:dyDescent="0.25"/>
    <row r="83" ht="112" customHeight="1" x14ac:dyDescent="0.25"/>
    <row r="84" ht="112" customHeight="1" x14ac:dyDescent="0.25"/>
    <row r="85" ht="112" customHeight="1" x14ac:dyDescent="0.25"/>
    <row r="86" ht="112" customHeight="1" x14ac:dyDescent="0.25"/>
    <row r="87" ht="112" customHeight="1" x14ac:dyDescent="0.25"/>
    <row r="88" ht="112" customHeight="1" x14ac:dyDescent="0.25"/>
    <row r="89" ht="112" customHeight="1" x14ac:dyDescent="0.25"/>
    <row r="90" ht="112" customHeight="1" x14ac:dyDescent="0.25"/>
    <row r="91" ht="112" customHeight="1" x14ac:dyDescent="0.25"/>
    <row r="92" ht="112" customHeight="1" x14ac:dyDescent="0.25"/>
    <row r="93" ht="112" customHeight="1" x14ac:dyDescent="0.25"/>
    <row r="94" ht="112" customHeight="1" x14ac:dyDescent="0.25"/>
    <row r="95" ht="112" customHeight="1" x14ac:dyDescent="0.25"/>
    <row r="96" ht="112" customHeight="1" x14ac:dyDescent="0.25"/>
    <row r="97" ht="112" customHeight="1" x14ac:dyDescent="0.25"/>
    <row r="98" ht="112" customHeight="1" x14ac:dyDescent="0.25"/>
    <row r="99" ht="112" customHeight="1" x14ac:dyDescent="0.25"/>
    <row r="100" ht="112" customHeight="1" x14ac:dyDescent="0.25"/>
    <row r="101" ht="112" customHeight="1" x14ac:dyDescent="0.25"/>
    <row r="102" ht="112" customHeight="1" x14ac:dyDescent="0.25"/>
    <row r="103" ht="112" customHeight="1" x14ac:dyDescent="0.25"/>
    <row r="104" ht="112" customHeight="1" x14ac:dyDescent="0.25"/>
    <row r="105" ht="112" customHeight="1" x14ac:dyDescent="0.25"/>
    <row r="106" ht="112" customHeight="1" x14ac:dyDescent="0.25"/>
    <row r="107" ht="112" customHeight="1" x14ac:dyDescent="0.25"/>
    <row r="108" ht="112" customHeight="1" x14ac:dyDescent="0.25"/>
    <row r="109" ht="112" customHeight="1" x14ac:dyDescent="0.25"/>
    <row r="110" ht="112" customHeight="1" x14ac:dyDescent="0.25"/>
    <row r="111" ht="112" customHeight="1" x14ac:dyDescent="0.25"/>
    <row r="112" ht="112" customHeight="1" x14ac:dyDescent="0.25"/>
    <row r="113" ht="112" customHeight="1" x14ac:dyDescent="0.25"/>
    <row r="114" ht="112" customHeight="1" x14ac:dyDescent="0.25"/>
    <row r="115" ht="112" customHeight="1" x14ac:dyDescent="0.25"/>
    <row r="116" ht="112" customHeight="1" x14ac:dyDescent="0.25"/>
    <row r="117" ht="112" customHeight="1" x14ac:dyDescent="0.25"/>
    <row r="118" ht="112" customHeight="1" x14ac:dyDescent="0.25"/>
    <row r="119" ht="112" customHeight="1" x14ac:dyDescent="0.25"/>
    <row r="120" ht="112" customHeight="1" x14ac:dyDescent="0.25"/>
    <row r="121" ht="112" customHeight="1" x14ac:dyDescent="0.25"/>
    <row r="122" ht="112" customHeight="1" x14ac:dyDescent="0.25"/>
    <row r="123" ht="112" customHeight="1" x14ac:dyDescent="0.25"/>
    <row r="124" ht="112" customHeight="1" x14ac:dyDescent="0.25"/>
    <row r="125" ht="112" customHeight="1" x14ac:dyDescent="0.25"/>
    <row r="126" ht="112" customHeight="1" x14ac:dyDescent="0.25"/>
    <row r="127" ht="112" customHeight="1" x14ac:dyDescent="0.25"/>
    <row r="128" ht="112" customHeight="1" x14ac:dyDescent="0.25"/>
    <row r="129" ht="112" customHeight="1" x14ac:dyDescent="0.25"/>
    <row r="130" ht="112" customHeight="1" x14ac:dyDescent="0.25"/>
    <row r="131" ht="112" customHeight="1" x14ac:dyDescent="0.25"/>
    <row r="132" ht="112" customHeight="1" x14ac:dyDescent="0.25"/>
    <row r="133" ht="112" customHeight="1" x14ac:dyDescent="0.25"/>
    <row r="134" ht="112" customHeight="1" x14ac:dyDescent="0.25"/>
    <row r="135" ht="112" customHeight="1" x14ac:dyDescent="0.25"/>
    <row r="136" ht="112" customHeight="1" x14ac:dyDescent="0.25"/>
    <row r="137" ht="112" customHeight="1" x14ac:dyDescent="0.25"/>
    <row r="138" ht="112" customHeight="1" x14ac:dyDescent="0.25"/>
    <row r="139" ht="112" customHeight="1" x14ac:dyDescent="0.25"/>
    <row r="140" ht="112" customHeight="1" x14ac:dyDescent="0.25"/>
    <row r="141" ht="112" customHeight="1" x14ac:dyDescent="0.25"/>
    <row r="142" ht="112" customHeight="1" x14ac:dyDescent="0.25"/>
    <row r="143" ht="112" customHeight="1" x14ac:dyDescent="0.25"/>
    <row r="144" ht="112" customHeight="1" x14ac:dyDescent="0.25"/>
    <row r="145" spans="1:1" ht="112" customHeight="1" x14ac:dyDescent="0.25"/>
    <row r="146" spans="1:1" ht="112" customHeight="1" x14ac:dyDescent="0.25"/>
    <row r="147" spans="1:1" ht="112" customHeight="1" x14ac:dyDescent="0.25"/>
    <row r="148" spans="1:1" ht="112" customHeight="1" x14ac:dyDescent="0.25"/>
    <row r="149" spans="1:1" ht="112" customHeight="1" x14ac:dyDescent="0.25"/>
    <row r="150" spans="1:1" ht="112" customHeight="1" x14ac:dyDescent="0.25"/>
    <row r="151" spans="1:1" ht="112" customHeight="1" x14ac:dyDescent="0.25"/>
    <row r="152" spans="1:1" ht="112" customHeight="1" x14ac:dyDescent="0.25"/>
    <row r="153" spans="1:1" ht="112" customHeight="1" x14ac:dyDescent="0.25"/>
    <row r="154" spans="1:1" ht="112" customHeight="1" x14ac:dyDescent="0.25"/>
    <row r="155" spans="1:1" ht="112" customHeight="1" x14ac:dyDescent="0.25"/>
    <row r="156" spans="1:1" ht="112" customHeight="1" x14ac:dyDescent="0.25"/>
    <row r="157" spans="1:1" ht="112" customHeight="1" x14ac:dyDescent="0.25">
      <c r="A157" s="84"/>
    </row>
    <row r="158" spans="1:1" ht="112" customHeight="1" x14ac:dyDescent="0.25"/>
    <row r="159" spans="1:1" ht="112" customHeight="1" x14ac:dyDescent="0.25"/>
    <row r="160" spans="1:1" ht="112" customHeight="1" x14ac:dyDescent="0.25"/>
    <row r="161" ht="112" customHeight="1" x14ac:dyDescent="0.25"/>
    <row r="162" ht="112" customHeight="1" x14ac:dyDescent="0.25"/>
    <row r="163" ht="112" customHeight="1" x14ac:dyDescent="0.25"/>
    <row r="164" ht="112" customHeight="1" x14ac:dyDescent="0.25"/>
    <row r="165" ht="112" customHeight="1" x14ac:dyDescent="0.25"/>
    <row r="166" ht="112" customHeight="1" x14ac:dyDescent="0.25"/>
    <row r="167" ht="112" customHeight="1" x14ac:dyDescent="0.25"/>
    <row r="168" ht="112" customHeight="1" x14ac:dyDescent="0.25"/>
    <row r="169" ht="112" customHeight="1" x14ac:dyDescent="0.25"/>
    <row r="170" ht="112" customHeight="1" x14ac:dyDescent="0.25"/>
    <row r="171" ht="112" customHeight="1" x14ac:dyDescent="0.25"/>
    <row r="172" ht="112" customHeight="1" x14ac:dyDescent="0.25"/>
    <row r="173" ht="112" customHeight="1" x14ac:dyDescent="0.25"/>
    <row r="174" ht="112" customHeight="1" x14ac:dyDescent="0.25"/>
    <row r="175" ht="112" customHeight="1" x14ac:dyDescent="0.25"/>
    <row r="176" ht="112" customHeight="1" x14ac:dyDescent="0.25"/>
    <row r="177" spans="1:1" ht="112" customHeight="1" x14ac:dyDescent="0.25"/>
    <row r="178" spans="1:1" ht="112" customHeight="1" x14ac:dyDescent="0.25"/>
    <row r="179" spans="1:1" ht="112" customHeight="1" x14ac:dyDescent="0.25"/>
    <row r="180" spans="1:1" ht="112" customHeight="1" x14ac:dyDescent="0.25"/>
    <row r="181" spans="1:1" ht="112" customHeight="1" x14ac:dyDescent="0.25"/>
    <row r="182" spans="1:1" ht="112" customHeight="1" x14ac:dyDescent="0.25"/>
    <row r="183" spans="1:1" ht="112" customHeight="1" x14ac:dyDescent="0.25"/>
    <row r="184" spans="1:1" ht="112" customHeight="1" x14ac:dyDescent="0.25"/>
    <row r="185" spans="1:1" ht="112" customHeight="1" x14ac:dyDescent="0.25"/>
    <row r="186" spans="1:1" ht="112" customHeight="1" x14ac:dyDescent="0.25"/>
    <row r="187" spans="1:1" ht="112" customHeight="1" x14ac:dyDescent="0.25">
      <c r="A187" s="85"/>
    </row>
    <row r="188" spans="1:1" ht="112" customHeight="1" x14ac:dyDescent="0.25">
      <c r="A188" s="85"/>
    </row>
    <row r="189" spans="1:1" ht="112" customHeight="1" x14ac:dyDescent="0.25">
      <c r="A189" s="85"/>
    </row>
    <row r="190" spans="1:1" ht="112" customHeight="1" x14ac:dyDescent="0.25">
      <c r="A190" s="85"/>
    </row>
    <row r="191" spans="1:1" ht="112" customHeight="1" x14ac:dyDescent="0.25">
      <c r="A191" s="85"/>
    </row>
    <row r="192" spans="1:1" ht="112" customHeight="1" x14ac:dyDescent="0.25">
      <c r="A192" s="85"/>
    </row>
    <row r="193" spans="1:1" ht="112" customHeight="1" x14ac:dyDescent="0.25">
      <c r="A193" s="85"/>
    </row>
    <row r="194" spans="1:1" ht="112" customHeight="1" x14ac:dyDescent="0.25">
      <c r="A194" s="85"/>
    </row>
    <row r="195" spans="1:1" ht="112" customHeight="1" x14ac:dyDescent="0.25">
      <c r="A195" s="85"/>
    </row>
    <row r="196" spans="1:1" ht="112" customHeight="1" x14ac:dyDescent="0.25">
      <c r="A196" s="85"/>
    </row>
    <row r="197" spans="1:1" ht="112" customHeight="1" x14ac:dyDescent="0.25">
      <c r="A197" s="85"/>
    </row>
    <row r="198" spans="1:1" ht="112" customHeight="1" x14ac:dyDescent="0.25">
      <c r="A198" s="85"/>
    </row>
    <row r="199" spans="1:1" ht="112" customHeight="1" x14ac:dyDescent="0.25">
      <c r="A199" s="85"/>
    </row>
    <row r="200" spans="1:1" ht="112" customHeight="1" x14ac:dyDescent="0.25">
      <c r="A200" s="85"/>
    </row>
    <row r="201" spans="1:1" ht="112" customHeight="1" x14ac:dyDescent="0.25">
      <c r="A201" s="85"/>
    </row>
    <row r="202" spans="1:1" ht="112" customHeight="1" x14ac:dyDescent="0.25">
      <c r="A202" s="85"/>
    </row>
    <row r="203" spans="1:1" ht="112" customHeight="1" x14ac:dyDescent="0.25">
      <c r="A203" s="85"/>
    </row>
    <row r="204" spans="1:1" ht="112" customHeight="1" x14ac:dyDescent="0.25">
      <c r="A204" s="85"/>
    </row>
    <row r="205" spans="1:1" ht="112" customHeight="1" x14ac:dyDescent="0.25">
      <c r="A205" s="85"/>
    </row>
    <row r="206" spans="1:1" ht="112" customHeight="1" x14ac:dyDescent="0.25">
      <c r="A206" s="85"/>
    </row>
    <row r="207" spans="1:1" ht="112" customHeight="1" x14ac:dyDescent="0.25">
      <c r="A207" s="85"/>
    </row>
    <row r="208" spans="1:1" ht="112" customHeight="1" x14ac:dyDescent="0.25">
      <c r="A208" s="85"/>
    </row>
    <row r="209" spans="1:1" ht="112" customHeight="1" x14ac:dyDescent="0.25">
      <c r="A209" s="85"/>
    </row>
    <row r="210" spans="1:1" ht="112" customHeight="1" x14ac:dyDescent="0.25">
      <c r="A210" s="85"/>
    </row>
    <row r="211" spans="1:1" ht="112" customHeight="1" x14ac:dyDescent="0.25">
      <c r="A211" s="85"/>
    </row>
    <row r="212" spans="1:1" ht="112" customHeight="1" x14ac:dyDescent="0.25">
      <c r="A212" s="85"/>
    </row>
    <row r="213" spans="1:1" ht="112" customHeight="1" x14ac:dyDescent="0.25">
      <c r="A213" s="85"/>
    </row>
    <row r="214" spans="1:1" ht="112" customHeight="1" x14ac:dyDescent="0.25">
      <c r="A214" s="85"/>
    </row>
    <row r="215" spans="1:1" ht="112" customHeight="1" x14ac:dyDescent="0.25">
      <c r="A215" s="85"/>
    </row>
    <row r="216" spans="1:1" ht="112" customHeight="1" x14ac:dyDescent="0.25">
      <c r="A216" s="85"/>
    </row>
    <row r="217" spans="1:1" ht="112" customHeight="1" x14ac:dyDescent="0.25">
      <c r="A217" s="85"/>
    </row>
    <row r="218" spans="1:1" ht="112" customHeight="1" x14ac:dyDescent="0.25">
      <c r="A218" s="85"/>
    </row>
    <row r="219" spans="1:1" ht="112" customHeight="1" x14ac:dyDescent="0.25">
      <c r="A219" s="85"/>
    </row>
    <row r="220" spans="1:1" ht="112" customHeight="1" x14ac:dyDescent="0.25">
      <c r="A220" s="85"/>
    </row>
    <row r="221" spans="1:1" ht="112" customHeight="1" x14ac:dyDescent="0.25">
      <c r="A221" s="85"/>
    </row>
    <row r="222" spans="1:1" ht="112" customHeight="1" x14ac:dyDescent="0.25">
      <c r="A222" s="85"/>
    </row>
    <row r="223" spans="1:1" ht="112" customHeight="1" x14ac:dyDescent="0.25">
      <c r="A223" s="85"/>
    </row>
    <row r="224" spans="1:1" ht="112" customHeight="1" x14ac:dyDescent="0.25">
      <c r="A224" s="85"/>
    </row>
    <row r="225" spans="1:1" ht="112" customHeight="1" x14ac:dyDescent="0.25">
      <c r="A225" s="85"/>
    </row>
    <row r="226" spans="1:1" ht="112" customHeight="1" x14ac:dyDescent="0.25">
      <c r="A226" s="85"/>
    </row>
    <row r="227" spans="1:1" ht="112" customHeight="1" x14ac:dyDescent="0.25">
      <c r="A227" s="85"/>
    </row>
    <row r="228" spans="1:1" ht="112" customHeight="1" x14ac:dyDescent="0.25">
      <c r="A228" s="85"/>
    </row>
    <row r="229" spans="1:1" ht="112" customHeight="1" x14ac:dyDescent="0.25">
      <c r="A229" s="85"/>
    </row>
    <row r="230" spans="1:1" ht="112" customHeight="1" x14ac:dyDescent="0.25">
      <c r="A230" s="85"/>
    </row>
    <row r="231" spans="1:1" ht="112" customHeight="1" x14ac:dyDescent="0.25">
      <c r="A231" s="85"/>
    </row>
    <row r="232" spans="1:1" ht="112" customHeight="1" x14ac:dyDescent="0.25">
      <c r="A232" s="85"/>
    </row>
    <row r="233" spans="1:1" ht="112" customHeight="1" x14ac:dyDescent="0.25">
      <c r="A233" s="85"/>
    </row>
    <row r="234" spans="1:1" ht="112" customHeight="1" x14ac:dyDescent="0.25">
      <c r="A234" s="85"/>
    </row>
    <row r="235" spans="1:1" ht="112" customHeight="1" x14ac:dyDescent="0.25">
      <c r="A235" s="85"/>
    </row>
    <row r="236" spans="1:1" ht="112" customHeight="1" x14ac:dyDescent="0.25">
      <c r="A236" s="85"/>
    </row>
    <row r="237" spans="1:1" ht="112" customHeight="1" x14ac:dyDescent="0.25">
      <c r="A237" s="85"/>
    </row>
    <row r="238" spans="1:1" ht="112" customHeight="1" x14ac:dyDescent="0.25">
      <c r="A238" s="85"/>
    </row>
    <row r="239" spans="1:1" ht="112" customHeight="1" x14ac:dyDescent="0.25">
      <c r="A239" s="85"/>
    </row>
    <row r="240" spans="1:1" ht="112" customHeight="1" x14ac:dyDescent="0.25">
      <c r="A240" s="85"/>
    </row>
    <row r="241" spans="1:1" ht="112" customHeight="1" x14ac:dyDescent="0.25">
      <c r="A241" s="85"/>
    </row>
    <row r="242" spans="1:1" ht="112" customHeight="1" x14ac:dyDescent="0.25">
      <c r="A242" s="85"/>
    </row>
    <row r="243" spans="1:1" ht="112" customHeight="1" x14ac:dyDescent="0.25">
      <c r="A243" s="85"/>
    </row>
    <row r="244" spans="1:1" ht="112" customHeight="1" x14ac:dyDescent="0.25">
      <c r="A244" s="85"/>
    </row>
    <row r="245" spans="1:1" ht="112" customHeight="1" x14ac:dyDescent="0.25">
      <c r="A245" s="85"/>
    </row>
    <row r="246" spans="1:1" ht="112" customHeight="1" x14ac:dyDescent="0.25">
      <c r="A246" s="85"/>
    </row>
    <row r="247" spans="1:1" ht="112" customHeight="1" x14ac:dyDescent="0.25">
      <c r="A247" s="85"/>
    </row>
    <row r="248" spans="1:1" ht="112" customHeight="1" x14ac:dyDescent="0.25">
      <c r="A248" s="85"/>
    </row>
    <row r="249" spans="1:1" ht="112" customHeight="1" x14ac:dyDescent="0.25">
      <c r="A249" s="85"/>
    </row>
    <row r="250" spans="1:1" ht="112" customHeight="1" x14ac:dyDescent="0.25">
      <c r="A250" s="85"/>
    </row>
    <row r="251" spans="1:1" ht="112" customHeight="1" x14ac:dyDescent="0.25">
      <c r="A251" s="85"/>
    </row>
    <row r="252" spans="1:1" ht="112" customHeight="1" x14ac:dyDescent="0.25">
      <c r="A252" s="85"/>
    </row>
    <row r="253" spans="1:1" ht="112" customHeight="1" x14ac:dyDescent="0.25">
      <c r="A253" s="85"/>
    </row>
    <row r="254" spans="1:1" ht="112" customHeight="1" x14ac:dyDescent="0.25">
      <c r="A254" s="85"/>
    </row>
    <row r="255" spans="1:1" ht="112" customHeight="1" x14ac:dyDescent="0.25">
      <c r="A255" s="85"/>
    </row>
    <row r="256" spans="1:1" ht="112" customHeight="1" x14ac:dyDescent="0.25">
      <c r="A256" s="85"/>
    </row>
    <row r="257" spans="1:1" ht="112" customHeight="1" x14ac:dyDescent="0.25">
      <c r="A257" s="85"/>
    </row>
    <row r="258" spans="1:1" ht="112" customHeight="1" x14ac:dyDescent="0.25">
      <c r="A258" s="85"/>
    </row>
    <row r="259" spans="1:1" ht="112" customHeight="1" x14ac:dyDescent="0.25">
      <c r="A259" s="85"/>
    </row>
    <row r="260" spans="1:1" ht="112" customHeight="1" x14ac:dyDescent="0.25">
      <c r="A260" s="85"/>
    </row>
    <row r="261" spans="1:1" ht="112" customHeight="1" x14ac:dyDescent="0.25">
      <c r="A261" s="85"/>
    </row>
    <row r="262" spans="1:1" ht="112" customHeight="1" x14ac:dyDescent="0.25">
      <c r="A262" s="85"/>
    </row>
    <row r="263" spans="1:1" ht="112" customHeight="1" x14ac:dyDescent="0.25">
      <c r="A263" s="85"/>
    </row>
    <row r="264" spans="1:1" ht="112" customHeight="1" x14ac:dyDescent="0.25">
      <c r="A264" s="85"/>
    </row>
    <row r="265" spans="1:1" ht="112" customHeight="1" x14ac:dyDescent="0.25">
      <c r="A265" s="85"/>
    </row>
    <row r="266" spans="1:1" ht="112" customHeight="1" x14ac:dyDescent="0.25">
      <c r="A266" s="85"/>
    </row>
    <row r="267" spans="1:1" ht="112" customHeight="1" x14ac:dyDescent="0.25">
      <c r="A267" s="85"/>
    </row>
    <row r="268" spans="1:1" ht="112" customHeight="1" x14ac:dyDescent="0.25">
      <c r="A268" s="85"/>
    </row>
    <row r="269" spans="1:1" ht="112" customHeight="1" x14ac:dyDescent="0.25">
      <c r="A269" s="85"/>
    </row>
    <row r="270" spans="1:1" ht="112" customHeight="1" x14ac:dyDescent="0.25">
      <c r="A270" s="85"/>
    </row>
    <row r="271" spans="1:1" ht="112" customHeight="1" x14ac:dyDescent="0.25">
      <c r="A271" s="85"/>
    </row>
    <row r="272" spans="1:1" ht="112" customHeight="1" x14ac:dyDescent="0.25">
      <c r="A272" s="85"/>
    </row>
    <row r="273" spans="1:1" ht="112" customHeight="1" x14ac:dyDescent="0.25">
      <c r="A273" s="85"/>
    </row>
    <row r="274" spans="1:1" ht="112" customHeight="1" x14ac:dyDescent="0.25">
      <c r="A274" s="85"/>
    </row>
    <row r="275" spans="1:1" ht="112" customHeight="1" x14ac:dyDescent="0.25">
      <c r="A275" s="85"/>
    </row>
    <row r="276" spans="1:1" ht="112" customHeight="1" x14ac:dyDescent="0.25">
      <c r="A276" s="85"/>
    </row>
    <row r="277" spans="1:1" ht="112" customHeight="1" x14ac:dyDescent="0.25">
      <c r="A277" s="85"/>
    </row>
    <row r="278" spans="1:1" ht="112" customHeight="1" x14ac:dyDescent="0.25">
      <c r="A278" s="85"/>
    </row>
    <row r="279" spans="1:1" ht="112" customHeight="1" x14ac:dyDescent="0.25">
      <c r="A279" s="85"/>
    </row>
    <row r="280" spans="1:1" ht="112" customHeight="1" x14ac:dyDescent="0.25">
      <c r="A280" s="85"/>
    </row>
    <row r="281" spans="1:1" ht="112" customHeight="1" x14ac:dyDescent="0.25">
      <c r="A281" s="85"/>
    </row>
    <row r="282" spans="1:1" ht="112" customHeight="1" x14ac:dyDescent="0.25">
      <c r="A282" s="85"/>
    </row>
    <row r="283" spans="1:1" ht="112" customHeight="1" x14ac:dyDescent="0.25">
      <c r="A283" s="85"/>
    </row>
    <row r="284" spans="1:1" ht="112" customHeight="1" x14ac:dyDescent="0.25">
      <c r="A284" s="85"/>
    </row>
    <row r="285" spans="1:1" ht="112" customHeight="1" x14ac:dyDescent="0.25">
      <c r="A285" s="85"/>
    </row>
    <row r="286" spans="1:1" ht="112" customHeight="1" x14ac:dyDescent="0.25">
      <c r="A286" s="85"/>
    </row>
    <row r="287" spans="1:1" ht="112" customHeight="1" x14ac:dyDescent="0.25">
      <c r="A287" s="85"/>
    </row>
    <row r="288" spans="1:1" ht="112" customHeight="1" x14ac:dyDescent="0.25">
      <c r="A288" s="85"/>
    </row>
    <row r="289" spans="1:1" ht="112" customHeight="1" x14ac:dyDescent="0.25">
      <c r="A289" s="85"/>
    </row>
    <row r="290" spans="1:1" ht="112" customHeight="1" x14ac:dyDescent="0.25">
      <c r="A290" s="85"/>
    </row>
    <row r="291" spans="1:1" ht="112" customHeight="1" x14ac:dyDescent="0.25">
      <c r="A291" s="85"/>
    </row>
    <row r="292" spans="1:1" ht="112" customHeight="1" x14ac:dyDescent="0.25">
      <c r="A292" s="85"/>
    </row>
    <row r="293" spans="1:1" ht="112" customHeight="1" x14ac:dyDescent="0.25">
      <c r="A293" s="85"/>
    </row>
    <row r="294" spans="1:1" ht="112" customHeight="1" x14ac:dyDescent="0.25">
      <c r="A294" s="85"/>
    </row>
    <row r="295" spans="1:1" ht="112" customHeight="1" x14ac:dyDescent="0.25">
      <c r="A295" s="85"/>
    </row>
    <row r="296" spans="1:1" ht="112" customHeight="1" x14ac:dyDescent="0.25">
      <c r="A296" s="85"/>
    </row>
    <row r="297" spans="1:1" ht="112" customHeight="1" x14ac:dyDescent="0.25">
      <c r="A297" s="85"/>
    </row>
    <row r="298" spans="1:1" ht="112" customHeight="1" x14ac:dyDescent="0.25">
      <c r="A298" s="85"/>
    </row>
    <row r="299" spans="1:1" ht="112" customHeight="1" x14ac:dyDescent="0.25">
      <c r="A299" s="85"/>
    </row>
    <row r="300" spans="1:1" ht="112" customHeight="1" x14ac:dyDescent="0.25">
      <c r="A300" s="85"/>
    </row>
    <row r="301" spans="1:1" ht="112" customHeight="1" x14ac:dyDescent="0.25">
      <c r="A301" s="85"/>
    </row>
    <row r="302" spans="1:1" ht="112" customHeight="1" x14ac:dyDescent="0.25">
      <c r="A302" s="85"/>
    </row>
    <row r="303" spans="1:1" ht="112" customHeight="1" x14ac:dyDescent="0.25">
      <c r="A303" s="85"/>
    </row>
    <row r="304" spans="1:1" ht="112" customHeight="1" x14ac:dyDescent="0.25">
      <c r="A304" s="85"/>
    </row>
    <row r="305" spans="1:1" ht="112" customHeight="1" x14ac:dyDescent="0.25">
      <c r="A305" s="85"/>
    </row>
    <row r="306" spans="1:1" ht="112" customHeight="1" x14ac:dyDescent="0.25">
      <c r="A306" s="85"/>
    </row>
    <row r="307" spans="1:1" ht="112" customHeight="1" x14ac:dyDescent="0.25">
      <c r="A307" s="85"/>
    </row>
    <row r="308" spans="1:1" ht="112" customHeight="1" x14ac:dyDescent="0.25">
      <c r="A308" s="85"/>
    </row>
    <row r="309" spans="1:1" ht="112" customHeight="1" x14ac:dyDescent="0.25">
      <c r="A309" s="85"/>
    </row>
    <row r="310" spans="1:1" ht="112" customHeight="1" x14ac:dyDescent="0.25">
      <c r="A310" s="85"/>
    </row>
    <row r="311" spans="1:1" ht="112" customHeight="1" x14ac:dyDescent="0.25">
      <c r="A311" s="85"/>
    </row>
    <row r="312" spans="1:1" ht="112" customHeight="1" x14ac:dyDescent="0.25">
      <c r="A312" s="85"/>
    </row>
    <row r="313" spans="1:1" ht="112" customHeight="1" x14ac:dyDescent="0.25">
      <c r="A313" s="85"/>
    </row>
    <row r="314" spans="1:1" ht="112" customHeight="1" x14ac:dyDescent="0.25">
      <c r="A314" s="85"/>
    </row>
    <row r="315" spans="1:1" ht="112" customHeight="1" x14ac:dyDescent="0.25">
      <c r="A315" s="85"/>
    </row>
    <row r="316" spans="1:1" ht="112" customHeight="1" x14ac:dyDescent="0.25">
      <c r="A316" s="85"/>
    </row>
    <row r="317" spans="1:1" ht="112" customHeight="1" x14ac:dyDescent="0.25">
      <c r="A317" s="85"/>
    </row>
    <row r="318" spans="1:1" ht="112" customHeight="1" x14ac:dyDescent="0.25">
      <c r="A318" s="85"/>
    </row>
    <row r="319" spans="1:1" ht="112" customHeight="1" x14ac:dyDescent="0.25">
      <c r="A319" s="85"/>
    </row>
    <row r="320" spans="1:1" ht="112" customHeight="1" x14ac:dyDescent="0.25">
      <c r="A320" s="85"/>
    </row>
    <row r="321" spans="1:1" ht="112" customHeight="1" x14ac:dyDescent="0.25">
      <c r="A321" s="85"/>
    </row>
    <row r="322" spans="1:1" ht="112" customHeight="1" x14ac:dyDescent="0.25">
      <c r="A322" s="85"/>
    </row>
    <row r="323" spans="1:1" ht="112" customHeight="1" x14ac:dyDescent="0.25">
      <c r="A323" s="85"/>
    </row>
    <row r="324" spans="1:1" ht="112" customHeight="1" x14ac:dyDescent="0.25">
      <c r="A324" s="85"/>
    </row>
    <row r="325" spans="1:1" ht="112" customHeight="1" x14ac:dyDescent="0.25">
      <c r="A325" s="85"/>
    </row>
    <row r="326" spans="1:1" ht="112" customHeight="1" x14ac:dyDescent="0.25">
      <c r="A326" s="85"/>
    </row>
    <row r="327" spans="1:1" ht="112" customHeight="1" x14ac:dyDescent="0.25">
      <c r="A327" s="85"/>
    </row>
    <row r="328" spans="1:1" ht="112" customHeight="1" x14ac:dyDescent="0.25">
      <c r="A328" s="85"/>
    </row>
    <row r="329" spans="1:1" ht="112" customHeight="1" x14ac:dyDescent="0.25">
      <c r="A329" s="85"/>
    </row>
    <row r="330" spans="1:1" ht="112" customHeight="1" x14ac:dyDescent="0.25">
      <c r="A330" s="85"/>
    </row>
    <row r="331" spans="1:1" ht="112" customHeight="1" x14ac:dyDescent="0.25">
      <c r="A331" s="85"/>
    </row>
    <row r="332" spans="1:1" ht="112" customHeight="1" x14ac:dyDescent="0.25">
      <c r="A332" s="85"/>
    </row>
    <row r="333" spans="1:1" ht="112" customHeight="1" x14ac:dyDescent="0.25">
      <c r="A333" s="85"/>
    </row>
    <row r="334" spans="1:1" ht="112" customHeight="1" x14ac:dyDescent="0.25">
      <c r="A334" s="85"/>
    </row>
    <row r="335" spans="1:1" ht="112" customHeight="1" x14ac:dyDescent="0.25">
      <c r="A335" s="85"/>
    </row>
    <row r="336" spans="1:1" ht="112" customHeight="1" x14ac:dyDescent="0.25">
      <c r="A336" s="85"/>
    </row>
    <row r="337" spans="1:1" ht="112" customHeight="1" x14ac:dyDescent="0.25">
      <c r="A337" s="85"/>
    </row>
    <row r="338" spans="1:1" ht="112" customHeight="1" x14ac:dyDescent="0.25">
      <c r="A338" s="85"/>
    </row>
    <row r="339" spans="1:1" ht="112" customHeight="1" x14ac:dyDescent="0.25">
      <c r="A339" s="85"/>
    </row>
    <row r="340" spans="1:1" ht="112" customHeight="1" x14ac:dyDescent="0.25">
      <c r="A340" s="85"/>
    </row>
    <row r="341" spans="1:1" ht="112" customHeight="1" x14ac:dyDescent="0.25">
      <c r="A341" s="85"/>
    </row>
    <row r="342" spans="1:1" ht="112" customHeight="1" x14ac:dyDescent="0.25">
      <c r="A342" s="85"/>
    </row>
    <row r="343" spans="1:1" ht="112" customHeight="1" x14ac:dyDescent="0.25">
      <c r="A343" s="85"/>
    </row>
    <row r="344" spans="1:1" ht="112" customHeight="1" x14ac:dyDescent="0.25">
      <c r="A344" s="85"/>
    </row>
    <row r="345" spans="1:1" ht="112" customHeight="1" x14ac:dyDescent="0.25">
      <c r="A345" s="85"/>
    </row>
    <row r="346" spans="1:1" ht="112" customHeight="1" x14ac:dyDescent="0.25">
      <c r="A346" s="85"/>
    </row>
    <row r="347" spans="1:1" ht="112" customHeight="1" x14ac:dyDescent="0.25">
      <c r="A347" s="85"/>
    </row>
    <row r="348" spans="1:1" ht="112" customHeight="1" x14ac:dyDescent="0.25">
      <c r="A348" s="85"/>
    </row>
    <row r="349" spans="1:1" ht="112" customHeight="1" x14ac:dyDescent="0.25">
      <c r="A349" s="85"/>
    </row>
    <row r="350" spans="1:1" ht="112" customHeight="1" x14ac:dyDescent="0.25">
      <c r="A350" s="85"/>
    </row>
    <row r="351" spans="1:1" ht="112" customHeight="1" x14ac:dyDescent="0.25">
      <c r="A351" s="85"/>
    </row>
    <row r="352" spans="1:1" ht="112" customHeight="1" x14ac:dyDescent="0.25">
      <c r="A352" s="85"/>
    </row>
    <row r="353" spans="1:1" ht="112" customHeight="1" x14ac:dyDescent="0.25">
      <c r="A353" s="85"/>
    </row>
    <row r="354" spans="1:1" ht="112" customHeight="1" x14ac:dyDescent="0.25">
      <c r="A354" s="85"/>
    </row>
    <row r="355" spans="1:1" ht="112" customHeight="1" x14ac:dyDescent="0.25">
      <c r="A355" s="85"/>
    </row>
    <row r="356" spans="1:1" ht="112" customHeight="1" x14ac:dyDescent="0.25">
      <c r="A356" s="85"/>
    </row>
    <row r="357" spans="1:1" ht="112" customHeight="1" x14ac:dyDescent="0.25">
      <c r="A357" s="85"/>
    </row>
    <row r="358" spans="1:1" ht="112" customHeight="1" x14ac:dyDescent="0.25">
      <c r="A358" s="85"/>
    </row>
    <row r="359" spans="1:1" ht="112" customHeight="1" x14ac:dyDescent="0.25">
      <c r="A359" s="85"/>
    </row>
    <row r="360" spans="1:1" ht="112" customHeight="1" x14ac:dyDescent="0.25">
      <c r="A360" s="85"/>
    </row>
    <row r="361" spans="1:1" ht="112" customHeight="1" x14ac:dyDescent="0.25">
      <c r="A361" s="85"/>
    </row>
    <row r="362" spans="1:1" ht="112" customHeight="1" x14ac:dyDescent="0.25">
      <c r="A362" s="85"/>
    </row>
    <row r="363" spans="1:1" ht="112" customHeight="1" x14ac:dyDescent="0.25">
      <c r="A363" s="85"/>
    </row>
    <row r="364" spans="1:1" ht="112" customHeight="1" x14ac:dyDescent="0.25">
      <c r="A364" s="85"/>
    </row>
    <row r="365" spans="1:1" ht="112" customHeight="1" x14ac:dyDescent="0.25">
      <c r="A365" s="85"/>
    </row>
    <row r="366" spans="1:1" ht="112" customHeight="1" x14ac:dyDescent="0.25">
      <c r="A366" s="85"/>
    </row>
    <row r="367" spans="1:1" ht="112" customHeight="1" x14ac:dyDescent="0.25">
      <c r="A367" s="85"/>
    </row>
    <row r="368" spans="1:1" ht="112" customHeight="1" x14ac:dyDescent="0.25">
      <c r="A368" s="85"/>
    </row>
    <row r="369" spans="1:1" ht="112" customHeight="1" x14ac:dyDescent="0.25">
      <c r="A369" s="85"/>
    </row>
    <row r="370" spans="1:1" ht="112" customHeight="1" x14ac:dyDescent="0.25">
      <c r="A370" s="85"/>
    </row>
    <row r="371" spans="1:1" ht="112" customHeight="1" x14ac:dyDescent="0.25">
      <c r="A371" s="85"/>
    </row>
    <row r="372" spans="1:1" ht="112" customHeight="1" x14ac:dyDescent="0.25">
      <c r="A372" s="85"/>
    </row>
    <row r="373" spans="1:1" ht="112" customHeight="1" x14ac:dyDescent="0.25">
      <c r="A373" s="85"/>
    </row>
    <row r="374" spans="1:1" ht="112" customHeight="1" x14ac:dyDescent="0.25">
      <c r="A374" s="85"/>
    </row>
    <row r="375" spans="1:1" ht="112" customHeight="1" x14ac:dyDescent="0.25">
      <c r="A375" s="85"/>
    </row>
    <row r="376" spans="1:1" ht="112" customHeight="1" x14ac:dyDescent="0.25">
      <c r="A376" s="85"/>
    </row>
    <row r="377" spans="1:1" ht="112" customHeight="1" x14ac:dyDescent="0.25">
      <c r="A377" s="85"/>
    </row>
    <row r="378" spans="1:1" ht="112" customHeight="1" x14ac:dyDescent="0.25">
      <c r="A378" s="85"/>
    </row>
    <row r="379" spans="1:1" ht="112" customHeight="1" x14ac:dyDescent="0.25">
      <c r="A379" s="85"/>
    </row>
    <row r="380" spans="1:1" ht="112" customHeight="1" x14ac:dyDescent="0.25">
      <c r="A380" s="85"/>
    </row>
    <row r="381" spans="1:1" ht="112" customHeight="1" x14ac:dyDescent="0.25">
      <c r="A381" s="85"/>
    </row>
    <row r="382" spans="1:1" ht="112" customHeight="1" x14ac:dyDescent="0.25">
      <c r="A382" s="85"/>
    </row>
    <row r="383" spans="1:1" ht="112" customHeight="1" x14ac:dyDescent="0.25">
      <c r="A383" s="85"/>
    </row>
    <row r="384" spans="1:1" ht="112" customHeight="1" x14ac:dyDescent="0.25">
      <c r="A384" s="85"/>
    </row>
    <row r="385" spans="1:1" ht="112" customHeight="1" x14ac:dyDescent="0.25">
      <c r="A385" s="85"/>
    </row>
    <row r="386" spans="1:1" ht="112" customHeight="1" x14ac:dyDescent="0.25">
      <c r="A386" s="85"/>
    </row>
    <row r="387" spans="1:1" ht="112" customHeight="1" x14ac:dyDescent="0.25">
      <c r="A387" s="85"/>
    </row>
    <row r="388" spans="1:1" ht="112" customHeight="1" x14ac:dyDescent="0.25">
      <c r="A388" s="85"/>
    </row>
    <row r="389" spans="1:1" ht="112" customHeight="1" x14ac:dyDescent="0.25">
      <c r="A389" s="85"/>
    </row>
    <row r="390" spans="1:1" ht="112" customHeight="1" x14ac:dyDescent="0.25">
      <c r="A390" s="85"/>
    </row>
    <row r="391" spans="1:1" ht="112" customHeight="1" x14ac:dyDescent="0.25">
      <c r="A391" s="85"/>
    </row>
    <row r="392" spans="1:1" ht="112" customHeight="1" x14ac:dyDescent="0.25">
      <c r="A392" s="85"/>
    </row>
    <row r="393" spans="1:1" ht="112" customHeight="1" x14ac:dyDescent="0.25">
      <c r="A393" s="85"/>
    </row>
    <row r="394" spans="1:1" ht="112" customHeight="1" x14ac:dyDescent="0.25">
      <c r="A394" s="85"/>
    </row>
    <row r="395" spans="1:1" ht="112" customHeight="1" x14ac:dyDescent="0.25">
      <c r="A395" s="85"/>
    </row>
    <row r="396" spans="1:1" ht="112" customHeight="1" x14ac:dyDescent="0.25">
      <c r="A396" s="85"/>
    </row>
    <row r="397" spans="1:1" ht="112" customHeight="1" x14ac:dyDescent="0.25">
      <c r="A397" s="85"/>
    </row>
    <row r="398" spans="1:1" ht="112" customHeight="1" x14ac:dyDescent="0.25">
      <c r="A398" s="85"/>
    </row>
    <row r="399" spans="1:1" ht="112" customHeight="1" x14ac:dyDescent="0.25">
      <c r="A399" s="85"/>
    </row>
    <row r="400" spans="1:1" ht="112" customHeight="1" x14ac:dyDescent="0.25">
      <c r="A400" s="85"/>
    </row>
    <row r="401" spans="1:1" ht="112" customHeight="1" x14ac:dyDescent="0.25">
      <c r="A401" s="85"/>
    </row>
    <row r="402" spans="1:1" ht="112" customHeight="1" x14ac:dyDescent="0.25">
      <c r="A402" s="85"/>
    </row>
    <row r="403" spans="1:1" ht="112" customHeight="1" x14ac:dyDescent="0.25">
      <c r="A403" s="85"/>
    </row>
    <row r="404" spans="1:1" ht="112" customHeight="1" x14ac:dyDescent="0.25">
      <c r="A404" s="85"/>
    </row>
    <row r="405" spans="1:1" ht="112" customHeight="1" x14ac:dyDescent="0.25">
      <c r="A405" s="85"/>
    </row>
    <row r="406" spans="1:1" ht="112" customHeight="1" x14ac:dyDescent="0.25">
      <c r="A406" s="85"/>
    </row>
    <row r="407" spans="1:1" ht="112" customHeight="1" x14ac:dyDescent="0.25">
      <c r="A407" s="85"/>
    </row>
    <row r="408" spans="1:1" ht="112" customHeight="1" x14ac:dyDescent="0.25">
      <c r="A408" s="85"/>
    </row>
    <row r="409" spans="1:1" ht="112" customHeight="1" x14ac:dyDescent="0.25">
      <c r="A409" s="85"/>
    </row>
    <row r="410" spans="1:1" ht="112" customHeight="1" x14ac:dyDescent="0.25">
      <c r="A410" s="85"/>
    </row>
    <row r="411" spans="1:1" ht="112" customHeight="1" x14ac:dyDescent="0.25">
      <c r="A411" s="85"/>
    </row>
    <row r="412" spans="1:1" ht="112" customHeight="1" x14ac:dyDescent="0.25">
      <c r="A412" s="85"/>
    </row>
    <row r="413" spans="1:1" ht="112" customHeight="1" x14ac:dyDescent="0.25">
      <c r="A413" s="85"/>
    </row>
    <row r="414" spans="1:1" ht="112" customHeight="1" x14ac:dyDescent="0.25">
      <c r="A414" s="85"/>
    </row>
    <row r="415" spans="1:1" ht="112" customHeight="1" x14ac:dyDescent="0.25">
      <c r="A415" s="85"/>
    </row>
    <row r="416" spans="1:1" ht="112" customHeight="1" x14ac:dyDescent="0.25">
      <c r="A416" s="85"/>
    </row>
    <row r="417" spans="1:1" ht="112" customHeight="1" x14ac:dyDescent="0.25">
      <c r="A417" s="85"/>
    </row>
    <row r="418" spans="1:1" ht="112" customHeight="1" x14ac:dyDescent="0.25">
      <c r="A418" s="85"/>
    </row>
    <row r="419" spans="1:1" ht="112" customHeight="1" x14ac:dyDescent="0.25">
      <c r="A419" s="85"/>
    </row>
    <row r="420" spans="1:1" ht="112" customHeight="1" x14ac:dyDescent="0.25">
      <c r="A420" s="85"/>
    </row>
    <row r="421" spans="1:1" ht="112" customHeight="1" x14ac:dyDescent="0.25">
      <c r="A421" s="85"/>
    </row>
    <row r="422" spans="1:1" ht="112" customHeight="1" x14ac:dyDescent="0.25">
      <c r="A422" s="85"/>
    </row>
    <row r="423" spans="1:1" ht="112" customHeight="1" x14ac:dyDescent="0.25">
      <c r="A423" s="85"/>
    </row>
    <row r="424" spans="1:1" ht="112" customHeight="1" x14ac:dyDescent="0.25">
      <c r="A424" s="85"/>
    </row>
    <row r="425" spans="1:1" ht="112" customHeight="1" x14ac:dyDescent="0.25">
      <c r="A425" s="85"/>
    </row>
    <row r="426" spans="1:1" ht="112" customHeight="1" x14ac:dyDescent="0.25">
      <c r="A426" s="85"/>
    </row>
    <row r="427" spans="1:1" ht="112" customHeight="1" x14ac:dyDescent="0.25">
      <c r="A427" s="85"/>
    </row>
    <row r="428" spans="1:1" ht="112" customHeight="1" x14ac:dyDescent="0.25">
      <c r="A428" s="85"/>
    </row>
    <row r="429" spans="1:1" ht="112" customHeight="1" x14ac:dyDescent="0.25">
      <c r="A429" s="85"/>
    </row>
    <row r="430" spans="1:1" ht="112" customHeight="1" x14ac:dyDescent="0.25">
      <c r="A430" s="85"/>
    </row>
    <row r="431" spans="1:1" ht="112" customHeight="1" x14ac:dyDescent="0.25">
      <c r="A431" s="85"/>
    </row>
    <row r="432" spans="1:1" ht="112" customHeight="1" x14ac:dyDescent="0.25">
      <c r="A432" s="85"/>
    </row>
    <row r="433" spans="1:1" ht="112" customHeight="1" x14ac:dyDescent="0.25">
      <c r="A433" s="85"/>
    </row>
    <row r="434" spans="1:1" ht="112" customHeight="1" x14ac:dyDescent="0.25">
      <c r="A434" s="85"/>
    </row>
    <row r="435" spans="1:1" ht="112" customHeight="1" x14ac:dyDescent="0.25">
      <c r="A435" s="85"/>
    </row>
    <row r="436" spans="1:1" ht="112" customHeight="1" x14ac:dyDescent="0.25">
      <c r="A436" s="85"/>
    </row>
    <row r="437" spans="1:1" ht="112" customHeight="1" x14ac:dyDescent="0.25">
      <c r="A437" s="85"/>
    </row>
    <row r="438" spans="1:1" ht="112" customHeight="1" x14ac:dyDescent="0.25">
      <c r="A438" s="85"/>
    </row>
    <row r="439" spans="1:1" ht="112" customHeight="1" x14ac:dyDescent="0.25">
      <c r="A439" s="85"/>
    </row>
    <row r="440" spans="1:1" ht="112" customHeight="1" x14ac:dyDescent="0.25">
      <c r="A440" s="85"/>
    </row>
    <row r="441" spans="1:1" ht="112" customHeight="1" x14ac:dyDescent="0.25">
      <c r="A441" s="85"/>
    </row>
    <row r="442" spans="1:1" ht="112" customHeight="1" x14ac:dyDescent="0.25">
      <c r="A442" s="85"/>
    </row>
    <row r="443" spans="1:1" ht="112" customHeight="1" x14ac:dyDescent="0.25">
      <c r="A443" s="85"/>
    </row>
    <row r="444" spans="1:1" ht="112" customHeight="1" x14ac:dyDescent="0.25">
      <c r="A444" s="85"/>
    </row>
    <row r="445" spans="1:1" ht="112" customHeight="1" x14ac:dyDescent="0.25">
      <c r="A445" s="85"/>
    </row>
    <row r="446" spans="1:1" ht="112" customHeight="1" x14ac:dyDescent="0.25">
      <c r="A446" s="85"/>
    </row>
    <row r="447" spans="1:1" ht="112" customHeight="1" x14ac:dyDescent="0.25">
      <c r="A447" s="85"/>
    </row>
    <row r="448" spans="1:1" ht="112" customHeight="1" x14ac:dyDescent="0.25">
      <c r="A448" s="85"/>
    </row>
    <row r="449" spans="1:1" ht="112" customHeight="1" x14ac:dyDescent="0.25">
      <c r="A449" s="85"/>
    </row>
    <row r="450" spans="1:1" ht="112" customHeight="1" x14ac:dyDescent="0.25">
      <c r="A450" s="85"/>
    </row>
    <row r="451" spans="1:1" ht="112" customHeight="1" x14ac:dyDescent="0.25">
      <c r="A451" s="85"/>
    </row>
    <row r="452" spans="1:1" ht="112" customHeight="1" x14ac:dyDescent="0.25">
      <c r="A452" s="85"/>
    </row>
    <row r="453" spans="1:1" ht="112" customHeight="1" x14ac:dyDescent="0.25">
      <c r="A453" s="85"/>
    </row>
    <row r="454" spans="1:1" ht="112" customHeight="1" x14ac:dyDescent="0.25">
      <c r="A454" s="85"/>
    </row>
    <row r="455" spans="1:1" ht="112" customHeight="1" x14ac:dyDescent="0.25">
      <c r="A455" s="85"/>
    </row>
    <row r="456" spans="1:1" ht="112" customHeight="1" x14ac:dyDescent="0.25">
      <c r="A456" s="85"/>
    </row>
    <row r="457" spans="1:1" ht="112" customHeight="1" x14ac:dyDescent="0.25">
      <c r="A457" s="85"/>
    </row>
    <row r="458" spans="1:1" ht="112" customHeight="1" x14ac:dyDescent="0.25">
      <c r="A458" s="85"/>
    </row>
    <row r="459" spans="1:1" ht="112" customHeight="1" x14ac:dyDescent="0.25">
      <c r="A459" s="85"/>
    </row>
    <row r="460" spans="1:1" ht="112" customHeight="1" x14ac:dyDescent="0.25">
      <c r="A460" s="85"/>
    </row>
    <row r="461" spans="1:1" ht="112" customHeight="1" x14ac:dyDescent="0.25">
      <c r="A461" s="85"/>
    </row>
    <row r="462" spans="1:1" ht="112" customHeight="1" x14ac:dyDescent="0.25">
      <c r="A462" s="85"/>
    </row>
    <row r="463" spans="1:1" ht="112" customHeight="1" x14ac:dyDescent="0.25">
      <c r="A463" s="85"/>
    </row>
    <row r="464" spans="1:1" ht="112" customHeight="1" x14ac:dyDescent="0.25">
      <c r="A464" s="85"/>
    </row>
    <row r="465" spans="1:1" ht="112" customHeight="1" x14ac:dyDescent="0.25">
      <c r="A465" s="85"/>
    </row>
    <row r="466" spans="1:1" ht="112" customHeight="1" x14ac:dyDescent="0.25">
      <c r="A466" s="85"/>
    </row>
    <row r="467" spans="1:1" ht="112" customHeight="1" x14ac:dyDescent="0.25">
      <c r="A467" s="85"/>
    </row>
    <row r="468" spans="1:1" ht="112" customHeight="1" x14ac:dyDescent="0.25">
      <c r="A468" s="85"/>
    </row>
    <row r="469" spans="1:1" ht="112" customHeight="1" x14ac:dyDescent="0.25">
      <c r="A469" s="85"/>
    </row>
    <row r="470" spans="1:1" ht="112" customHeight="1" x14ac:dyDescent="0.25">
      <c r="A470" s="85"/>
    </row>
    <row r="471" spans="1:1" ht="112" customHeight="1" x14ac:dyDescent="0.25">
      <c r="A471" s="85"/>
    </row>
    <row r="472" spans="1:1" ht="112" customHeight="1" x14ac:dyDescent="0.25">
      <c r="A472" s="85"/>
    </row>
    <row r="473" spans="1:1" ht="112" customHeight="1" x14ac:dyDescent="0.25">
      <c r="A473" s="85"/>
    </row>
    <row r="474" spans="1:1" ht="112" customHeight="1" x14ac:dyDescent="0.25">
      <c r="A474" s="85"/>
    </row>
    <row r="475" spans="1:1" ht="112" customHeight="1" x14ac:dyDescent="0.25">
      <c r="A475" s="85"/>
    </row>
    <row r="476" spans="1:1" ht="112" customHeight="1" x14ac:dyDescent="0.25">
      <c r="A476" s="85"/>
    </row>
    <row r="477" spans="1:1" ht="112" customHeight="1" x14ac:dyDescent="0.25">
      <c r="A477" s="85"/>
    </row>
    <row r="478" spans="1:1" ht="112" customHeight="1" x14ac:dyDescent="0.25">
      <c r="A478" s="85"/>
    </row>
    <row r="479" spans="1:1" ht="112" customHeight="1" x14ac:dyDescent="0.25">
      <c r="A479" s="85"/>
    </row>
    <row r="480" spans="1:1" ht="112" customHeight="1" x14ac:dyDescent="0.25">
      <c r="A480" s="85"/>
    </row>
    <row r="481" spans="1:1" ht="112" customHeight="1" x14ac:dyDescent="0.25">
      <c r="A481" s="85"/>
    </row>
    <row r="482" spans="1:1" ht="112" customHeight="1" x14ac:dyDescent="0.25">
      <c r="A482" s="85"/>
    </row>
    <row r="483" spans="1:1" ht="112" customHeight="1" x14ac:dyDescent="0.25">
      <c r="A483" s="85"/>
    </row>
    <row r="484" spans="1:1" ht="112" customHeight="1" x14ac:dyDescent="0.25">
      <c r="A484" s="85"/>
    </row>
    <row r="485" spans="1:1" ht="112" customHeight="1" x14ac:dyDescent="0.25">
      <c r="A485" s="85"/>
    </row>
    <row r="486" spans="1:1" ht="112" customHeight="1" x14ac:dyDescent="0.25">
      <c r="A486" s="85"/>
    </row>
    <row r="487" spans="1:1" ht="112" customHeight="1" x14ac:dyDescent="0.25">
      <c r="A487" s="85"/>
    </row>
    <row r="488" spans="1:1" ht="112" customHeight="1" x14ac:dyDescent="0.25">
      <c r="A488" s="85"/>
    </row>
    <row r="489" spans="1:1" ht="112" customHeight="1" x14ac:dyDescent="0.25">
      <c r="A489" s="85"/>
    </row>
    <row r="490" spans="1:1" ht="112" customHeight="1" x14ac:dyDescent="0.25">
      <c r="A490" s="85"/>
    </row>
    <row r="491" spans="1:1" ht="112" customHeight="1" x14ac:dyDescent="0.25">
      <c r="A491" s="85"/>
    </row>
    <row r="492" spans="1:1" ht="112" customHeight="1" x14ac:dyDescent="0.25">
      <c r="A492" s="85"/>
    </row>
    <row r="493" spans="1:1" ht="112" customHeight="1" x14ac:dyDescent="0.25">
      <c r="A493" s="85"/>
    </row>
    <row r="494" spans="1:1" ht="112" customHeight="1" x14ac:dyDescent="0.25">
      <c r="A494" s="85"/>
    </row>
    <row r="495" spans="1:1" ht="112" customHeight="1" x14ac:dyDescent="0.25">
      <c r="A495" s="85"/>
    </row>
    <row r="496" spans="1:1" ht="112" customHeight="1" x14ac:dyDescent="0.25">
      <c r="A496" s="85"/>
    </row>
    <row r="497" spans="1:1" ht="112" customHeight="1" x14ac:dyDescent="0.25">
      <c r="A497" s="85"/>
    </row>
    <row r="498" spans="1:1" ht="112" customHeight="1" x14ac:dyDescent="0.25">
      <c r="A498" s="85"/>
    </row>
    <row r="499" spans="1:1" ht="112" customHeight="1" x14ac:dyDescent="0.25">
      <c r="A499" s="85"/>
    </row>
    <row r="500" spans="1:1" ht="112" customHeight="1" x14ac:dyDescent="0.25">
      <c r="A500" s="85"/>
    </row>
    <row r="501" spans="1:1" ht="112" customHeight="1" x14ac:dyDescent="0.25">
      <c r="A501" s="85"/>
    </row>
    <row r="502" spans="1:1" ht="112" customHeight="1" x14ac:dyDescent="0.25">
      <c r="A502" s="85"/>
    </row>
    <row r="503" spans="1:1" ht="112" customHeight="1" x14ac:dyDescent="0.25">
      <c r="A503" s="85"/>
    </row>
    <row r="504" spans="1:1" ht="112" customHeight="1" x14ac:dyDescent="0.25">
      <c r="A504" s="85"/>
    </row>
    <row r="505" spans="1:1" ht="112" customHeight="1" x14ac:dyDescent="0.25">
      <c r="A505" s="85"/>
    </row>
    <row r="506" spans="1:1" ht="112" customHeight="1" x14ac:dyDescent="0.25">
      <c r="A506" s="85"/>
    </row>
    <row r="507" spans="1:1" ht="112" customHeight="1" x14ac:dyDescent="0.25">
      <c r="A507" s="85"/>
    </row>
    <row r="508" spans="1:1" ht="112" customHeight="1" x14ac:dyDescent="0.25">
      <c r="A508" s="85"/>
    </row>
    <row r="509" spans="1:1" ht="112" customHeight="1" x14ac:dyDescent="0.25">
      <c r="A509" s="85"/>
    </row>
    <row r="510" spans="1:1" ht="112" customHeight="1" x14ac:dyDescent="0.25">
      <c r="A510" s="85"/>
    </row>
    <row r="511" spans="1:1" ht="112" customHeight="1" x14ac:dyDescent="0.25">
      <c r="A511" s="85"/>
    </row>
    <row r="512" spans="1:1" ht="112" customHeight="1" x14ac:dyDescent="0.25">
      <c r="A512" s="85"/>
    </row>
    <row r="513" spans="1:1" ht="112" customHeight="1" x14ac:dyDescent="0.25">
      <c r="A513" s="85"/>
    </row>
    <row r="514" spans="1:1" ht="112" customHeight="1" x14ac:dyDescent="0.25">
      <c r="A514" s="85"/>
    </row>
    <row r="515" spans="1:1" ht="112" customHeight="1" x14ac:dyDescent="0.25">
      <c r="A515" s="85"/>
    </row>
    <row r="516" spans="1:1" ht="112" customHeight="1" x14ac:dyDescent="0.25">
      <c r="A516" s="85"/>
    </row>
    <row r="517" spans="1:1" ht="112" customHeight="1" x14ac:dyDescent="0.25">
      <c r="A517" s="85"/>
    </row>
    <row r="518" spans="1:1" ht="112" customHeight="1" x14ac:dyDescent="0.25">
      <c r="A518" s="85"/>
    </row>
    <row r="519" spans="1:1" ht="112" customHeight="1" x14ac:dyDescent="0.25">
      <c r="A519" s="85"/>
    </row>
    <row r="520" spans="1:1" ht="112" customHeight="1" x14ac:dyDescent="0.25">
      <c r="A520" s="85"/>
    </row>
    <row r="521" spans="1:1" ht="112" customHeight="1" x14ac:dyDescent="0.25">
      <c r="A521" s="85"/>
    </row>
    <row r="522" spans="1:1" ht="112" customHeight="1" x14ac:dyDescent="0.25">
      <c r="A522" s="85"/>
    </row>
    <row r="523" spans="1:1" ht="112" customHeight="1" x14ac:dyDescent="0.25">
      <c r="A523" s="85"/>
    </row>
    <row r="524" spans="1:1" ht="112" customHeight="1" x14ac:dyDescent="0.25">
      <c r="A524" s="85"/>
    </row>
    <row r="525" spans="1:1" ht="112" customHeight="1" x14ac:dyDescent="0.25">
      <c r="A525" s="85"/>
    </row>
    <row r="526" spans="1:1" ht="112" customHeight="1" x14ac:dyDescent="0.25">
      <c r="A526" s="85"/>
    </row>
    <row r="527" spans="1:1" ht="112" customHeight="1" x14ac:dyDescent="0.25">
      <c r="A527" s="85"/>
    </row>
    <row r="528" spans="1:1" ht="112" customHeight="1" x14ac:dyDescent="0.25">
      <c r="A528" s="85"/>
    </row>
    <row r="529" spans="1:1" ht="112" customHeight="1" x14ac:dyDescent="0.25">
      <c r="A529" s="85"/>
    </row>
    <row r="530" spans="1:1" ht="112" customHeight="1" x14ac:dyDescent="0.25">
      <c r="A530" s="85"/>
    </row>
    <row r="531" spans="1:1" ht="112" customHeight="1" x14ac:dyDescent="0.25">
      <c r="A531" s="85"/>
    </row>
    <row r="532" spans="1:1" ht="112" customHeight="1" x14ac:dyDescent="0.25">
      <c r="A532" s="85"/>
    </row>
    <row r="533" spans="1:1" ht="112" customHeight="1" x14ac:dyDescent="0.25">
      <c r="A533" s="85"/>
    </row>
    <row r="534" spans="1:1" ht="112" customHeight="1" x14ac:dyDescent="0.25">
      <c r="A534" s="85"/>
    </row>
    <row r="535" spans="1:1" ht="112" customHeight="1" x14ac:dyDescent="0.25">
      <c r="A535" s="85"/>
    </row>
    <row r="536" spans="1:1" ht="112" customHeight="1" x14ac:dyDescent="0.25">
      <c r="A536" s="85"/>
    </row>
    <row r="537" spans="1:1" ht="112" customHeight="1" x14ac:dyDescent="0.25">
      <c r="A537" s="85"/>
    </row>
    <row r="538" spans="1:1" ht="112" customHeight="1" x14ac:dyDescent="0.25">
      <c r="A538" s="85"/>
    </row>
    <row r="539" spans="1:1" ht="112" customHeight="1" x14ac:dyDescent="0.25">
      <c r="A539" s="85"/>
    </row>
    <row r="540" spans="1:1" ht="112" customHeight="1" x14ac:dyDescent="0.25">
      <c r="A540" s="85"/>
    </row>
    <row r="541" spans="1:1" ht="112" customHeight="1" x14ac:dyDescent="0.25">
      <c r="A541" s="85"/>
    </row>
    <row r="542" spans="1:1" ht="112" customHeight="1" x14ac:dyDescent="0.25">
      <c r="A542" s="85"/>
    </row>
    <row r="543" spans="1:1" ht="112" customHeight="1" x14ac:dyDescent="0.25">
      <c r="A543" s="85"/>
    </row>
    <row r="544" spans="1:1" ht="112" customHeight="1" x14ac:dyDescent="0.25">
      <c r="A544" s="85"/>
    </row>
    <row r="545" spans="1:1" ht="112" customHeight="1" x14ac:dyDescent="0.25">
      <c r="A545" s="85"/>
    </row>
    <row r="546" spans="1:1" ht="112" customHeight="1" x14ac:dyDescent="0.25">
      <c r="A546" s="85"/>
    </row>
    <row r="547" spans="1:1" ht="112" customHeight="1" x14ac:dyDescent="0.25">
      <c r="A547" s="85"/>
    </row>
    <row r="548" spans="1:1" ht="112" customHeight="1" x14ac:dyDescent="0.25">
      <c r="A548" s="85"/>
    </row>
    <row r="549" spans="1:1" ht="112" customHeight="1" x14ac:dyDescent="0.25">
      <c r="A549" s="85"/>
    </row>
    <row r="550" spans="1:1" ht="112" customHeight="1" x14ac:dyDescent="0.25">
      <c r="A550" s="85"/>
    </row>
    <row r="551" spans="1:1" ht="112" customHeight="1" x14ac:dyDescent="0.25">
      <c r="A551" s="85"/>
    </row>
    <row r="552" spans="1:1" ht="112" customHeight="1" x14ac:dyDescent="0.25">
      <c r="A552" s="85"/>
    </row>
    <row r="553" spans="1:1" ht="112" customHeight="1" x14ac:dyDescent="0.25">
      <c r="A553" s="85"/>
    </row>
    <row r="554" spans="1:1" ht="112" customHeight="1" x14ac:dyDescent="0.25">
      <c r="A554" s="85"/>
    </row>
    <row r="555" spans="1:1" ht="112" customHeight="1" x14ac:dyDescent="0.25">
      <c r="A555" s="85"/>
    </row>
    <row r="556" spans="1:1" ht="112" customHeight="1" x14ac:dyDescent="0.25">
      <c r="A556" s="85"/>
    </row>
    <row r="557" spans="1:1" ht="112" customHeight="1" x14ac:dyDescent="0.25">
      <c r="A557" s="85"/>
    </row>
    <row r="558" spans="1:1" ht="112" customHeight="1" x14ac:dyDescent="0.25">
      <c r="A558" s="85"/>
    </row>
    <row r="559" spans="1:1" ht="112" customHeight="1" x14ac:dyDescent="0.25">
      <c r="A559" s="85"/>
    </row>
    <row r="560" spans="1:1" ht="112" customHeight="1" x14ac:dyDescent="0.25">
      <c r="A560" s="85"/>
    </row>
    <row r="561" spans="1:1" ht="112" customHeight="1" x14ac:dyDescent="0.25">
      <c r="A561" s="85"/>
    </row>
    <row r="562" spans="1:1" ht="112" customHeight="1" x14ac:dyDescent="0.25">
      <c r="A562" s="85"/>
    </row>
    <row r="563" spans="1:1" ht="112" customHeight="1" x14ac:dyDescent="0.25">
      <c r="A563" s="85"/>
    </row>
    <row r="564" spans="1:1" ht="112" customHeight="1" x14ac:dyDescent="0.25">
      <c r="A564" s="85"/>
    </row>
    <row r="565" spans="1:1" ht="112" customHeight="1" x14ac:dyDescent="0.25">
      <c r="A565" s="85"/>
    </row>
    <row r="566" spans="1:1" ht="112" customHeight="1" x14ac:dyDescent="0.25">
      <c r="A566" s="85"/>
    </row>
    <row r="567" spans="1:1" ht="112" customHeight="1" x14ac:dyDescent="0.25">
      <c r="A567" s="85"/>
    </row>
    <row r="568" spans="1:1" ht="112" customHeight="1" x14ac:dyDescent="0.25">
      <c r="A568" s="85"/>
    </row>
    <row r="569" spans="1:1" ht="112" customHeight="1" x14ac:dyDescent="0.25">
      <c r="A569" s="85"/>
    </row>
    <row r="570" spans="1:1" ht="112" customHeight="1" x14ac:dyDescent="0.25">
      <c r="A570" s="85"/>
    </row>
    <row r="571" spans="1:1" ht="112" customHeight="1" x14ac:dyDescent="0.25">
      <c r="A571" s="85"/>
    </row>
    <row r="572" spans="1:1" ht="112" customHeight="1" x14ac:dyDescent="0.25">
      <c r="A572" s="85"/>
    </row>
    <row r="573" spans="1:1" ht="112" customHeight="1" x14ac:dyDescent="0.25">
      <c r="A573" s="85"/>
    </row>
    <row r="574" spans="1:1" ht="112" customHeight="1" x14ac:dyDescent="0.25">
      <c r="A574" s="85"/>
    </row>
    <row r="575" spans="1:1" ht="112" customHeight="1" x14ac:dyDescent="0.25">
      <c r="A575" s="85"/>
    </row>
    <row r="576" spans="1:1" ht="112" customHeight="1" x14ac:dyDescent="0.25">
      <c r="A576" s="85"/>
    </row>
    <row r="577" spans="1:1" ht="112" customHeight="1" x14ac:dyDescent="0.25">
      <c r="A577" s="85"/>
    </row>
    <row r="578" spans="1:1" ht="112" customHeight="1" x14ac:dyDescent="0.25">
      <c r="A578" s="85"/>
    </row>
    <row r="579" spans="1:1" ht="112" customHeight="1" x14ac:dyDescent="0.25">
      <c r="A579" s="85"/>
    </row>
    <row r="580" spans="1:1" ht="112" customHeight="1" x14ac:dyDescent="0.25">
      <c r="A580" s="85"/>
    </row>
    <row r="581" spans="1:1" ht="112" customHeight="1" x14ac:dyDescent="0.25">
      <c r="A581" s="85"/>
    </row>
    <row r="582" spans="1:1" ht="112" customHeight="1" x14ac:dyDescent="0.25">
      <c r="A582" s="85"/>
    </row>
    <row r="583" spans="1:1" ht="112" customHeight="1" x14ac:dyDescent="0.25">
      <c r="A583" s="85"/>
    </row>
    <row r="584" spans="1:1" ht="112" customHeight="1" x14ac:dyDescent="0.25">
      <c r="A584" s="85"/>
    </row>
    <row r="585" spans="1:1" ht="112" customHeight="1" x14ac:dyDescent="0.25">
      <c r="A585" s="85"/>
    </row>
    <row r="586" spans="1:1" ht="112" customHeight="1" x14ac:dyDescent="0.25">
      <c r="A586" s="85"/>
    </row>
    <row r="587" spans="1:1" ht="112" customHeight="1" x14ac:dyDescent="0.25">
      <c r="A587" s="85"/>
    </row>
    <row r="588" spans="1:1" ht="112" customHeight="1" x14ac:dyDescent="0.25">
      <c r="A588" s="85"/>
    </row>
    <row r="589" spans="1:1" ht="112" customHeight="1" x14ac:dyDescent="0.25">
      <c r="A589" s="85"/>
    </row>
    <row r="590" spans="1:1" ht="112" customHeight="1" x14ac:dyDescent="0.25">
      <c r="A590" s="85"/>
    </row>
    <row r="591" spans="1:1" ht="112" customHeight="1" x14ac:dyDescent="0.25">
      <c r="A591" s="85"/>
    </row>
    <row r="592" spans="1:1" ht="112" customHeight="1" x14ac:dyDescent="0.25">
      <c r="A592" s="85"/>
    </row>
    <row r="593" spans="1:1" ht="112" customHeight="1" x14ac:dyDescent="0.25">
      <c r="A593" s="85"/>
    </row>
    <row r="594" spans="1:1" ht="112" customHeight="1" x14ac:dyDescent="0.25">
      <c r="A594" s="85"/>
    </row>
    <row r="595" spans="1:1" ht="112" customHeight="1" x14ac:dyDescent="0.25">
      <c r="A595" s="85"/>
    </row>
    <row r="596" spans="1:1" ht="112" customHeight="1" x14ac:dyDescent="0.25">
      <c r="A596" s="85"/>
    </row>
    <row r="597" spans="1:1" ht="112" customHeight="1" x14ac:dyDescent="0.25">
      <c r="A597" s="85"/>
    </row>
    <row r="598" spans="1:1" ht="112" customHeight="1" x14ac:dyDescent="0.25">
      <c r="A598" s="85"/>
    </row>
    <row r="599" spans="1:1" ht="112" customHeight="1" x14ac:dyDescent="0.25">
      <c r="A599" s="85"/>
    </row>
    <row r="600" spans="1:1" ht="112" customHeight="1" x14ac:dyDescent="0.25">
      <c r="A600" s="85"/>
    </row>
    <row r="601" spans="1:1" ht="112" customHeight="1" x14ac:dyDescent="0.25">
      <c r="A601" s="85"/>
    </row>
    <row r="602" spans="1:1" ht="112" customHeight="1" x14ac:dyDescent="0.25">
      <c r="A602" s="85"/>
    </row>
    <row r="603" spans="1:1" ht="112" customHeight="1" x14ac:dyDescent="0.25">
      <c r="A603" s="85"/>
    </row>
    <row r="604" spans="1:1" ht="112" customHeight="1" x14ac:dyDescent="0.25">
      <c r="A604" s="85"/>
    </row>
    <row r="605" spans="1:1" ht="112" customHeight="1" x14ac:dyDescent="0.25">
      <c r="A605" s="85"/>
    </row>
    <row r="606" spans="1:1" ht="112" customHeight="1" x14ac:dyDescent="0.25">
      <c r="A606" s="85"/>
    </row>
    <row r="607" spans="1:1" ht="112" customHeight="1" x14ac:dyDescent="0.25">
      <c r="A607" s="85"/>
    </row>
    <row r="608" spans="1:1" ht="112" customHeight="1" x14ac:dyDescent="0.25">
      <c r="A608" s="85"/>
    </row>
    <row r="609" spans="1:1" ht="112" customHeight="1" x14ac:dyDescent="0.25">
      <c r="A609" s="85"/>
    </row>
    <row r="610" spans="1:1" ht="112" customHeight="1" x14ac:dyDescent="0.25">
      <c r="A610" s="85"/>
    </row>
    <row r="611" spans="1:1" ht="112" customHeight="1" x14ac:dyDescent="0.25">
      <c r="A611" s="85"/>
    </row>
    <row r="612" spans="1:1" ht="112" customHeight="1" x14ac:dyDescent="0.25">
      <c r="A612" s="85"/>
    </row>
    <row r="613" spans="1:1" ht="112" customHeight="1" x14ac:dyDescent="0.25">
      <c r="A613" s="85"/>
    </row>
    <row r="614" spans="1:1" ht="112" customHeight="1" x14ac:dyDescent="0.25">
      <c r="A614" s="85"/>
    </row>
    <row r="615" spans="1:1" ht="112" customHeight="1" x14ac:dyDescent="0.25">
      <c r="A615" s="85"/>
    </row>
    <row r="616" spans="1:1" ht="112" customHeight="1" x14ac:dyDescent="0.25">
      <c r="A616" s="85"/>
    </row>
    <row r="617" spans="1:1" ht="112" customHeight="1" x14ac:dyDescent="0.25">
      <c r="A617" s="85"/>
    </row>
    <row r="618" spans="1:1" ht="112" customHeight="1" x14ac:dyDescent="0.25">
      <c r="A618" s="85"/>
    </row>
    <row r="619" spans="1:1" ht="112" customHeight="1" x14ac:dyDescent="0.25">
      <c r="A619" s="85"/>
    </row>
    <row r="620" spans="1:1" ht="112" customHeight="1" x14ac:dyDescent="0.25">
      <c r="A620" s="85"/>
    </row>
    <row r="621" spans="1:1" ht="112" customHeight="1" x14ac:dyDescent="0.25">
      <c r="A621" s="85"/>
    </row>
    <row r="622" spans="1:1" ht="112" customHeight="1" x14ac:dyDescent="0.25">
      <c r="A622" s="85"/>
    </row>
    <row r="623" spans="1:1" ht="112" customHeight="1" x14ac:dyDescent="0.25">
      <c r="A623" s="85"/>
    </row>
    <row r="624" spans="1:1" ht="112" customHeight="1" x14ac:dyDescent="0.25">
      <c r="A624" s="85"/>
    </row>
    <row r="625" spans="1:1" ht="112" customHeight="1" x14ac:dyDescent="0.25">
      <c r="A625" s="85"/>
    </row>
    <row r="626" spans="1:1" ht="112" customHeight="1" x14ac:dyDescent="0.25">
      <c r="A626" s="85"/>
    </row>
    <row r="627" spans="1:1" ht="112" customHeight="1" x14ac:dyDescent="0.25">
      <c r="A627" s="85"/>
    </row>
    <row r="628" spans="1:1" ht="112" customHeight="1" x14ac:dyDescent="0.25">
      <c r="A628" s="85"/>
    </row>
    <row r="629" spans="1:1" ht="112" customHeight="1" x14ac:dyDescent="0.25">
      <c r="A629" s="85"/>
    </row>
    <row r="630" spans="1:1" ht="112" customHeight="1" x14ac:dyDescent="0.25">
      <c r="A630" s="85"/>
    </row>
    <row r="631" spans="1:1" ht="112" customHeight="1" x14ac:dyDescent="0.25">
      <c r="A631" s="85"/>
    </row>
    <row r="632" spans="1:1" ht="112" customHeight="1" x14ac:dyDescent="0.25">
      <c r="A632" s="85"/>
    </row>
    <row r="633" spans="1:1" ht="112" customHeight="1" x14ac:dyDescent="0.25">
      <c r="A633" s="85"/>
    </row>
    <row r="634" spans="1:1" ht="112" customHeight="1" x14ac:dyDescent="0.25">
      <c r="A634" s="85"/>
    </row>
    <row r="635" spans="1:1" ht="112" customHeight="1" x14ac:dyDescent="0.25">
      <c r="A635" s="85"/>
    </row>
    <row r="636" spans="1:1" ht="112" customHeight="1" x14ac:dyDescent="0.25">
      <c r="A636" s="85"/>
    </row>
    <row r="637" spans="1:1" ht="112" customHeight="1" x14ac:dyDescent="0.25">
      <c r="A637" s="85"/>
    </row>
    <row r="638" spans="1:1" ht="112" customHeight="1" x14ac:dyDescent="0.25">
      <c r="A638" s="85"/>
    </row>
    <row r="639" spans="1:1" ht="112" customHeight="1" x14ac:dyDescent="0.25">
      <c r="A639" s="85"/>
    </row>
    <row r="640" spans="1:1" ht="112" customHeight="1" x14ac:dyDescent="0.25">
      <c r="A640" s="85"/>
    </row>
    <row r="641" spans="1:1" ht="112" customHeight="1" x14ac:dyDescent="0.25">
      <c r="A641" s="85"/>
    </row>
    <row r="642" spans="1:1" ht="112" customHeight="1" x14ac:dyDescent="0.25">
      <c r="A642" s="85"/>
    </row>
    <row r="643" spans="1:1" ht="112" customHeight="1" x14ac:dyDescent="0.25">
      <c r="A643" s="85"/>
    </row>
    <row r="644" spans="1:1" ht="112" customHeight="1" x14ac:dyDescent="0.25">
      <c r="A644" s="85"/>
    </row>
    <row r="645" spans="1:1" ht="112" customHeight="1" x14ac:dyDescent="0.25">
      <c r="A645" s="85"/>
    </row>
    <row r="646" spans="1:1" ht="112" customHeight="1" x14ac:dyDescent="0.25">
      <c r="A646" s="85"/>
    </row>
    <row r="647" spans="1:1" ht="112" customHeight="1" x14ac:dyDescent="0.25">
      <c r="A647" s="85"/>
    </row>
    <row r="648" spans="1:1" ht="112" customHeight="1" x14ac:dyDescent="0.25">
      <c r="A648" s="85"/>
    </row>
    <row r="649" spans="1:1" ht="112" customHeight="1" x14ac:dyDescent="0.25">
      <c r="A649" s="85"/>
    </row>
    <row r="650" spans="1:1" ht="112" customHeight="1" x14ac:dyDescent="0.25">
      <c r="A650" s="85"/>
    </row>
    <row r="651" spans="1:1" ht="112" customHeight="1" x14ac:dyDescent="0.25">
      <c r="A651" s="85"/>
    </row>
    <row r="652" spans="1:1" ht="112" customHeight="1" x14ac:dyDescent="0.25">
      <c r="A652" s="85"/>
    </row>
    <row r="653" spans="1:1" ht="112" customHeight="1" x14ac:dyDescent="0.25">
      <c r="A653" s="85"/>
    </row>
    <row r="654" spans="1:1" ht="112" customHeight="1" x14ac:dyDescent="0.25">
      <c r="A654" s="85"/>
    </row>
    <row r="655" spans="1:1" ht="112" customHeight="1" x14ac:dyDescent="0.25">
      <c r="A655" s="85"/>
    </row>
    <row r="656" spans="1:1" ht="112" customHeight="1" x14ac:dyDescent="0.25">
      <c r="A656" s="85"/>
    </row>
    <row r="657" spans="1:1" ht="112" customHeight="1" x14ac:dyDescent="0.25">
      <c r="A657" s="85"/>
    </row>
    <row r="658" spans="1:1" ht="112" customHeight="1" x14ac:dyDescent="0.25">
      <c r="A658" s="85"/>
    </row>
    <row r="659" spans="1:1" ht="112" customHeight="1" x14ac:dyDescent="0.25">
      <c r="A659" s="85"/>
    </row>
    <row r="660" spans="1:1" ht="112" customHeight="1" x14ac:dyDescent="0.25">
      <c r="A660" s="85"/>
    </row>
    <row r="661" spans="1:1" ht="112" customHeight="1" x14ac:dyDescent="0.25">
      <c r="A661" s="85"/>
    </row>
    <row r="662" spans="1:1" ht="112" customHeight="1" x14ac:dyDescent="0.25">
      <c r="A662" s="85"/>
    </row>
    <row r="663" spans="1:1" ht="112" customHeight="1" x14ac:dyDescent="0.25">
      <c r="A663" s="85"/>
    </row>
    <row r="664" spans="1:1" ht="112" customHeight="1" x14ac:dyDescent="0.25">
      <c r="A664" s="85"/>
    </row>
    <row r="665" spans="1:1" ht="112" customHeight="1" x14ac:dyDescent="0.25">
      <c r="A665" s="85"/>
    </row>
    <row r="666" spans="1:1" ht="112" customHeight="1" x14ac:dyDescent="0.25">
      <c r="A666" s="85"/>
    </row>
    <row r="667" spans="1:1" ht="112" customHeight="1" x14ac:dyDescent="0.25">
      <c r="A667" s="85"/>
    </row>
    <row r="668" spans="1:1" ht="112" customHeight="1" x14ac:dyDescent="0.25">
      <c r="A668" s="85"/>
    </row>
    <row r="669" spans="1:1" ht="112" customHeight="1" x14ac:dyDescent="0.25">
      <c r="A669" s="85"/>
    </row>
    <row r="670" spans="1:1" ht="112" customHeight="1" x14ac:dyDescent="0.25">
      <c r="A670" s="85"/>
    </row>
    <row r="671" spans="1:1" ht="112" customHeight="1" x14ac:dyDescent="0.25">
      <c r="A671" s="85"/>
    </row>
    <row r="672" spans="1:1" ht="112" customHeight="1" x14ac:dyDescent="0.25">
      <c r="A672" s="85"/>
    </row>
    <row r="673" spans="1:1" ht="112" customHeight="1" x14ac:dyDescent="0.25">
      <c r="A673" s="85"/>
    </row>
    <row r="674" spans="1:1" ht="112" customHeight="1" x14ac:dyDescent="0.25">
      <c r="A674" s="85"/>
    </row>
    <row r="675" spans="1:1" ht="112" customHeight="1" x14ac:dyDescent="0.25">
      <c r="A675" s="85"/>
    </row>
    <row r="676" spans="1:1" ht="112" customHeight="1" x14ac:dyDescent="0.25">
      <c r="A676" s="85"/>
    </row>
    <row r="677" spans="1:1" ht="112" customHeight="1" x14ac:dyDescent="0.25">
      <c r="A677" s="85"/>
    </row>
    <row r="678" spans="1:1" ht="112" customHeight="1" x14ac:dyDescent="0.25">
      <c r="A678" s="85"/>
    </row>
    <row r="679" spans="1:1" ht="112" customHeight="1" x14ac:dyDescent="0.25">
      <c r="A679" s="85"/>
    </row>
    <row r="680" spans="1:1" ht="112" customHeight="1" x14ac:dyDescent="0.25">
      <c r="A680" s="85"/>
    </row>
    <row r="681" spans="1:1" ht="112" customHeight="1" x14ac:dyDescent="0.25">
      <c r="A681" s="85"/>
    </row>
    <row r="682" spans="1:1" ht="112" customHeight="1" x14ac:dyDescent="0.25">
      <c r="A682" s="85"/>
    </row>
    <row r="683" spans="1:1" ht="112" customHeight="1" x14ac:dyDescent="0.25">
      <c r="A683" s="85"/>
    </row>
    <row r="684" spans="1:1" ht="112" customHeight="1" x14ac:dyDescent="0.25">
      <c r="A684" s="85"/>
    </row>
    <row r="685" spans="1:1" ht="112" customHeight="1" x14ac:dyDescent="0.25">
      <c r="A685" s="85"/>
    </row>
    <row r="686" spans="1:1" ht="112" customHeight="1" x14ac:dyDescent="0.25">
      <c r="A686" s="85"/>
    </row>
    <row r="687" spans="1:1" ht="112" customHeight="1" x14ac:dyDescent="0.25">
      <c r="A687" s="85"/>
    </row>
    <row r="688" spans="1:1" ht="112" customHeight="1" x14ac:dyDescent="0.25">
      <c r="A688" s="85"/>
    </row>
    <row r="689" spans="1:1" ht="112" customHeight="1" x14ac:dyDescent="0.25">
      <c r="A689" s="85"/>
    </row>
    <row r="690" spans="1:1" ht="112" customHeight="1" x14ac:dyDescent="0.25">
      <c r="A690" s="85"/>
    </row>
    <row r="691" spans="1:1" ht="112" customHeight="1" x14ac:dyDescent="0.25">
      <c r="A691" s="85"/>
    </row>
    <row r="692" spans="1:1" ht="112" customHeight="1" x14ac:dyDescent="0.25">
      <c r="A692" s="85"/>
    </row>
    <row r="693" spans="1:1" ht="112" customHeight="1" x14ac:dyDescent="0.25">
      <c r="A693" s="85"/>
    </row>
    <row r="694" spans="1:1" ht="112" customHeight="1" x14ac:dyDescent="0.25">
      <c r="A694" s="85"/>
    </row>
    <row r="695" spans="1:1" ht="112" customHeight="1" x14ac:dyDescent="0.25">
      <c r="A695" s="85"/>
    </row>
    <row r="696" spans="1:1" ht="112" customHeight="1" x14ac:dyDescent="0.25">
      <c r="A696" s="85"/>
    </row>
    <row r="697" spans="1:1" ht="112" customHeight="1" x14ac:dyDescent="0.25">
      <c r="A697" s="85"/>
    </row>
    <row r="698" spans="1:1" ht="112" customHeight="1" x14ac:dyDescent="0.25">
      <c r="A698" s="85"/>
    </row>
    <row r="699" spans="1:1" ht="112" customHeight="1" x14ac:dyDescent="0.25">
      <c r="A699" s="85"/>
    </row>
    <row r="700" spans="1:1" ht="112" customHeight="1" x14ac:dyDescent="0.25">
      <c r="A700" s="85"/>
    </row>
    <row r="701" spans="1:1" ht="112" customHeight="1" x14ac:dyDescent="0.25">
      <c r="A701" s="85"/>
    </row>
    <row r="702" spans="1:1" ht="112" customHeight="1" x14ac:dyDescent="0.25">
      <c r="A702" s="85"/>
    </row>
    <row r="703" spans="1:1" ht="112" customHeight="1" x14ac:dyDescent="0.25">
      <c r="A703" s="85"/>
    </row>
    <row r="704" spans="1:1" ht="112" customHeight="1" x14ac:dyDescent="0.25">
      <c r="A704" s="85"/>
    </row>
    <row r="705" spans="1:1" ht="112" customHeight="1" x14ac:dyDescent="0.25">
      <c r="A705" s="85"/>
    </row>
    <row r="706" spans="1:1" ht="112" customHeight="1" x14ac:dyDescent="0.25">
      <c r="A706" s="85"/>
    </row>
    <row r="707" spans="1:1" ht="112" customHeight="1" x14ac:dyDescent="0.25">
      <c r="A707" s="85"/>
    </row>
    <row r="708" spans="1:1" ht="112" customHeight="1" x14ac:dyDescent="0.25">
      <c r="A708" s="85"/>
    </row>
    <row r="709" spans="1:1" ht="112" customHeight="1" x14ac:dyDescent="0.25">
      <c r="A709" s="85"/>
    </row>
    <row r="710" spans="1:1" ht="112" customHeight="1" x14ac:dyDescent="0.25">
      <c r="A710" s="85"/>
    </row>
    <row r="711" spans="1:1" ht="112" customHeight="1" x14ac:dyDescent="0.25">
      <c r="A711" s="85"/>
    </row>
    <row r="712" spans="1:1" ht="112" customHeight="1" x14ac:dyDescent="0.25">
      <c r="A712" s="85"/>
    </row>
    <row r="713" spans="1:1" ht="112" customHeight="1" x14ac:dyDescent="0.25">
      <c r="A713" s="85"/>
    </row>
    <row r="714" spans="1:1" ht="112" customHeight="1" x14ac:dyDescent="0.25">
      <c r="A714" s="85"/>
    </row>
    <row r="715" spans="1:1" ht="112" customHeight="1" x14ac:dyDescent="0.25">
      <c r="A715" s="85"/>
    </row>
    <row r="716" spans="1:1" ht="112" customHeight="1" x14ac:dyDescent="0.25">
      <c r="A716" s="85"/>
    </row>
    <row r="717" spans="1:1" ht="112" customHeight="1" x14ac:dyDescent="0.25">
      <c r="A717" s="85"/>
    </row>
    <row r="718" spans="1:1" ht="112" customHeight="1" x14ac:dyDescent="0.25">
      <c r="A718" s="85"/>
    </row>
    <row r="719" spans="1:1" ht="112" customHeight="1" x14ac:dyDescent="0.25">
      <c r="A719" s="85"/>
    </row>
    <row r="720" spans="1:1" ht="112" customHeight="1" x14ac:dyDescent="0.25">
      <c r="A720" s="85"/>
    </row>
    <row r="721" spans="1:1" ht="112" customHeight="1" x14ac:dyDescent="0.25">
      <c r="A721" s="85"/>
    </row>
    <row r="722" spans="1:1" ht="112" customHeight="1" x14ac:dyDescent="0.25">
      <c r="A722" s="85"/>
    </row>
    <row r="723" spans="1:1" ht="112" customHeight="1" x14ac:dyDescent="0.25">
      <c r="A723" s="85"/>
    </row>
    <row r="724" spans="1:1" ht="112" customHeight="1" x14ac:dyDescent="0.25">
      <c r="A724" s="85"/>
    </row>
    <row r="725" spans="1:1" ht="112" customHeight="1" x14ac:dyDescent="0.25">
      <c r="A725" s="85"/>
    </row>
    <row r="726" spans="1:1" ht="112" customHeight="1" x14ac:dyDescent="0.25">
      <c r="A726" s="85"/>
    </row>
    <row r="727" spans="1:1" ht="112" customHeight="1" x14ac:dyDescent="0.25">
      <c r="A727" s="85"/>
    </row>
    <row r="728" spans="1:1" ht="112" customHeight="1" x14ac:dyDescent="0.25">
      <c r="A728" s="85"/>
    </row>
    <row r="729" spans="1:1" ht="112" customHeight="1" x14ac:dyDescent="0.25">
      <c r="A729" s="85"/>
    </row>
    <row r="730" spans="1:1" ht="112" customHeight="1" x14ac:dyDescent="0.25">
      <c r="A730" s="85"/>
    </row>
    <row r="731" spans="1:1" ht="112" customHeight="1" x14ac:dyDescent="0.25">
      <c r="A731" s="85"/>
    </row>
    <row r="732" spans="1:1" ht="112" customHeight="1" x14ac:dyDescent="0.25">
      <c r="A732" s="85"/>
    </row>
    <row r="733" spans="1:1" ht="112" customHeight="1" x14ac:dyDescent="0.25">
      <c r="A733" s="85"/>
    </row>
    <row r="734" spans="1:1" ht="112" customHeight="1" x14ac:dyDescent="0.25">
      <c r="A734" s="85"/>
    </row>
    <row r="735" spans="1:1" ht="112" customHeight="1" x14ac:dyDescent="0.25">
      <c r="A735" s="85"/>
    </row>
    <row r="736" spans="1:1" ht="112" customHeight="1" x14ac:dyDescent="0.25">
      <c r="A736" s="85"/>
    </row>
    <row r="737" spans="1:1" ht="112" customHeight="1" x14ac:dyDescent="0.25">
      <c r="A737" s="85"/>
    </row>
    <row r="738" spans="1:1" ht="112" customHeight="1" x14ac:dyDescent="0.25">
      <c r="A738" s="85"/>
    </row>
    <row r="739" spans="1:1" ht="112" customHeight="1" x14ac:dyDescent="0.25">
      <c r="A739" s="85"/>
    </row>
    <row r="740" spans="1:1" ht="112" customHeight="1" x14ac:dyDescent="0.25">
      <c r="A740" s="85"/>
    </row>
    <row r="741" spans="1:1" ht="112" customHeight="1" x14ac:dyDescent="0.25">
      <c r="A741" s="85"/>
    </row>
    <row r="742" spans="1:1" ht="112" customHeight="1" x14ac:dyDescent="0.25">
      <c r="A742" s="85"/>
    </row>
    <row r="743" spans="1:1" ht="112" customHeight="1" x14ac:dyDescent="0.25">
      <c r="A743" s="85"/>
    </row>
    <row r="744" spans="1:1" ht="112" customHeight="1" x14ac:dyDescent="0.25">
      <c r="A744" s="85"/>
    </row>
    <row r="745" spans="1:1" ht="112" customHeight="1" x14ac:dyDescent="0.25">
      <c r="A745" s="85"/>
    </row>
    <row r="746" spans="1:1" ht="112" customHeight="1" x14ac:dyDescent="0.25">
      <c r="A746" s="85"/>
    </row>
    <row r="747" spans="1:1" ht="112" customHeight="1" x14ac:dyDescent="0.25">
      <c r="A747" s="85"/>
    </row>
    <row r="748" spans="1:1" ht="112" customHeight="1" x14ac:dyDescent="0.25">
      <c r="A748" s="85"/>
    </row>
    <row r="749" spans="1:1" ht="112" customHeight="1" x14ac:dyDescent="0.25">
      <c r="A749" s="85"/>
    </row>
    <row r="750" spans="1:1" ht="112" customHeight="1" x14ac:dyDescent="0.25">
      <c r="A750" s="85"/>
    </row>
    <row r="751" spans="1:1" ht="112" customHeight="1" x14ac:dyDescent="0.25">
      <c r="A751" s="85"/>
    </row>
    <row r="752" spans="1:1" ht="112" customHeight="1" x14ac:dyDescent="0.25">
      <c r="A752" s="85"/>
    </row>
    <row r="753" spans="1:1" ht="112" customHeight="1" x14ac:dyDescent="0.25">
      <c r="A753" s="85"/>
    </row>
    <row r="754" spans="1:1" ht="112" customHeight="1" x14ac:dyDescent="0.25">
      <c r="A754" s="85"/>
    </row>
    <row r="755" spans="1:1" ht="112" customHeight="1" x14ac:dyDescent="0.25">
      <c r="A755" s="85"/>
    </row>
    <row r="756" spans="1:1" ht="112" customHeight="1" x14ac:dyDescent="0.25">
      <c r="A756" s="85"/>
    </row>
    <row r="757" spans="1:1" ht="112" customHeight="1" x14ac:dyDescent="0.25">
      <c r="A757" s="85"/>
    </row>
    <row r="758" spans="1:1" ht="112" customHeight="1" x14ac:dyDescent="0.25">
      <c r="A758" s="85"/>
    </row>
    <row r="759" spans="1:1" ht="112" customHeight="1" x14ac:dyDescent="0.25">
      <c r="A759" s="85"/>
    </row>
    <row r="760" spans="1:1" ht="112" customHeight="1" x14ac:dyDescent="0.25">
      <c r="A760" s="85"/>
    </row>
    <row r="761" spans="1:1" ht="112" customHeight="1" x14ac:dyDescent="0.25">
      <c r="A761" s="85"/>
    </row>
    <row r="762" spans="1:1" ht="14" x14ac:dyDescent="0.25">
      <c r="A762" s="85"/>
    </row>
  </sheetData>
  <protectedRanges>
    <protectedRange sqref="A1:A1048576" name="BALABALA"/>
  </protectedRanges>
  <autoFilter ref="A1:A762"/>
  <phoneticPr fontId="51" type="noConversion"/>
  <pageMargins left="0.27559055118110237" right="0" top="0" bottom="0" header="0" footer="0"/>
  <pageSetup paperSize="9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6"/>
  <sheetViews>
    <sheetView topLeftCell="A65" workbookViewId="0">
      <selection activeCell="E69" sqref="E69"/>
    </sheetView>
  </sheetViews>
  <sheetFormatPr defaultRowHeight="15.5" x14ac:dyDescent="0.25"/>
  <cols>
    <col min="1" max="1" width="19.90625" customWidth="1"/>
    <col min="2" max="2" width="28.36328125" style="3" customWidth="1"/>
    <col min="3" max="3" width="9.26953125" bestFit="1" customWidth="1"/>
  </cols>
  <sheetData>
    <row r="1" spans="1:3" ht="112" customHeight="1" x14ac:dyDescent="0.25">
      <c r="A1" t="s">
        <v>2747</v>
      </c>
      <c r="B1" s="3" t="s">
        <v>2748</v>
      </c>
      <c r="C1" t="s">
        <v>2756</v>
      </c>
    </row>
    <row r="2" spans="1:3" ht="112" customHeight="1" x14ac:dyDescent="0.25">
      <c r="A2" t="s">
        <v>2712</v>
      </c>
      <c r="B2" s="3" t="s">
        <v>5343</v>
      </c>
      <c r="C2" t="s">
        <v>2756</v>
      </c>
    </row>
    <row r="3" spans="1:3" ht="112" customHeight="1" x14ac:dyDescent="0.25">
      <c r="A3" t="s">
        <v>2699</v>
      </c>
      <c r="B3" s="3" t="s">
        <v>2707</v>
      </c>
      <c r="C3" t="s">
        <v>2757</v>
      </c>
    </row>
    <row r="4" spans="1:3" ht="112" customHeight="1" x14ac:dyDescent="0.25">
      <c r="A4" t="s">
        <v>2700</v>
      </c>
      <c r="B4" s="3" t="s">
        <v>5344</v>
      </c>
      <c r="C4" t="s">
        <v>2756</v>
      </c>
    </row>
    <row r="5" spans="1:3" ht="112" customHeight="1" x14ac:dyDescent="0.25">
      <c r="A5" t="s">
        <v>2701</v>
      </c>
      <c r="B5" s="3" t="s">
        <v>5345</v>
      </c>
      <c r="C5" t="s">
        <v>2756</v>
      </c>
    </row>
    <row r="6" spans="1:3" ht="112" customHeight="1" x14ac:dyDescent="0.25">
      <c r="A6" t="s">
        <v>2695</v>
      </c>
      <c r="B6" s="3" t="s">
        <v>5346</v>
      </c>
      <c r="C6" t="s">
        <v>2757</v>
      </c>
    </row>
    <row r="7" spans="1:3" ht="112" customHeight="1" x14ac:dyDescent="0.25">
      <c r="A7" t="s">
        <v>2696</v>
      </c>
      <c r="B7" s="3" t="s">
        <v>2708</v>
      </c>
      <c r="C7" t="s">
        <v>2756</v>
      </c>
    </row>
    <row r="8" spans="1:3" ht="112" customHeight="1" x14ac:dyDescent="0.25">
      <c r="A8" t="s">
        <v>2746</v>
      </c>
      <c r="B8" s="3" t="s">
        <v>2749</v>
      </c>
      <c r="C8" t="s">
        <v>2756</v>
      </c>
    </row>
    <row r="9" spans="1:3" ht="112" customHeight="1" x14ac:dyDescent="0.25">
      <c r="A9" t="s">
        <v>2702</v>
      </c>
      <c r="B9" s="3" t="s">
        <v>2709</v>
      </c>
      <c r="C9" t="s">
        <v>2756</v>
      </c>
    </row>
    <row r="10" spans="1:3" ht="112" customHeight="1" x14ac:dyDescent="0.25">
      <c r="A10" t="s">
        <v>2713</v>
      </c>
      <c r="B10" s="3" t="s">
        <v>5347</v>
      </c>
      <c r="C10" t="s">
        <v>2756</v>
      </c>
    </row>
    <row r="11" spans="1:3" ht="112" customHeight="1" x14ac:dyDescent="0.25">
      <c r="A11" t="s">
        <v>2703</v>
      </c>
      <c r="B11" s="3" t="s">
        <v>5348</v>
      </c>
      <c r="C11" t="s">
        <v>2756</v>
      </c>
    </row>
    <row r="12" spans="1:3" ht="112" customHeight="1" x14ac:dyDescent="0.25">
      <c r="A12" t="s">
        <v>2697</v>
      </c>
      <c r="B12" s="3" t="s">
        <v>2710</v>
      </c>
      <c r="C12" t="s">
        <v>2757</v>
      </c>
    </row>
    <row r="13" spans="1:3" ht="112" customHeight="1" x14ac:dyDescent="0.25">
      <c r="A13" t="s">
        <v>2717</v>
      </c>
      <c r="B13" s="3" t="s">
        <v>5337</v>
      </c>
      <c r="C13" t="s">
        <v>2757</v>
      </c>
    </row>
    <row r="14" spans="1:3" ht="112" customHeight="1" x14ac:dyDescent="0.25">
      <c r="A14" t="s">
        <v>2704</v>
      </c>
      <c r="B14" s="3" t="s">
        <v>2750</v>
      </c>
      <c r="C14" t="s">
        <v>2757</v>
      </c>
    </row>
    <row r="15" spans="1:3" ht="112" customHeight="1" x14ac:dyDescent="0.25">
      <c r="A15" t="s">
        <v>2705</v>
      </c>
      <c r="B15" s="3" t="s">
        <v>2751</v>
      </c>
      <c r="C15" t="s">
        <v>2757</v>
      </c>
    </row>
    <row r="16" spans="1:3" ht="112" customHeight="1" x14ac:dyDescent="0.25">
      <c r="A16" t="s">
        <v>2720</v>
      </c>
      <c r="B16" s="3" t="s">
        <v>2752</v>
      </c>
      <c r="C16" t="s">
        <v>2757</v>
      </c>
    </row>
    <row r="17" spans="1:3" ht="112" customHeight="1" x14ac:dyDescent="0.25">
      <c r="A17" t="s">
        <v>2706</v>
      </c>
      <c r="B17" s="3" t="s">
        <v>5268</v>
      </c>
      <c r="C17" t="s">
        <v>2756</v>
      </c>
    </row>
    <row r="18" spans="1:3" ht="112" customHeight="1" x14ac:dyDescent="0.25">
      <c r="A18" t="s">
        <v>1491</v>
      </c>
      <c r="B18" s="3" t="s">
        <v>5349</v>
      </c>
      <c r="C18" t="s">
        <v>2756</v>
      </c>
    </row>
    <row r="19" spans="1:3" ht="112" customHeight="1" x14ac:dyDescent="0.25">
      <c r="A19" t="s">
        <v>2534</v>
      </c>
      <c r="B19" s="3" t="s">
        <v>5350</v>
      </c>
      <c r="C19" t="s">
        <v>2757</v>
      </c>
    </row>
    <row r="20" spans="1:3" ht="112" customHeight="1" x14ac:dyDescent="0.25">
      <c r="A20" t="s">
        <v>1550</v>
      </c>
      <c r="B20" s="3" t="s">
        <v>2546</v>
      </c>
      <c r="C20" t="s">
        <v>2757</v>
      </c>
    </row>
    <row r="21" spans="1:3" ht="112" customHeight="1" x14ac:dyDescent="0.25">
      <c r="A21" t="s">
        <v>1578</v>
      </c>
      <c r="B21" s="3" t="s">
        <v>2722</v>
      </c>
      <c r="C21" t="s">
        <v>2756</v>
      </c>
    </row>
    <row r="22" spans="1:3" ht="112" customHeight="1" x14ac:dyDescent="0.25">
      <c r="A22" t="s">
        <v>1588</v>
      </c>
      <c r="B22" s="3" t="s">
        <v>2723</v>
      </c>
      <c r="C22" t="s">
        <v>2756</v>
      </c>
    </row>
    <row r="23" spans="1:3" ht="112" customHeight="1" x14ac:dyDescent="0.25">
      <c r="A23" t="s">
        <v>1589</v>
      </c>
      <c r="B23" s="3" t="s">
        <v>5351</v>
      </c>
      <c r="C23" t="s">
        <v>2757</v>
      </c>
    </row>
    <row r="24" spans="1:3" ht="112" customHeight="1" x14ac:dyDescent="0.25">
      <c r="A24" t="s">
        <v>1589</v>
      </c>
      <c r="B24" s="3" t="s">
        <v>2547</v>
      </c>
      <c r="C24" t="s">
        <v>2757</v>
      </c>
    </row>
    <row r="25" spans="1:3" ht="112" customHeight="1" x14ac:dyDescent="0.25">
      <c r="A25" t="s">
        <v>1611</v>
      </c>
      <c r="B25" s="3" t="s">
        <v>2548</v>
      </c>
      <c r="C25" t="s">
        <v>2756</v>
      </c>
    </row>
    <row r="26" spans="1:3" ht="112" customHeight="1" x14ac:dyDescent="0.25">
      <c r="A26" t="s">
        <v>1667</v>
      </c>
      <c r="B26" s="3" t="s">
        <v>2741</v>
      </c>
      <c r="C26" t="s">
        <v>2757</v>
      </c>
    </row>
    <row r="27" spans="1:3" ht="112" customHeight="1" x14ac:dyDescent="0.25">
      <c r="A27" t="s">
        <v>1811</v>
      </c>
      <c r="B27" s="3" t="s">
        <v>2724</v>
      </c>
      <c r="C27" t="s">
        <v>2756</v>
      </c>
    </row>
    <row r="28" spans="1:3" ht="112" customHeight="1" x14ac:dyDescent="0.25">
      <c r="A28" t="s">
        <v>1840</v>
      </c>
      <c r="B28" s="3" t="s">
        <v>5352</v>
      </c>
      <c r="C28" t="s">
        <v>2756</v>
      </c>
    </row>
    <row r="29" spans="1:3" ht="112" customHeight="1" x14ac:dyDescent="0.25">
      <c r="A29" t="s">
        <v>1893</v>
      </c>
      <c r="B29" s="3" t="s">
        <v>2727</v>
      </c>
      <c r="C29" t="s">
        <v>2756</v>
      </c>
    </row>
    <row r="30" spans="1:3" ht="112" customHeight="1" x14ac:dyDescent="0.25">
      <c r="A30" t="s">
        <v>1903</v>
      </c>
      <c r="B30" s="3" t="s">
        <v>5353</v>
      </c>
      <c r="C30" t="s">
        <v>2756</v>
      </c>
    </row>
    <row r="31" spans="1:3" ht="112" customHeight="1" x14ac:dyDescent="0.25">
      <c r="A31" t="s">
        <v>1907</v>
      </c>
      <c r="B31" s="3" t="s">
        <v>2742</v>
      </c>
      <c r="C31" t="s">
        <v>2757</v>
      </c>
    </row>
    <row r="32" spans="1:3" ht="112" customHeight="1" x14ac:dyDescent="0.25">
      <c r="A32" t="s">
        <v>1970</v>
      </c>
      <c r="B32" s="3" t="s">
        <v>5354</v>
      </c>
      <c r="C32" t="s">
        <v>2756</v>
      </c>
    </row>
    <row r="33" spans="1:3" ht="112" customHeight="1" x14ac:dyDescent="0.25">
      <c r="A33" t="s">
        <v>2558</v>
      </c>
      <c r="B33" s="3" t="s">
        <v>5355</v>
      </c>
      <c r="C33" t="s">
        <v>2756</v>
      </c>
    </row>
    <row r="34" spans="1:3" ht="112" customHeight="1" x14ac:dyDescent="0.25">
      <c r="A34" t="s">
        <v>2562</v>
      </c>
      <c r="B34" s="3" t="s">
        <v>2563</v>
      </c>
      <c r="C34" t="s">
        <v>2756</v>
      </c>
    </row>
    <row r="35" spans="1:3" ht="112" customHeight="1" x14ac:dyDescent="0.25">
      <c r="A35" t="s">
        <v>2075</v>
      </c>
      <c r="B35" s="3" t="s">
        <v>2728</v>
      </c>
      <c r="C35" t="s">
        <v>2756</v>
      </c>
    </row>
    <row r="36" spans="1:3" ht="112" customHeight="1" x14ac:dyDescent="0.25">
      <c r="A36" t="s">
        <v>2076</v>
      </c>
      <c r="B36" s="3" t="s">
        <v>2729</v>
      </c>
      <c r="C36" t="s">
        <v>2756</v>
      </c>
    </row>
    <row r="37" spans="1:3" ht="112" customHeight="1" x14ac:dyDescent="0.25">
      <c r="A37" t="s">
        <v>2077</v>
      </c>
      <c r="B37" s="3" t="s">
        <v>2730</v>
      </c>
      <c r="C37" t="s">
        <v>2756</v>
      </c>
    </row>
    <row r="38" spans="1:3" ht="112" customHeight="1" x14ac:dyDescent="0.25">
      <c r="A38" t="s">
        <v>2079</v>
      </c>
      <c r="B38" s="3" t="s">
        <v>2731</v>
      </c>
      <c r="C38" t="s">
        <v>2756</v>
      </c>
    </row>
    <row r="39" spans="1:3" ht="112" customHeight="1" x14ac:dyDescent="0.25">
      <c r="A39" t="s">
        <v>2080</v>
      </c>
      <c r="B39" s="3" t="s">
        <v>2732</v>
      </c>
      <c r="C39" t="s">
        <v>2756</v>
      </c>
    </row>
    <row r="40" spans="1:3" ht="112" customHeight="1" x14ac:dyDescent="0.25">
      <c r="A40" t="s">
        <v>2081</v>
      </c>
      <c r="B40" s="3" t="s">
        <v>2733</v>
      </c>
      <c r="C40" t="s">
        <v>2756</v>
      </c>
    </row>
    <row r="41" spans="1:3" ht="112" customHeight="1" x14ac:dyDescent="0.25">
      <c r="A41" t="s">
        <v>2275</v>
      </c>
      <c r="B41" s="3" t="s">
        <v>2734</v>
      </c>
      <c r="C41" t="s">
        <v>2756</v>
      </c>
    </row>
    <row r="42" spans="1:3" ht="112" customHeight="1" x14ac:dyDescent="0.25">
      <c r="A42" t="s">
        <v>2277</v>
      </c>
      <c r="B42" s="3" t="s">
        <v>5356</v>
      </c>
      <c r="C42" t="s">
        <v>2757</v>
      </c>
    </row>
    <row r="43" spans="1:3" ht="112" customHeight="1" x14ac:dyDescent="0.25">
      <c r="A43" t="s">
        <v>2279</v>
      </c>
      <c r="B43" s="3" t="s">
        <v>2725</v>
      </c>
      <c r="C43" t="s">
        <v>2756</v>
      </c>
    </row>
    <row r="44" spans="1:3" ht="112" customHeight="1" x14ac:dyDescent="0.25">
      <c r="A44" t="s">
        <v>2326</v>
      </c>
      <c r="B44" s="3" t="s">
        <v>5357</v>
      </c>
      <c r="C44" t="s">
        <v>2756</v>
      </c>
    </row>
    <row r="45" spans="1:3" ht="112" customHeight="1" x14ac:dyDescent="0.25">
      <c r="A45" t="s">
        <v>2327</v>
      </c>
      <c r="B45" s="3" t="s">
        <v>5358</v>
      </c>
      <c r="C45" t="s">
        <v>2756</v>
      </c>
    </row>
    <row r="46" spans="1:3" ht="112" customHeight="1" x14ac:dyDescent="0.25">
      <c r="A46" t="s">
        <v>2438</v>
      </c>
      <c r="B46" s="3" t="s">
        <v>5359</v>
      </c>
      <c r="C46" t="s">
        <v>2756</v>
      </c>
    </row>
    <row r="47" spans="1:3" ht="112" customHeight="1" x14ac:dyDescent="0.25">
      <c r="A47" t="s">
        <v>2451</v>
      </c>
      <c r="B47" s="3" t="s">
        <v>2566</v>
      </c>
      <c r="C47" t="s">
        <v>2757</v>
      </c>
    </row>
    <row r="48" spans="1:3" ht="112" customHeight="1" x14ac:dyDescent="0.25">
      <c r="A48" t="s">
        <v>2455</v>
      </c>
      <c r="B48" s="3" t="s">
        <v>5360</v>
      </c>
      <c r="C48" t="s">
        <v>2756</v>
      </c>
    </row>
    <row r="49" spans="1:3" ht="112" customHeight="1" x14ac:dyDescent="0.25">
      <c r="A49" t="s">
        <v>330</v>
      </c>
      <c r="B49" s="3" t="s">
        <v>5361</v>
      </c>
      <c r="C49" t="s">
        <v>2756</v>
      </c>
    </row>
    <row r="50" spans="1:3" ht="112" customHeight="1" x14ac:dyDescent="0.25">
      <c r="A50" t="s">
        <v>350</v>
      </c>
      <c r="B50" s="3" t="s">
        <v>5362</v>
      </c>
      <c r="C50" t="s">
        <v>2756</v>
      </c>
    </row>
    <row r="51" spans="1:3" ht="112" customHeight="1" x14ac:dyDescent="0.25">
      <c r="A51" t="s">
        <v>368</v>
      </c>
      <c r="B51" s="3" t="s">
        <v>5363</v>
      </c>
      <c r="C51" t="s">
        <v>2756</v>
      </c>
    </row>
    <row r="52" spans="1:3" ht="112" customHeight="1" x14ac:dyDescent="0.25">
      <c r="A52" t="s">
        <v>465</v>
      </c>
      <c r="B52" s="3" t="s">
        <v>5364</v>
      </c>
      <c r="C52" t="s">
        <v>2756</v>
      </c>
    </row>
    <row r="53" spans="1:3" ht="112" customHeight="1" x14ac:dyDescent="0.25">
      <c r="A53" t="s">
        <v>560</v>
      </c>
      <c r="B53" s="3" t="s">
        <v>5365</v>
      </c>
      <c r="C53" t="s">
        <v>2756</v>
      </c>
    </row>
    <row r="54" spans="1:3" ht="112" customHeight="1" x14ac:dyDescent="0.25">
      <c r="A54" t="s">
        <v>567</v>
      </c>
      <c r="B54" s="3" t="s">
        <v>5366</v>
      </c>
      <c r="C54" t="s">
        <v>2756</v>
      </c>
    </row>
    <row r="55" spans="1:3" ht="112" customHeight="1" x14ac:dyDescent="0.25">
      <c r="A55" t="s">
        <v>656</v>
      </c>
      <c r="B55" s="3" t="s">
        <v>5367</v>
      </c>
      <c r="C55" t="s">
        <v>2756</v>
      </c>
    </row>
    <row r="56" spans="1:3" ht="112" customHeight="1" x14ac:dyDescent="0.25">
      <c r="A56" t="s">
        <v>685</v>
      </c>
      <c r="B56" s="3" t="s">
        <v>5368</v>
      </c>
      <c r="C56" t="s">
        <v>2757</v>
      </c>
    </row>
    <row r="57" spans="1:3" ht="112" customHeight="1" x14ac:dyDescent="0.25">
      <c r="A57" t="s">
        <v>736</v>
      </c>
      <c r="B57" s="3" t="s">
        <v>5269</v>
      </c>
      <c r="C57" t="s">
        <v>2756</v>
      </c>
    </row>
    <row r="58" spans="1:3" ht="112" customHeight="1" x14ac:dyDescent="0.25">
      <c r="A58" t="s">
        <v>738</v>
      </c>
      <c r="B58" s="3" t="s">
        <v>5369</v>
      </c>
      <c r="C58" t="s">
        <v>2757</v>
      </c>
    </row>
    <row r="59" spans="1:3" ht="112" customHeight="1" x14ac:dyDescent="0.25">
      <c r="A59" t="s">
        <v>741</v>
      </c>
      <c r="B59" s="3" t="s">
        <v>5370</v>
      </c>
      <c r="C59" t="s">
        <v>2757</v>
      </c>
    </row>
    <row r="60" spans="1:3" ht="112" customHeight="1" x14ac:dyDescent="0.25">
      <c r="A60" t="s">
        <v>753</v>
      </c>
      <c r="B60" s="3" t="s">
        <v>5270</v>
      </c>
      <c r="C60" t="s">
        <v>2756</v>
      </c>
    </row>
    <row r="61" spans="1:3" ht="112" customHeight="1" x14ac:dyDescent="0.25">
      <c r="A61" t="s">
        <v>774</v>
      </c>
      <c r="B61" s="3" t="s">
        <v>5371</v>
      </c>
      <c r="C61" t="s">
        <v>2756</v>
      </c>
    </row>
    <row r="62" spans="1:3" ht="112" customHeight="1" x14ac:dyDescent="0.25">
      <c r="A62" t="s">
        <v>793</v>
      </c>
      <c r="B62" s="3" t="s">
        <v>794</v>
      </c>
      <c r="C62" t="s">
        <v>2756</v>
      </c>
    </row>
    <row r="63" spans="1:3" ht="112" customHeight="1" x14ac:dyDescent="0.25">
      <c r="A63" t="s">
        <v>798</v>
      </c>
      <c r="B63" s="3" t="s">
        <v>5372</v>
      </c>
      <c r="C63" t="s">
        <v>2756</v>
      </c>
    </row>
    <row r="64" spans="1:3" ht="112" customHeight="1" x14ac:dyDescent="0.25">
      <c r="A64" t="s">
        <v>802</v>
      </c>
      <c r="B64" s="3" t="s">
        <v>5373</v>
      </c>
      <c r="C64" t="s">
        <v>2756</v>
      </c>
    </row>
    <row r="65" spans="1:3" ht="112" customHeight="1" x14ac:dyDescent="0.25">
      <c r="A65" t="s">
        <v>803</v>
      </c>
      <c r="B65" s="3" t="s">
        <v>5374</v>
      </c>
      <c r="C65" t="s">
        <v>2756</v>
      </c>
    </row>
    <row r="66" spans="1:3" ht="112" customHeight="1" x14ac:dyDescent="0.25">
      <c r="A66" t="s">
        <v>804</v>
      </c>
      <c r="B66" s="3" t="s">
        <v>5375</v>
      </c>
      <c r="C66" t="s">
        <v>2756</v>
      </c>
    </row>
    <row r="67" spans="1:3" ht="112" customHeight="1" x14ac:dyDescent="0.25">
      <c r="A67" t="s">
        <v>808</v>
      </c>
      <c r="B67" s="3" t="s">
        <v>5376</v>
      </c>
      <c r="C67" t="s">
        <v>2756</v>
      </c>
    </row>
    <row r="68" spans="1:3" ht="112" customHeight="1" x14ac:dyDescent="0.25">
      <c r="A68" t="s">
        <v>811</v>
      </c>
      <c r="B68" s="3" t="s">
        <v>5377</v>
      </c>
      <c r="C68" t="s">
        <v>2756</v>
      </c>
    </row>
    <row r="69" spans="1:3" ht="112" customHeight="1" x14ac:dyDescent="0.25">
      <c r="A69" t="s">
        <v>828</v>
      </c>
      <c r="B69" s="3" t="s">
        <v>5378</v>
      </c>
      <c r="C69" t="s">
        <v>2756</v>
      </c>
    </row>
    <row r="70" spans="1:3" ht="112" customHeight="1" x14ac:dyDescent="0.25">
      <c r="A70" t="s">
        <v>828</v>
      </c>
      <c r="B70" s="3" t="s">
        <v>829</v>
      </c>
      <c r="C70" t="s">
        <v>2756</v>
      </c>
    </row>
    <row r="71" spans="1:3" ht="112" customHeight="1" x14ac:dyDescent="0.25">
      <c r="A71" t="s">
        <v>838</v>
      </c>
      <c r="B71" s="3" t="s">
        <v>5379</v>
      </c>
      <c r="C71" t="s">
        <v>2756</v>
      </c>
    </row>
    <row r="72" spans="1:3" ht="112" customHeight="1" x14ac:dyDescent="0.25">
      <c r="A72" t="s">
        <v>840</v>
      </c>
      <c r="B72" s="3" t="s">
        <v>5380</v>
      </c>
      <c r="C72" t="s">
        <v>2756</v>
      </c>
    </row>
    <row r="73" spans="1:3" ht="112" customHeight="1" x14ac:dyDescent="0.25">
      <c r="A73" t="s">
        <v>886</v>
      </c>
      <c r="B73" s="3" t="s">
        <v>887</v>
      </c>
      <c r="C73" t="s">
        <v>2756</v>
      </c>
    </row>
    <row r="74" spans="1:3" ht="112" customHeight="1" x14ac:dyDescent="0.25">
      <c r="A74" t="s">
        <v>2715</v>
      </c>
      <c r="B74" s="3" t="s">
        <v>2744</v>
      </c>
      <c r="C74" t="s">
        <v>2756</v>
      </c>
    </row>
    <row r="75" spans="1:3" ht="112" customHeight="1" x14ac:dyDescent="0.25">
      <c r="A75" t="s">
        <v>930</v>
      </c>
      <c r="B75" s="3" t="s">
        <v>5381</v>
      </c>
      <c r="C75" t="s">
        <v>2756</v>
      </c>
    </row>
    <row r="76" spans="1:3" ht="112" customHeight="1" x14ac:dyDescent="0.25">
      <c r="A76" t="s">
        <v>952</v>
      </c>
      <c r="B76" s="3" t="s">
        <v>5271</v>
      </c>
      <c r="C76" t="s">
        <v>2757</v>
      </c>
    </row>
    <row r="77" spans="1:3" ht="112" customHeight="1" x14ac:dyDescent="0.25">
      <c r="A77" t="s">
        <v>953</v>
      </c>
      <c r="B77" s="3" t="s">
        <v>5272</v>
      </c>
      <c r="C77" t="s">
        <v>2757</v>
      </c>
    </row>
    <row r="78" spans="1:3" ht="112" customHeight="1" x14ac:dyDescent="0.25">
      <c r="A78" t="s">
        <v>954</v>
      </c>
      <c r="B78" s="3" t="s">
        <v>5273</v>
      </c>
      <c r="C78" t="s">
        <v>2757</v>
      </c>
    </row>
    <row r="79" spans="1:3" ht="112" customHeight="1" x14ac:dyDescent="0.25">
      <c r="A79" t="s">
        <v>2692</v>
      </c>
      <c r="B79" s="3" t="s">
        <v>5382</v>
      </c>
      <c r="C79" t="s">
        <v>2756</v>
      </c>
    </row>
    <row r="80" spans="1:3" ht="112" customHeight="1" x14ac:dyDescent="0.25">
      <c r="A80" t="s">
        <v>2692</v>
      </c>
      <c r="B80" s="3" t="s">
        <v>5383</v>
      </c>
      <c r="C80" t="s">
        <v>2756</v>
      </c>
    </row>
    <row r="81" spans="1:3" ht="112" customHeight="1" x14ac:dyDescent="0.25">
      <c r="A81" t="s">
        <v>2693</v>
      </c>
      <c r="B81" s="3" t="s">
        <v>5384</v>
      </c>
      <c r="C81" t="s">
        <v>2756</v>
      </c>
    </row>
    <row r="82" spans="1:3" ht="112" customHeight="1" x14ac:dyDescent="0.25">
      <c r="A82" t="s">
        <v>967</v>
      </c>
      <c r="B82" s="3" t="s">
        <v>5274</v>
      </c>
      <c r="C82" t="s">
        <v>2756</v>
      </c>
    </row>
    <row r="83" spans="1:3" ht="112" customHeight="1" x14ac:dyDescent="0.25">
      <c r="A83" t="s">
        <v>970</v>
      </c>
      <c r="B83" s="3" t="s">
        <v>5385</v>
      </c>
      <c r="C83" t="s">
        <v>2756</v>
      </c>
    </row>
    <row r="84" spans="1:3" ht="112" customHeight="1" x14ac:dyDescent="0.25">
      <c r="A84" t="s">
        <v>973</v>
      </c>
      <c r="B84" s="3" t="s">
        <v>5386</v>
      </c>
      <c r="C84" t="s">
        <v>2756</v>
      </c>
    </row>
    <row r="85" spans="1:3" ht="112" customHeight="1" x14ac:dyDescent="0.25">
      <c r="A85" t="s">
        <v>982</v>
      </c>
      <c r="B85" s="3" t="s">
        <v>5387</v>
      </c>
      <c r="C85" t="s">
        <v>2757</v>
      </c>
    </row>
    <row r="86" spans="1:3" ht="112" customHeight="1" x14ac:dyDescent="0.25">
      <c r="A86" t="s">
        <v>994</v>
      </c>
      <c r="B86" s="3" t="s">
        <v>5388</v>
      </c>
      <c r="C86" t="s">
        <v>2757</v>
      </c>
    </row>
    <row r="87" spans="1:3" ht="112" customHeight="1" x14ac:dyDescent="0.25">
      <c r="A87" t="s">
        <v>1001</v>
      </c>
      <c r="B87" s="3" t="s">
        <v>5389</v>
      </c>
      <c r="C87" t="s">
        <v>2756</v>
      </c>
    </row>
    <row r="88" spans="1:3" ht="112" customHeight="1" x14ac:dyDescent="0.25">
      <c r="A88" t="s">
        <v>1006</v>
      </c>
      <c r="B88" s="3" t="s">
        <v>5390</v>
      </c>
      <c r="C88" t="s">
        <v>2757</v>
      </c>
    </row>
    <row r="89" spans="1:3" ht="112" customHeight="1" x14ac:dyDescent="0.25">
      <c r="A89" t="s">
        <v>1011</v>
      </c>
      <c r="B89" s="3" t="s">
        <v>2753</v>
      </c>
      <c r="C89" t="s">
        <v>2756</v>
      </c>
    </row>
    <row r="90" spans="1:3" ht="112" customHeight="1" x14ac:dyDescent="0.25">
      <c r="A90" t="s">
        <v>1014</v>
      </c>
      <c r="B90" s="3" t="s">
        <v>5391</v>
      </c>
      <c r="C90" t="s">
        <v>2756</v>
      </c>
    </row>
    <row r="91" spans="1:3" ht="112" customHeight="1" x14ac:dyDescent="0.25">
      <c r="A91" t="s">
        <v>1025</v>
      </c>
      <c r="B91" s="3" t="s">
        <v>5510</v>
      </c>
      <c r="C91" t="s">
        <v>2757</v>
      </c>
    </row>
    <row r="92" spans="1:3" ht="112" customHeight="1" x14ac:dyDescent="0.25">
      <c r="A92" t="s">
        <v>1026</v>
      </c>
      <c r="B92" s="3" t="s">
        <v>5392</v>
      </c>
      <c r="C92" t="s">
        <v>2756</v>
      </c>
    </row>
    <row r="93" spans="1:3" ht="112" customHeight="1" x14ac:dyDescent="0.25">
      <c r="A93" t="s">
        <v>1034</v>
      </c>
      <c r="B93" s="3" t="s">
        <v>5393</v>
      </c>
      <c r="C93" t="s">
        <v>2757</v>
      </c>
    </row>
    <row r="94" spans="1:3" ht="112" customHeight="1" x14ac:dyDescent="0.25">
      <c r="A94" t="s">
        <v>1046</v>
      </c>
      <c r="B94" s="3" t="s">
        <v>1047</v>
      </c>
      <c r="C94" t="s">
        <v>2756</v>
      </c>
    </row>
    <row r="95" spans="1:3" ht="112" customHeight="1" x14ac:dyDescent="0.25">
      <c r="A95" t="s">
        <v>1072</v>
      </c>
      <c r="B95" s="3" t="s">
        <v>5394</v>
      </c>
      <c r="C95" t="s">
        <v>2757</v>
      </c>
    </row>
    <row r="96" spans="1:3" ht="112" customHeight="1" x14ac:dyDescent="0.25">
      <c r="A96" t="s">
        <v>1073</v>
      </c>
      <c r="B96" s="3" t="s">
        <v>5395</v>
      </c>
      <c r="C96" t="s">
        <v>2757</v>
      </c>
    </row>
    <row r="97" spans="1:3" ht="112" customHeight="1" x14ac:dyDescent="0.25">
      <c r="A97" t="s">
        <v>1074</v>
      </c>
      <c r="B97" s="3" t="s">
        <v>1075</v>
      </c>
      <c r="C97" t="s">
        <v>2757</v>
      </c>
    </row>
    <row r="98" spans="1:3" ht="112" customHeight="1" x14ac:dyDescent="0.25">
      <c r="A98" t="s">
        <v>1074</v>
      </c>
      <c r="B98" s="3" t="s">
        <v>5396</v>
      </c>
      <c r="C98" t="s">
        <v>2757</v>
      </c>
    </row>
    <row r="99" spans="1:3" ht="112" customHeight="1" x14ac:dyDescent="0.25">
      <c r="A99" t="s">
        <v>1125</v>
      </c>
      <c r="B99" s="3" t="s">
        <v>5397</v>
      </c>
      <c r="C99" t="s">
        <v>2757</v>
      </c>
    </row>
    <row r="100" spans="1:3" ht="112" customHeight="1" x14ac:dyDescent="0.25">
      <c r="A100" t="s">
        <v>1127</v>
      </c>
      <c r="B100" s="3" t="s">
        <v>1128</v>
      </c>
      <c r="C100" t="s">
        <v>2756</v>
      </c>
    </row>
    <row r="101" spans="1:3" ht="112" customHeight="1" x14ac:dyDescent="0.25">
      <c r="A101" t="s">
        <v>1132</v>
      </c>
      <c r="B101" s="3" t="s">
        <v>4777</v>
      </c>
      <c r="C101" t="s">
        <v>2756</v>
      </c>
    </row>
    <row r="102" spans="1:3" ht="112" customHeight="1" x14ac:dyDescent="0.25">
      <c r="A102" t="s">
        <v>1133</v>
      </c>
      <c r="B102" s="3" t="s">
        <v>4778</v>
      </c>
      <c r="C102" t="s">
        <v>2756</v>
      </c>
    </row>
    <row r="103" spans="1:3" ht="112" customHeight="1" x14ac:dyDescent="0.25">
      <c r="A103" t="s">
        <v>1168</v>
      </c>
      <c r="B103" s="3" t="s">
        <v>5275</v>
      </c>
      <c r="C103" t="s">
        <v>2756</v>
      </c>
    </row>
    <row r="104" spans="1:3" ht="112" customHeight="1" x14ac:dyDescent="0.25">
      <c r="A104" t="s">
        <v>1171</v>
      </c>
      <c r="B104" s="3" t="s">
        <v>5276</v>
      </c>
      <c r="C104" t="s">
        <v>2756</v>
      </c>
    </row>
    <row r="105" spans="1:3" ht="112" customHeight="1" x14ac:dyDescent="0.25">
      <c r="A105" t="s">
        <v>1314</v>
      </c>
      <c r="B105" s="3" t="s">
        <v>4779</v>
      </c>
      <c r="C105" t="s">
        <v>2757</v>
      </c>
    </row>
    <row r="106" spans="1:3" ht="112" customHeight="1" x14ac:dyDescent="0.25">
      <c r="A106" t="s">
        <v>1316</v>
      </c>
      <c r="B106" s="3" t="s">
        <v>5398</v>
      </c>
      <c r="C106" t="s">
        <v>2756</v>
      </c>
    </row>
    <row r="107" spans="1:3" ht="112" customHeight="1" x14ac:dyDescent="0.25">
      <c r="A107" t="s">
        <v>1317</v>
      </c>
      <c r="B107" s="3" t="s">
        <v>1442</v>
      </c>
      <c r="C107" t="s">
        <v>2756</v>
      </c>
    </row>
    <row r="108" spans="1:3" ht="112" customHeight="1" x14ac:dyDescent="0.25">
      <c r="A108" t="s">
        <v>1325</v>
      </c>
      <c r="B108" s="3" t="s">
        <v>1443</v>
      </c>
      <c r="C108" t="s">
        <v>2756</v>
      </c>
    </row>
    <row r="109" spans="1:3" ht="112" customHeight="1" x14ac:dyDescent="0.25">
      <c r="A109" t="s">
        <v>1326</v>
      </c>
      <c r="B109" s="3" t="s">
        <v>5511</v>
      </c>
      <c r="C109" t="s">
        <v>2756</v>
      </c>
    </row>
    <row r="110" spans="1:3" ht="112" customHeight="1" x14ac:dyDescent="0.25">
      <c r="A110" t="s">
        <v>2716</v>
      </c>
      <c r="B110" s="3" t="s">
        <v>5512</v>
      </c>
      <c r="C110" t="s">
        <v>2756</v>
      </c>
    </row>
    <row r="111" spans="1:3" ht="112" customHeight="1" x14ac:dyDescent="0.25">
      <c r="A111" t="s">
        <v>1438</v>
      </c>
      <c r="B111" s="3" t="s">
        <v>5513</v>
      </c>
      <c r="C111" t="s">
        <v>2756</v>
      </c>
    </row>
    <row r="112" spans="1:3" ht="112" customHeight="1" x14ac:dyDescent="0.25">
      <c r="A112" t="s">
        <v>1330</v>
      </c>
      <c r="B112" s="3" t="s">
        <v>5514</v>
      </c>
      <c r="C112" t="s">
        <v>2757</v>
      </c>
    </row>
    <row r="113" spans="1:3" ht="112" customHeight="1" x14ac:dyDescent="0.25">
      <c r="A113" t="s">
        <v>1331</v>
      </c>
      <c r="B113" s="3" t="s">
        <v>5515</v>
      </c>
      <c r="C113" t="s">
        <v>2757</v>
      </c>
    </row>
    <row r="114" spans="1:3" ht="112" customHeight="1" x14ac:dyDescent="0.25">
      <c r="A114" t="s">
        <v>1332</v>
      </c>
      <c r="B114" s="3" t="s">
        <v>5516</v>
      </c>
      <c r="C114" t="s">
        <v>2757</v>
      </c>
    </row>
    <row r="115" spans="1:3" ht="112" customHeight="1" x14ac:dyDescent="0.25">
      <c r="A115" t="s">
        <v>1341</v>
      </c>
      <c r="B115" s="3" t="s">
        <v>1444</v>
      </c>
      <c r="C115" t="s">
        <v>2756</v>
      </c>
    </row>
    <row r="116" spans="1:3" ht="112" customHeight="1" x14ac:dyDescent="0.25">
      <c r="A116" t="s">
        <v>1345</v>
      </c>
      <c r="B116" s="3" t="s">
        <v>2726</v>
      </c>
      <c r="C116" t="s">
        <v>2757</v>
      </c>
    </row>
    <row r="117" spans="1:3" ht="112" customHeight="1" x14ac:dyDescent="0.25">
      <c r="A117" t="s">
        <v>1373</v>
      </c>
      <c r="B117" s="3" t="s">
        <v>5399</v>
      </c>
      <c r="C117" t="s">
        <v>2756</v>
      </c>
    </row>
    <row r="118" spans="1:3" ht="112" customHeight="1" x14ac:dyDescent="0.25">
      <c r="A118" t="s">
        <v>1374</v>
      </c>
      <c r="B118" s="3" t="s">
        <v>5400</v>
      </c>
      <c r="C118" t="s">
        <v>2756</v>
      </c>
    </row>
    <row r="119" spans="1:3" ht="112" customHeight="1" x14ac:dyDescent="0.25">
      <c r="A119" t="s">
        <v>2586</v>
      </c>
      <c r="B119" s="3" t="s">
        <v>2735</v>
      </c>
      <c r="C119" t="s">
        <v>2756</v>
      </c>
    </row>
    <row r="120" spans="1:3" ht="112" customHeight="1" x14ac:dyDescent="0.25">
      <c r="A120" t="s">
        <v>2587</v>
      </c>
      <c r="B120" s="3" t="s">
        <v>2736</v>
      </c>
      <c r="C120" t="s">
        <v>2756</v>
      </c>
    </row>
    <row r="121" spans="1:3" ht="112" customHeight="1" x14ac:dyDescent="0.25">
      <c r="A121" t="s">
        <v>2588</v>
      </c>
      <c r="B121" s="3" t="s">
        <v>2737</v>
      </c>
      <c r="C121" t="s">
        <v>2756</v>
      </c>
    </row>
    <row r="122" spans="1:3" ht="112" customHeight="1" x14ac:dyDescent="0.25">
      <c r="A122" t="s">
        <v>2589</v>
      </c>
      <c r="B122" s="3" t="s">
        <v>2738</v>
      </c>
      <c r="C122" t="s">
        <v>2756</v>
      </c>
    </row>
    <row r="123" spans="1:3" ht="112" customHeight="1" x14ac:dyDescent="0.25">
      <c r="A123" t="s">
        <v>2591</v>
      </c>
      <c r="B123" s="3" t="s">
        <v>4780</v>
      </c>
      <c r="C123" t="s">
        <v>2756</v>
      </c>
    </row>
    <row r="124" spans="1:3" ht="112" customHeight="1" x14ac:dyDescent="0.25">
      <c r="A124" t="s">
        <v>2592</v>
      </c>
      <c r="B124" s="3" t="s">
        <v>4781</v>
      </c>
      <c r="C124" t="s">
        <v>2756</v>
      </c>
    </row>
    <row r="125" spans="1:3" ht="112" customHeight="1" x14ac:dyDescent="0.25">
      <c r="A125" t="s">
        <v>2593</v>
      </c>
      <c r="B125" s="3" t="s">
        <v>4782</v>
      </c>
      <c r="C125" t="s">
        <v>2756</v>
      </c>
    </row>
    <row r="126" spans="1:3" ht="112" customHeight="1" x14ac:dyDescent="0.25">
      <c r="A126" t="s">
        <v>2598</v>
      </c>
      <c r="B126" s="3" t="s">
        <v>2739</v>
      </c>
      <c r="C126" t="s">
        <v>2756</v>
      </c>
    </row>
    <row r="127" spans="1:3" ht="112" customHeight="1" x14ac:dyDescent="0.25">
      <c r="A127" t="s">
        <v>2601</v>
      </c>
      <c r="B127" s="3" t="s">
        <v>2654</v>
      </c>
      <c r="C127" t="s">
        <v>2756</v>
      </c>
    </row>
    <row r="128" spans="1:3" ht="112" customHeight="1" x14ac:dyDescent="0.25">
      <c r="A128" t="s">
        <v>2602</v>
      </c>
      <c r="B128" s="3" t="s">
        <v>2655</v>
      </c>
      <c r="C128" t="s">
        <v>2756</v>
      </c>
    </row>
    <row r="129" spans="1:3" ht="112" customHeight="1" x14ac:dyDescent="0.25">
      <c r="A129" t="s">
        <v>2603</v>
      </c>
      <c r="B129" s="3" t="s">
        <v>2656</v>
      </c>
      <c r="C129" t="s">
        <v>2756</v>
      </c>
    </row>
    <row r="130" spans="1:3" ht="112" customHeight="1" x14ac:dyDescent="0.25">
      <c r="A130" t="s">
        <v>2635</v>
      </c>
      <c r="B130" s="3" t="s">
        <v>3172</v>
      </c>
      <c r="C130" t="s">
        <v>2757</v>
      </c>
    </row>
    <row r="131" spans="1:3" ht="112" customHeight="1" x14ac:dyDescent="0.25">
      <c r="A131" t="s">
        <v>2636</v>
      </c>
      <c r="B131" s="3" t="s">
        <v>3173</v>
      </c>
      <c r="C131" t="s">
        <v>2757</v>
      </c>
    </row>
    <row r="132" spans="1:3" ht="112" customHeight="1" x14ac:dyDescent="0.25">
      <c r="A132" t="s">
        <v>2637</v>
      </c>
      <c r="B132" s="3" t="s">
        <v>3174</v>
      </c>
      <c r="C132" t="s">
        <v>2757</v>
      </c>
    </row>
    <row r="133" spans="1:3" ht="112" customHeight="1" x14ac:dyDescent="0.25">
      <c r="A133" t="s">
        <v>2638</v>
      </c>
      <c r="B133" s="3" t="s">
        <v>3175</v>
      </c>
      <c r="C133" t="s">
        <v>2757</v>
      </c>
    </row>
    <row r="134" spans="1:3" ht="112" customHeight="1" x14ac:dyDescent="0.25">
      <c r="A134" t="s">
        <v>2694</v>
      </c>
      <c r="B134" s="3" t="s">
        <v>2721</v>
      </c>
      <c r="C134" t="s">
        <v>2756</v>
      </c>
    </row>
    <row r="135" spans="1:3" ht="112" customHeight="1" x14ac:dyDescent="0.25">
      <c r="A135" t="s">
        <v>14</v>
      </c>
      <c r="B135" s="3" t="s">
        <v>2743</v>
      </c>
      <c r="C135" t="s">
        <v>2757</v>
      </c>
    </row>
    <row r="136" spans="1:3" ht="112" customHeight="1" x14ac:dyDescent="0.25">
      <c r="A136" t="s">
        <v>17</v>
      </c>
      <c r="B136" s="3" t="s">
        <v>2740</v>
      </c>
      <c r="C136" t="s">
        <v>2756</v>
      </c>
    </row>
    <row r="137" spans="1:3" ht="112" customHeight="1" x14ac:dyDescent="0.25">
      <c r="A137" t="s">
        <v>18</v>
      </c>
      <c r="B137" s="3" t="s">
        <v>312</v>
      </c>
      <c r="C137" t="s">
        <v>2756</v>
      </c>
    </row>
    <row r="138" spans="1:3" ht="112" customHeight="1" x14ac:dyDescent="0.25">
      <c r="A138" t="s">
        <v>19</v>
      </c>
      <c r="B138" s="3" t="s">
        <v>313</v>
      </c>
      <c r="C138" t="s">
        <v>2756</v>
      </c>
    </row>
    <row r="139" spans="1:3" ht="112" customHeight="1" x14ac:dyDescent="0.25">
      <c r="A139" t="s">
        <v>36</v>
      </c>
      <c r="B139" s="3" t="s">
        <v>5401</v>
      </c>
      <c r="C139" t="s">
        <v>2756</v>
      </c>
    </row>
    <row r="140" spans="1:3" ht="112" customHeight="1" x14ac:dyDescent="0.25">
      <c r="A140" t="s">
        <v>38</v>
      </c>
      <c r="B140" s="3" t="s">
        <v>4783</v>
      </c>
      <c r="C140" t="s">
        <v>2757</v>
      </c>
    </row>
    <row r="141" spans="1:3" ht="112" customHeight="1" x14ac:dyDescent="0.25">
      <c r="A141" t="s">
        <v>39</v>
      </c>
      <c r="B141" s="3" t="s">
        <v>5402</v>
      </c>
      <c r="C141" t="s">
        <v>2757</v>
      </c>
    </row>
    <row r="142" spans="1:3" ht="112" customHeight="1" x14ac:dyDescent="0.25">
      <c r="A142" t="s">
        <v>40</v>
      </c>
      <c r="B142" s="3" t="s">
        <v>5403</v>
      </c>
      <c r="C142" t="s">
        <v>2757</v>
      </c>
    </row>
    <row r="143" spans="1:3" ht="112" customHeight="1" x14ac:dyDescent="0.25">
      <c r="A143" t="s">
        <v>41</v>
      </c>
      <c r="B143" s="3" t="s">
        <v>5404</v>
      </c>
      <c r="C143" t="s">
        <v>2757</v>
      </c>
    </row>
    <row r="144" spans="1:3" ht="112" customHeight="1" x14ac:dyDescent="0.25">
      <c r="A144" t="s">
        <v>44</v>
      </c>
      <c r="B144" s="3" t="s">
        <v>5277</v>
      </c>
      <c r="C144" t="s">
        <v>2756</v>
      </c>
    </row>
    <row r="145" spans="1:3" ht="112" customHeight="1" x14ac:dyDescent="0.25">
      <c r="A145" t="s">
        <v>45</v>
      </c>
      <c r="B145" s="3" t="s">
        <v>5278</v>
      </c>
      <c r="C145" t="s">
        <v>2756</v>
      </c>
    </row>
    <row r="146" spans="1:3" ht="112" customHeight="1" x14ac:dyDescent="0.25">
      <c r="A146" t="s">
        <v>64</v>
      </c>
      <c r="B146" s="3" t="s">
        <v>5279</v>
      </c>
      <c r="C146" t="s">
        <v>2757</v>
      </c>
    </row>
    <row r="147" spans="1:3" ht="112" customHeight="1" x14ac:dyDescent="0.25">
      <c r="A147" t="s">
        <v>65</v>
      </c>
      <c r="B147" s="3" t="s">
        <v>5280</v>
      </c>
      <c r="C147" t="s">
        <v>2756</v>
      </c>
    </row>
    <row r="148" spans="1:3" ht="112" customHeight="1" x14ac:dyDescent="0.25">
      <c r="A148" t="s">
        <v>66</v>
      </c>
      <c r="B148" s="3" t="s">
        <v>5281</v>
      </c>
      <c r="C148" t="s">
        <v>2756</v>
      </c>
    </row>
    <row r="149" spans="1:3" ht="112" customHeight="1" x14ac:dyDescent="0.25">
      <c r="A149" t="s">
        <v>75</v>
      </c>
      <c r="B149" s="3" t="s">
        <v>5282</v>
      </c>
      <c r="C149" t="s">
        <v>2756</v>
      </c>
    </row>
    <row r="150" spans="1:3" ht="112" customHeight="1" x14ac:dyDescent="0.25">
      <c r="A150" t="s">
        <v>79</v>
      </c>
      <c r="B150" s="3" t="s">
        <v>314</v>
      </c>
      <c r="C150" t="s">
        <v>2756</v>
      </c>
    </row>
    <row r="151" spans="1:3" ht="112" customHeight="1" x14ac:dyDescent="0.25">
      <c r="A151" t="s">
        <v>84</v>
      </c>
      <c r="B151" s="3" t="s">
        <v>315</v>
      </c>
      <c r="C151" t="s">
        <v>2756</v>
      </c>
    </row>
    <row r="152" spans="1:3" ht="112" customHeight="1" x14ac:dyDescent="0.25">
      <c r="A152" t="s">
        <v>107</v>
      </c>
      <c r="B152" s="3" t="s">
        <v>316</v>
      </c>
      <c r="C152" t="s">
        <v>2756</v>
      </c>
    </row>
    <row r="153" spans="1:3" ht="112" customHeight="1" x14ac:dyDescent="0.25">
      <c r="A153" t="s">
        <v>119</v>
      </c>
      <c r="B153" s="3" t="s">
        <v>5283</v>
      </c>
      <c r="C153" t="s">
        <v>2756</v>
      </c>
    </row>
    <row r="154" spans="1:3" ht="112" customHeight="1" x14ac:dyDescent="0.25">
      <c r="A154" t="s">
        <v>124</v>
      </c>
      <c r="B154" s="3" t="s">
        <v>5284</v>
      </c>
      <c r="C154" t="s">
        <v>2757</v>
      </c>
    </row>
    <row r="155" spans="1:3" ht="112" customHeight="1" x14ac:dyDescent="0.25">
      <c r="A155" t="s">
        <v>171</v>
      </c>
      <c r="B155" s="3" t="s">
        <v>5285</v>
      </c>
      <c r="C155" t="s">
        <v>2756</v>
      </c>
    </row>
    <row r="156" spans="1:3" ht="112" customHeight="1" x14ac:dyDescent="0.25">
      <c r="A156" t="s">
        <v>177</v>
      </c>
      <c r="B156" s="3" t="s">
        <v>5286</v>
      </c>
      <c r="C156" t="s">
        <v>2756</v>
      </c>
    </row>
    <row r="157" spans="1:3" ht="112" customHeight="1" x14ac:dyDescent="0.25">
      <c r="A157" t="s">
        <v>185</v>
      </c>
      <c r="B157" s="3" t="s">
        <v>5287</v>
      </c>
      <c r="C157" t="s">
        <v>2756</v>
      </c>
    </row>
    <row r="158" spans="1:3" ht="112" customHeight="1" x14ac:dyDescent="0.25">
      <c r="A158" t="s">
        <v>231</v>
      </c>
      <c r="B158" s="3" t="s">
        <v>5288</v>
      </c>
      <c r="C158" t="s">
        <v>2757</v>
      </c>
    </row>
    <row r="159" spans="1:3" ht="112" customHeight="1" x14ac:dyDescent="0.25">
      <c r="A159" t="s">
        <v>232</v>
      </c>
      <c r="B159" s="3" t="s">
        <v>5289</v>
      </c>
      <c r="C159" t="s">
        <v>2756</v>
      </c>
    </row>
    <row r="160" spans="1:3" ht="112" customHeight="1" x14ac:dyDescent="0.25">
      <c r="A160" t="s">
        <v>233</v>
      </c>
      <c r="B160" s="3" t="s">
        <v>5290</v>
      </c>
      <c r="C160" t="s">
        <v>2756</v>
      </c>
    </row>
    <row r="161" spans="1:3" ht="112" customHeight="1" x14ac:dyDescent="0.25">
      <c r="A161" t="s">
        <v>248</v>
      </c>
      <c r="B161" s="3" t="s">
        <v>5291</v>
      </c>
      <c r="C161" t="s">
        <v>2756</v>
      </c>
    </row>
    <row r="162" spans="1:3" ht="112" customHeight="1" x14ac:dyDescent="0.25">
      <c r="A162" t="s">
        <v>301</v>
      </c>
      <c r="B162" s="3" t="s">
        <v>5517</v>
      </c>
      <c r="C162" t="s">
        <v>2756</v>
      </c>
    </row>
    <row r="163" spans="1:3" ht="112" customHeight="1" x14ac:dyDescent="0.25">
      <c r="A163" t="s">
        <v>304</v>
      </c>
      <c r="B163" s="3" t="s">
        <v>5292</v>
      </c>
      <c r="C163" t="s">
        <v>2756</v>
      </c>
    </row>
    <row r="164" spans="1:3" ht="112" customHeight="1" x14ac:dyDescent="0.25">
      <c r="A164" t="s">
        <v>1208</v>
      </c>
      <c r="B164" s="3" t="s">
        <v>5405</v>
      </c>
      <c r="C164" t="s">
        <v>2756</v>
      </c>
    </row>
    <row r="165" spans="1:3" ht="112" customHeight="1" x14ac:dyDescent="0.25">
      <c r="A165" t="s">
        <v>1228</v>
      </c>
      <c r="B165" s="3" t="s">
        <v>5406</v>
      </c>
      <c r="C165" t="s">
        <v>2757</v>
      </c>
    </row>
    <row r="166" spans="1:3" ht="112" customHeight="1" x14ac:dyDescent="0.25">
      <c r="A166" t="s">
        <v>1229</v>
      </c>
      <c r="B166" s="3" t="s">
        <v>5407</v>
      </c>
      <c r="C166" t="s">
        <v>2757</v>
      </c>
    </row>
    <row r="167" spans="1:3" ht="112" customHeight="1" x14ac:dyDescent="0.25">
      <c r="A167" t="s">
        <v>1231</v>
      </c>
      <c r="B167" s="3" t="s">
        <v>5408</v>
      </c>
      <c r="C167" t="s">
        <v>2757</v>
      </c>
    </row>
    <row r="168" spans="1:3" ht="112" customHeight="1" x14ac:dyDescent="0.25">
      <c r="A168" t="s">
        <v>1232</v>
      </c>
      <c r="B168" s="3" t="s">
        <v>5409</v>
      </c>
      <c r="C168" t="s">
        <v>2757</v>
      </c>
    </row>
    <row r="169" spans="1:3" ht="112" customHeight="1" x14ac:dyDescent="0.25">
      <c r="A169" t="s">
        <v>1233</v>
      </c>
      <c r="B169" s="3" t="s">
        <v>5410</v>
      </c>
      <c r="C169" t="s">
        <v>2757</v>
      </c>
    </row>
    <row r="170" spans="1:3" ht="112" customHeight="1" x14ac:dyDescent="0.25">
      <c r="A170" t="s">
        <v>1234</v>
      </c>
      <c r="B170" s="3" t="s">
        <v>5411</v>
      </c>
      <c r="C170" t="s">
        <v>2757</v>
      </c>
    </row>
    <row r="171" spans="1:3" ht="112" customHeight="1" x14ac:dyDescent="0.25">
      <c r="A171" t="s">
        <v>1235</v>
      </c>
      <c r="B171" s="3" t="s">
        <v>1313</v>
      </c>
      <c r="C171" t="s">
        <v>2757</v>
      </c>
    </row>
    <row r="172" spans="1:3" ht="112" customHeight="1" x14ac:dyDescent="0.25">
      <c r="A172" t="s">
        <v>1239</v>
      </c>
      <c r="B172" s="3" t="s">
        <v>5293</v>
      </c>
      <c r="C172" t="s">
        <v>2756</v>
      </c>
    </row>
    <row r="173" spans="1:3" ht="112" customHeight="1" x14ac:dyDescent="0.25">
      <c r="A173" t="s">
        <v>1255</v>
      </c>
      <c r="B173" s="3" t="s">
        <v>5518</v>
      </c>
      <c r="C173" t="s">
        <v>2756</v>
      </c>
    </row>
    <row r="174" spans="1:3" ht="112" customHeight="1" x14ac:dyDescent="0.25">
      <c r="A174" t="s">
        <v>1260</v>
      </c>
      <c r="B174" s="3" t="s">
        <v>5294</v>
      </c>
      <c r="C174" t="s">
        <v>2756</v>
      </c>
    </row>
    <row r="175" spans="1:3" ht="112" customHeight="1" x14ac:dyDescent="0.25">
      <c r="A175" t="s">
        <v>1272</v>
      </c>
      <c r="B175" s="3" t="s">
        <v>5295</v>
      </c>
      <c r="C175" t="s">
        <v>2756</v>
      </c>
    </row>
    <row r="176" spans="1:3" ht="112" customHeight="1" x14ac:dyDescent="0.25">
      <c r="A176" t="s">
        <v>1284</v>
      </c>
      <c r="B176" s="3" t="s">
        <v>5296</v>
      </c>
      <c r="C176" t="s">
        <v>2757</v>
      </c>
    </row>
    <row r="177" spans="1:3" ht="112" customHeight="1" x14ac:dyDescent="0.25">
      <c r="A177" t="s">
        <v>1288</v>
      </c>
      <c r="B177" s="3" t="s">
        <v>5297</v>
      </c>
      <c r="C177" t="s">
        <v>2756</v>
      </c>
    </row>
    <row r="178" spans="1:3" ht="112" customHeight="1" x14ac:dyDescent="0.25">
      <c r="A178" t="s">
        <v>1297</v>
      </c>
      <c r="B178" s="3" t="s">
        <v>5298</v>
      </c>
      <c r="C178" t="s">
        <v>2757</v>
      </c>
    </row>
    <row r="179" spans="1:3" ht="112" customHeight="1" x14ac:dyDescent="0.25">
      <c r="A179" t="s">
        <v>1393</v>
      </c>
      <c r="B179" s="3" t="s">
        <v>5299</v>
      </c>
      <c r="C179" t="s">
        <v>2756</v>
      </c>
    </row>
    <row r="180" spans="1:3" ht="112" customHeight="1" x14ac:dyDescent="0.25">
      <c r="A180" t="s">
        <v>1410</v>
      </c>
      <c r="B180" s="3" t="s">
        <v>5300</v>
      </c>
      <c r="C180" t="s">
        <v>2757</v>
      </c>
    </row>
    <row r="181" spans="1:3" ht="112" customHeight="1" x14ac:dyDescent="0.25">
      <c r="A181" t="s">
        <v>1423</v>
      </c>
      <c r="B181" s="3" t="s">
        <v>5301</v>
      </c>
      <c r="C181" t="s">
        <v>2756</v>
      </c>
    </row>
    <row r="182" spans="1:3" ht="112" customHeight="1" x14ac:dyDescent="0.25">
      <c r="A182" t="s">
        <v>1430</v>
      </c>
      <c r="B182" s="3" t="s">
        <v>5302</v>
      </c>
      <c r="C182" t="s">
        <v>2756</v>
      </c>
    </row>
    <row r="183" spans="1:3" ht="112" customHeight="1" x14ac:dyDescent="0.25">
      <c r="A183" t="s">
        <v>1432</v>
      </c>
      <c r="B183" s="3" t="s">
        <v>5303</v>
      </c>
      <c r="C183" t="s">
        <v>2756</v>
      </c>
    </row>
    <row r="184" spans="1:3" ht="112" customHeight="1" x14ac:dyDescent="0.25">
      <c r="A184" t="s">
        <v>1434</v>
      </c>
      <c r="B184" s="3" t="s">
        <v>5304</v>
      </c>
      <c r="C184" t="s">
        <v>2756</v>
      </c>
    </row>
    <row r="185" spans="1:3" ht="112" customHeight="1" x14ac:dyDescent="0.25">
      <c r="A185" t="s">
        <v>2672</v>
      </c>
      <c r="B185" s="3" t="s">
        <v>5305</v>
      </c>
      <c r="C185" t="s">
        <v>2756</v>
      </c>
    </row>
    <row r="186" spans="1:3" ht="112" customHeight="1" x14ac:dyDescent="0.25">
      <c r="A186" t="s">
        <v>2673</v>
      </c>
      <c r="B186" s="3" t="s">
        <v>5306</v>
      </c>
      <c r="C186" t="s">
        <v>2756</v>
      </c>
    </row>
    <row r="187" spans="1:3" ht="112" customHeight="1" x14ac:dyDescent="0.25">
      <c r="A187" t="s">
        <v>2685</v>
      </c>
      <c r="B187" s="3" t="s">
        <v>2690</v>
      </c>
      <c r="C187" t="s">
        <v>2756</v>
      </c>
    </row>
    <row r="188" spans="1:3" ht="112" customHeight="1" x14ac:dyDescent="0.25">
      <c r="A188" t="s">
        <v>2686</v>
      </c>
      <c r="B188" s="3" t="s">
        <v>2691</v>
      </c>
      <c r="C188" t="s">
        <v>2756</v>
      </c>
    </row>
    <row r="189" spans="1:3" ht="112" customHeight="1" x14ac:dyDescent="0.25">
      <c r="A189" t="s">
        <v>2583</v>
      </c>
      <c r="B189" s="3" t="s">
        <v>2584</v>
      </c>
      <c r="C189" t="s">
        <v>2756</v>
      </c>
    </row>
    <row r="190" spans="1:3" ht="112" customHeight="1" x14ac:dyDescent="0.25">
      <c r="A190" t="s">
        <v>2759</v>
      </c>
      <c r="B190" s="3" t="s">
        <v>5394</v>
      </c>
    </row>
    <row r="191" spans="1:3" ht="112" customHeight="1" x14ac:dyDescent="0.25">
      <c r="A191" t="s">
        <v>1073</v>
      </c>
      <c r="B191" s="3" t="s">
        <v>5395</v>
      </c>
    </row>
    <row r="192" spans="1:3" ht="112" customHeight="1" x14ac:dyDescent="0.25">
      <c r="A192" t="s">
        <v>1074</v>
      </c>
      <c r="B192" s="3" t="s">
        <v>5396</v>
      </c>
    </row>
    <row r="193" spans="2:2" ht="112" customHeight="1" x14ac:dyDescent="0.25">
      <c r="B193"/>
    </row>
    <row r="194" spans="2:2" ht="112" customHeight="1" x14ac:dyDescent="0.25">
      <c r="B194"/>
    </row>
    <row r="195" spans="2:2" ht="112" customHeight="1" x14ac:dyDescent="0.25">
      <c r="B195"/>
    </row>
    <row r="196" spans="2:2" ht="112" customHeight="1" x14ac:dyDescent="0.25">
      <c r="B196"/>
    </row>
    <row r="197" spans="2:2" ht="112" customHeight="1" x14ac:dyDescent="0.25">
      <c r="B197"/>
    </row>
    <row r="198" spans="2:2" ht="112" customHeight="1" x14ac:dyDescent="0.25">
      <c r="B198"/>
    </row>
    <row r="199" spans="2:2" ht="112" customHeight="1" x14ac:dyDescent="0.25">
      <c r="B199"/>
    </row>
    <row r="200" spans="2:2" ht="112" customHeight="1" x14ac:dyDescent="0.25">
      <c r="B200"/>
    </row>
    <row r="201" spans="2:2" ht="112" customHeight="1" x14ac:dyDescent="0.25">
      <c r="B201"/>
    </row>
    <row r="202" spans="2:2" ht="112" customHeight="1" x14ac:dyDescent="0.25">
      <c r="B202"/>
    </row>
    <row r="203" spans="2:2" ht="112" customHeight="1" x14ac:dyDescent="0.25">
      <c r="B203"/>
    </row>
    <row r="204" spans="2:2" ht="112" customHeight="1" x14ac:dyDescent="0.25">
      <c r="B204"/>
    </row>
    <row r="205" spans="2:2" ht="112" customHeight="1" x14ac:dyDescent="0.25">
      <c r="B205"/>
    </row>
    <row r="206" spans="2:2" ht="112" customHeight="1" x14ac:dyDescent="0.25">
      <c r="B206"/>
    </row>
    <row r="207" spans="2:2" ht="112" customHeight="1" x14ac:dyDescent="0.25">
      <c r="B207"/>
    </row>
    <row r="208" spans="2:2" ht="112" customHeight="1" x14ac:dyDescent="0.25">
      <c r="B208"/>
    </row>
    <row r="209" spans="2:2" ht="112" customHeight="1" x14ac:dyDescent="0.25">
      <c r="B209"/>
    </row>
    <row r="210" spans="2:2" ht="112" customHeight="1" x14ac:dyDescent="0.25">
      <c r="B210"/>
    </row>
    <row r="211" spans="2:2" ht="112" customHeight="1" x14ac:dyDescent="0.25">
      <c r="B211"/>
    </row>
    <row r="212" spans="2:2" ht="112" customHeight="1" x14ac:dyDescent="0.25">
      <c r="B212"/>
    </row>
    <row r="213" spans="2:2" ht="112" customHeight="1" x14ac:dyDescent="0.25">
      <c r="B213"/>
    </row>
    <row r="214" spans="2:2" ht="112" customHeight="1" x14ac:dyDescent="0.25">
      <c r="B214"/>
    </row>
    <row r="215" spans="2:2" ht="112" customHeight="1" x14ac:dyDescent="0.25">
      <c r="B215"/>
    </row>
    <row r="216" spans="2:2" ht="112" customHeight="1" x14ac:dyDescent="0.25">
      <c r="B216"/>
    </row>
    <row r="217" spans="2:2" ht="112" customHeight="1" x14ac:dyDescent="0.25">
      <c r="B217"/>
    </row>
    <row r="218" spans="2:2" ht="112" customHeight="1" x14ac:dyDescent="0.25">
      <c r="B218"/>
    </row>
    <row r="219" spans="2:2" ht="112" customHeight="1" x14ac:dyDescent="0.25">
      <c r="B219"/>
    </row>
    <row r="220" spans="2:2" ht="112" customHeight="1" x14ac:dyDescent="0.25">
      <c r="B220"/>
    </row>
    <row r="221" spans="2:2" ht="112" customHeight="1" x14ac:dyDescent="0.25">
      <c r="B221"/>
    </row>
    <row r="222" spans="2:2" ht="112" customHeight="1" x14ac:dyDescent="0.25">
      <c r="B222"/>
    </row>
    <row r="223" spans="2:2" ht="112" customHeight="1" x14ac:dyDescent="0.25">
      <c r="B223"/>
    </row>
    <row r="224" spans="2:2" ht="112" customHeight="1" x14ac:dyDescent="0.25">
      <c r="B224"/>
    </row>
    <row r="225" spans="2:2" ht="112" customHeight="1" x14ac:dyDescent="0.25">
      <c r="B225"/>
    </row>
    <row r="226" spans="2:2" ht="112" customHeight="1" x14ac:dyDescent="0.25">
      <c r="B226"/>
    </row>
    <row r="227" spans="2:2" ht="112" customHeight="1" x14ac:dyDescent="0.25">
      <c r="B227"/>
    </row>
    <row r="228" spans="2:2" ht="112" customHeight="1" x14ac:dyDescent="0.25">
      <c r="B228"/>
    </row>
    <row r="229" spans="2:2" ht="112" customHeight="1" x14ac:dyDescent="0.25">
      <c r="B229"/>
    </row>
    <row r="230" spans="2:2" ht="112" customHeight="1" x14ac:dyDescent="0.25">
      <c r="B230"/>
    </row>
    <row r="231" spans="2:2" ht="112" customHeight="1" x14ac:dyDescent="0.25">
      <c r="B231"/>
    </row>
    <row r="232" spans="2:2" ht="112" customHeight="1" x14ac:dyDescent="0.25">
      <c r="B232"/>
    </row>
    <row r="233" spans="2:2" ht="112" customHeight="1" x14ac:dyDescent="0.25">
      <c r="B233"/>
    </row>
    <row r="234" spans="2:2" ht="112" customHeight="1" x14ac:dyDescent="0.25">
      <c r="B234"/>
    </row>
    <row r="235" spans="2:2" ht="112" customHeight="1" x14ac:dyDescent="0.25">
      <c r="B235"/>
    </row>
    <row r="236" spans="2:2" ht="112" customHeight="1" x14ac:dyDescent="0.25">
      <c r="B236"/>
    </row>
    <row r="237" spans="2:2" ht="112" customHeight="1" x14ac:dyDescent="0.25">
      <c r="B237"/>
    </row>
    <row r="238" spans="2:2" ht="112" customHeight="1" x14ac:dyDescent="0.25">
      <c r="B238"/>
    </row>
    <row r="239" spans="2:2" ht="112" customHeight="1" x14ac:dyDescent="0.25">
      <c r="B239"/>
    </row>
    <row r="240" spans="2:2" ht="112" customHeight="1" x14ac:dyDescent="0.25">
      <c r="B240"/>
    </row>
    <row r="241" spans="2:2" ht="112" customHeight="1" x14ac:dyDescent="0.25">
      <c r="B241"/>
    </row>
    <row r="242" spans="2:2" ht="112" customHeight="1" x14ac:dyDescent="0.25">
      <c r="B242"/>
    </row>
    <row r="243" spans="2:2" ht="112" customHeight="1" x14ac:dyDescent="0.25">
      <c r="B243"/>
    </row>
    <row r="244" spans="2:2" ht="112" customHeight="1" x14ac:dyDescent="0.25">
      <c r="B244"/>
    </row>
    <row r="245" spans="2:2" ht="112" customHeight="1" x14ac:dyDescent="0.25">
      <c r="B245"/>
    </row>
    <row r="246" spans="2:2" ht="112" customHeight="1" x14ac:dyDescent="0.25">
      <c r="B246"/>
    </row>
    <row r="247" spans="2:2" ht="112" customHeight="1" x14ac:dyDescent="0.25">
      <c r="B247"/>
    </row>
    <row r="248" spans="2:2" ht="112" customHeight="1" x14ac:dyDescent="0.25">
      <c r="B248"/>
    </row>
    <row r="249" spans="2:2" ht="112" customHeight="1" x14ac:dyDescent="0.25">
      <c r="B249"/>
    </row>
    <row r="250" spans="2:2" ht="112" customHeight="1" x14ac:dyDescent="0.25">
      <c r="B250"/>
    </row>
    <row r="251" spans="2:2" ht="112" customHeight="1" x14ac:dyDescent="0.25">
      <c r="B251"/>
    </row>
    <row r="252" spans="2:2" ht="112" customHeight="1" x14ac:dyDescent="0.25">
      <c r="B252"/>
    </row>
    <row r="253" spans="2:2" ht="112" customHeight="1" x14ac:dyDescent="0.25">
      <c r="B253"/>
    </row>
    <row r="254" spans="2:2" ht="112" customHeight="1" x14ac:dyDescent="0.25">
      <c r="B254"/>
    </row>
    <row r="255" spans="2:2" ht="112" customHeight="1" x14ac:dyDescent="0.25">
      <c r="B255"/>
    </row>
    <row r="256" spans="2:2" ht="112" customHeight="1" x14ac:dyDescent="0.25">
      <c r="B256"/>
    </row>
    <row r="257" spans="2:2" ht="112" customHeight="1" x14ac:dyDescent="0.25">
      <c r="B257"/>
    </row>
    <row r="258" spans="2:2" ht="112" customHeight="1" x14ac:dyDescent="0.25">
      <c r="B258"/>
    </row>
    <row r="259" spans="2:2" ht="112" customHeight="1" x14ac:dyDescent="0.25">
      <c r="B259"/>
    </row>
    <row r="260" spans="2:2" ht="112" customHeight="1" x14ac:dyDescent="0.25">
      <c r="B260"/>
    </row>
    <row r="261" spans="2:2" ht="112" customHeight="1" x14ac:dyDescent="0.25">
      <c r="B261"/>
    </row>
    <row r="262" spans="2:2" ht="112" customHeight="1" x14ac:dyDescent="0.25">
      <c r="B262"/>
    </row>
    <row r="263" spans="2:2" ht="112" customHeight="1" x14ac:dyDescent="0.25">
      <c r="B263"/>
    </row>
    <row r="264" spans="2:2" ht="112" customHeight="1" x14ac:dyDescent="0.25">
      <c r="B264"/>
    </row>
    <row r="265" spans="2:2" ht="112" customHeight="1" x14ac:dyDescent="0.25">
      <c r="B265"/>
    </row>
    <row r="266" spans="2:2" ht="112" customHeight="1" x14ac:dyDescent="0.25">
      <c r="B266"/>
    </row>
    <row r="267" spans="2:2" ht="112" customHeight="1" x14ac:dyDescent="0.25">
      <c r="B267"/>
    </row>
    <row r="268" spans="2:2" ht="112" customHeight="1" x14ac:dyDescent="0.25">
      <c r="B268"/>
    </row>
    <row r="269" spans="2:2" ht="112" customHeight="1" x14ac:dyDescent="0.25">
      <c r="B269"/>
    </row>
    <row r="270" spans="2:2" ht="112" customHeight="1" x14ac:dyDescent="0.25">
      <c r="B270"/>
    </row>
    <row r="271" spans="2:2" ht="112" customHeight="1" x14ac:dyDescent="0.25">
      <c r="B271"/>
    </row>
    <row r="272" spans="2:2" ht="112" customHeight="1" x14ac:dyDescent="0.25">
      <c r="B272"/>
    </row>
    <row r="273" spans="2:2" ht="112" customHeight="1" x14ac:dyDescent="0.25">
      <c r="B273"/>
    </row>
    <row r="274" spans="2:2" ht="112" customHeight="1" x14ac:dyDescent="0.25">
      <c r="B274"/>
    </row>
    <row r="275" spans="2:2" ht="112" customHeight="1" x14ac:dyDescent="0.25">
      <c r="B275"/>
    </row>
    <row r="276" spans="2:2" ht="112" customHeight="1" x14ac:dyDescent="0.25">
      <c r="B276"/>
    </row>
    <row r="277" spans="2:2" ht="112" customHeight="1" x14ac:dyDescent="0.25">
      <c r="B277"/>
    </row>
    <row r="278" spans="2:2" ht="112" customHeight="1" x14ac:dyDescent="0.25">
      <c r="B278"/>
    </row>
    <row r="279" spans="2:2" ht="112" customHeight="1" x14ac:dyDescent="0.25">
      <c r="B279"/>
    </row>
    <row r="280" spans="2:2" ht="112" customHeight="1" x14ac:dyDescent="0.25">
      <c r="B280"/>
    </row>
    <row r="281" spans="2:2" ht="112" customHeight="1" x14ac:dyDescent="0.25">
      <c r="B281"/>
    </row>
    <row r="282" spans="2:2" ht="112" customHeight="1" x14ac:dyDescent="0.25">
      <c r="B282"/>
    </row>
    <row r="283" spans="2:2" ht="112" customHeight="1" x14ac:dyDescent="0.25">
      <c r="B283"/>
    </row>
    <row r="284" spans="2:2" ht="112" customHeight="1" x14ac:dyDescent="0.25">
      <c r="B284"/>
    </row>
    <row r="285" spans="2:2" ht="112" customHeight="1" x14ac:dyDescent="0.25">
      <c r="B285"/>
    </row>
    <row r="286" spans="2:2" ht="112" customHeight="1" x14ac:dyDescent="0.25">
      <c r="B286"/>
    </row>
    <row r="287" spans="2:2" ht="112" customHeight="1" x14ac:dyDescent="0.25">
      <c r="B287"/>
    </row>
    <row r="288" spans="2:2" ht="112" customHeight="1" x14ac:dyDescent="0.25">
      <c r="B288"/>
    </row>
    <row r="289" spans="2:2" ht="112" customHeight="1" x14ac:dyDescent="0.25">
      <c r="B289"/>
    </row>
    <row r="290" spans="2:2" ht="112" customHeight="1" x14ac:dyDescent="0.25">
      <c r="B290"/>
    </row>
    <row r="291" spans="2:2" ht="112" customHeight="1" x14ac:dyDescent="0.25">
      <c r="B291"/>
    </row>
    <row r="292" spans="2:2" ht="112" customHeight="1" x14ac:dyDescent="0.25">
      <c r="B292"/>
    </row>
    <row r="293" spans="2:2" ht="112" customHeight="1" x14ac:dyDescent="0.25">
      <c r="B293"/>
    </row>
    <row r="294" spans="2:2" ht="112" customHeight="1" x14ac:dyDescent="0.25">
      <c r="B294"/>
    </row>
    <row r="295" spans="2:2" ht="112" customHeight="1" x14ac:dyDescent="0.25">
      <c r="B295"/>
    </row>
    <row r="296" spans="2:2" ht="112" customHeight="1" x14ac:dyDescent="0.25">
      <c r="B296"/>
    </row>
    <row r="297" spans="2:2" ht="112" customHeight="1" x14ac:dyDescent="0.25">
      <c r="B297"/>
    </row>
    <row r="298" spans="2:2" ht="112" customHeight="1" x14ac:dyDescent="0.25">
      <c r="B298"/>
    </row>
    <row r="299" spans="2:2" ht="112" customHeight="1" x14ac:dyDescent="0.25">
      <c r="B299"/>
    </row>
    <row r="300" spans="2:2" ht="112" customHeight="1" x14ac:dyDescent="0.25">
      <c r="B300"/>
    </row>
    <row r="301" spans="2:2" ht="112" customHeight="1" x14ac:dyDescent="0.25">
      <c r="B301"/>
    </row>
    <row r="302" spans="2:2" ht="112" customHeight="1" x14ac:dyDescent="0.25">
      <c r="B302"/>
    </row>
    <row r="303" spans="2:2" ht="112" customHeight="1" x14ac:dyDescent="0.25">
      <c r="B303"/>
    </row>
    <row r="304" spans="2:2" ht="112" customHeight="1" x14ac:dyDescent="0.25">
      <c r="B304"/>
    </row>
    <row r="305" spans="2:2" ht="112" customHeight="1" x14ac:dyDescent="0.25">
      <c r="B305"/>
    </row>
    <row r="306" spans="2:2" ht="112" customHeight="1" x14ac:dyDescent="0.25">
      <c r="B306"/>
    </row>
    <row r="307" spans="2:2" ht="112" customHeight="1" x14ac:dyDescent="0.25">
      <c r="B307"/>
    </row>
    <row r="308" spans="2:2" ht="112" customHeight="1" x14ac:dyDescent="0.25">
      <c r="B308"/>
    </row>
    <row r="309" spans="2:2" ht="112" customHeight="1" x14ac:dyDescent="0.25">
      <c r="B309"/>
    </row>
    <row r="310" spans="2:2" ht="112" customHeight="1" x14ac:dyDescent="0.25">
      <c r="B310"/>
    </row>
    <row r="311" spans="2:2" ht="112" customHeight="1" x14ac:dyDescent="0.25">
      <c r="B311"/>
    </row>
    <row r="312" spans="2:2" ht="112" customHeight="1" x14ac:dyDescent="0.25">
      <c r="B312"/>
    </row>
    <row r="313" spans="2:2" ht="112" customHeight="1" x14ac:dyDescent="0.25">
      <c r="B313"/>
    </row>
    <row r="314" spans="2:2" ht="112" customHeight="1" x14ac:dyDescent="0.25">
      <c r="B314"/>
    </row>
    <row r="315" spans="2:2" ht="112" customHeight="1" x14ac:dyDescent="0.25">
      <c r="B315"/>
    </row>
    <row r="316" spans="2:2" ht="112" customHeight="1" x14ac:dyDescent="0.25">
      <c r="B316"/>
    </row>
    <row r="317" spans="2:2" ht="112" customHeight="1" x14ac:dyDescent="0.25">
      <c r="B317"/>
    </row>
    <row r="318" spans="2:2" ht="112" customHeight="1" x14ac:dyDescent="0.25">
      <c r="B318"/>
    </row>
    <row r="319" spans="2:2" ht="112" customHeight="1" x14ac:dyDescent="0.25">
      <c r="B319"/>
    </row>
    <row r="320" spans="2:2" ht="112" customHeight="1" x14ac:dyDescent="0.25">
      <c r="B320"/>
    </row>
    <row r="321" spans="2:2" ht="112" customHeight="1" x14ac:dyDescent="0.25">
      <c r="B321"/>
    </row>
    <row r="322" spans="2:2" ht="112" customHeight="1" x14ac:dyDescent="0.25">
      <c r="B322"/>
    </row>
    <row r="323" spans="2:2" ht="112" customHeight="1" x14ac:dyDescent="0.25">
      <c r="B323"/>
    </row>
    <row r="324" spans="2:2" ht="112" customHeight="1" x14ac:dyDescent="0.25">
      <c r="B324"/>
    </row>
    <row r="325" spans="2:2" ht="112" customHeight="1" x14ac:dyDescent="0.25">
      <c r="B325"/>
    </row>
    <row r="326" spans="2:2" ht="112" customHeight="1" x14ac:dyDescent="0.25">
      <c r="B326"/>
    </row>
    <row r="327" spans="2:2" ht="112" customHeight="1" x14ac:dyDescent="0.25">
      <c r="B327"/>
    </row>
    <row r="328" spans="2:2" ht="112" customHeight="1" x14ac:dyDescent="0.25">
      <c r="B328"/>
    </row>
    <row r="329" spans="2:2" ht="112" customHeight="1" x14ac:dyDescent="0.25">
      <c r="B329"/>
    </row>
    <row r="330" spans="2:2" ht="112" customHeight="1" x14ac:dyDescent="0.25">
      <c r="B330"/>
    </row>
    <row r="331" spans="2:2" ht="112" customHeight="1" x14ac:dyDescent="0.25">
      <c r="B331"/>
    </row>
    <row r="332" spans="2:2" ht="112" customHeight="1" x14ac:dyDescent="0.25">
      <c r="B332"/>
    </row>
    <row r="333" spans="2:2" ht="112" customHeight="1" x14ac:dyDescent="0.25">
      <c r="B333"/>
    </row>
    <row r="334" spans="2:2" ht="112" customHeight="1" x14ac:dyDescent="0.25">
      <c r="B334"/>
    </row>
    <row r="335" spans="2:2" ht="112" customHeight="1" x14ac:dyDescent="0.25">
      <c r="B335"/>
    </row>
    <row r="336" spans="2:2" ht="112" customHeight="1" x14ac:dyDescent="0.25">
      <c r="B336"/>
    </row>
    <row r="337" spans="2:2" ht="112" customHeight="1" x14ac:dyDescent="0.25">
      <c r="B337"/>
    </row>
    <row r="338" spans="2:2" ht="112" customHeight="1" x14ac:dyDescent="0.25">
      <c r="B338"/>
    </row>
    <row r="339" spans="2:2" ht="112" customHeight="1" x14ac:dyDescent="0.25">
      <c r="B339"/>
    </row>
    <row r="340" spans="2:2" ht="112" customHeight="1" x14ac:dyDescent="0.25">
      <c r="B340"/>
    </row>
    <row r="341" spans="2:2" ht="112" customHeight="1" x14ac:dyDescent="0.25">
      <c r="B341"/>
    </row>
    <row r="342" spans="2:2" ht="112" customHeight="1" x14ac:dyDescent="0.25">
      <c r="B342"/>
    </row>
    <row r="343" spans="2:2" ht="112" customHeight="1" x14ac:dyDescent="0.25">
      <c r="B343"/>
    </row>
    <row r="344" spans="2:2" ht="112" customHeight="1" x14ac:dyDescent="0.25">
      <c r="B344"/>
    </row>
    <row r="345" spans="2:2" ht="112" customHeight="1" x14ac:dyDescent="0.25">
      <c r="B345"/>
    </row>
    <row r="346" spans="2:2" ht="112" customHeight="1" x14ac:dyDescent="0.25">
      <c r="B346"/>
    </row>
    <row r="347" spans="2:2" ht="112" customHeight="1" x14ac:dyDescent="0.25">
      <c r="B347"/>
    </row>
    <row r="348" spans="2:2" ht="112" customHeight="1" x14ac:dyDescent="0.25">
      <c r="B348"/>
    </row>
    <row r="349" spans="2:2" ht="112" customHeight="1" x14ac:dyDescent="0.25">
      <c r="B349"/>
    </row>
    <row r="350" spans="2:2" ht="112" customHeight="1" x14ac:dyDescent="0.25">
      <c r="B350"/>
    </row>
    <row r="351" spans="2:2" ht="112" customHeight="1" x14ac:dyDescent="0.25">
      <c r="B351"/>
    </row>
    <row r="352" spans="2:2" ht="112" customHeight="1" x14ac:dyDescent="0.25">
      <c r="B352"/>
    </row>
    <row r="353" spans="2:2" ht="112" customHeight="1" x14ac:dyDescent="0.25">
      <c r="B353"/>
    </row>
    <row r="354" spans="2:2" ht="112" customHeight="1" x14ac:dyDescent="0.25">
      <c r="B354"/>
    </row>
    <row r="355" spans="2:2" ht="112" customHeight="1" x14ac:dyDescent="0.25">
      <c r="B355"/>
    </row>
    <row r="356" spans="2:2" ht="112" customHeight="1" x14ac:dyDescent="0.25">
      <c r="B356"/>
    </row>
    <row r="357" spans="2:2" ht="112" customHeight="1" x14ac:dyDescent="0.25">
      <c r="B357"/>
    </row>
    <row r="358" spans="2:2" ht="112" customHeight="1" x14ac:dyDescent="0.25">
      <c r="B358"/>
    </row>
    <row r="359" spans="2:2" ht="112" customHeight="1" x14ac:dyDescent="0.25">
      <c r="B359"/>
    </row>
    <row r="360" spans="2:2" ht="112" customHeight="1" x14ac:dyDescent="0.25">
      <c r="B360"/>
    </row>
    <row r="361" spans="2:2" ht="112" customHeight="1" x14ac:dyDescent="0.25">
      <c r="B361"/>
    </row>
    <row r="362" spans="2:2" ht="112" customHeight="1" x14ac:dyDescent="0.25">
      <c r="B362"/>
    </row>
    <row r="363" spans="2:2" ht="112" customHeight="1" x14ac:dyDescent="0.25">
      <c r="B363"/>
    </row>
    <row r="364" spans="2:2" ht="112" customHeight="1" x14ac:dyDescent="0.25">
      <c r="B364"/>
    </row>
    <row r="365" spans="2:2" ht="112" customHeight="1" x14ac:dyDescent="0.25">
      <c r="B365"/>
    </row>
    <row r="366" spans="2:2" ht="112" customHeight="1" x14ac:dyDescent="0.25">
      <c r="B366"/>
    </row>
    <row r="367" spans="2:2" ht="112" customHeight="1" x14ac:dyDescent="0.25">
      <c r="B367"/>
    </row>
    <row r="368" spans="2:2" ht="112" customHeight="1" x14ac:dyDescent="0.25">
      <c r="B368"/>
    </row>
    <row r="369" spans="2:2" ht="112" customHeight="1" x14ac:dyDescent="0.25">
      <c r="B369"/>
    </row>
    <row r="370" spans="2:2" ht="112" customHeight="1" x14ac:dyDescent="0.25">
      <c r="B370"/>
    </row>
    <row r="371" spans="2:2" ht="112" customHeight="1" x14ac:dyDescent="0.25">
      <c r="B371"/>
    </row>
    <row r="372" spans="2:2" ht="112" customHeight="1" x14ac:dyDescent="0.25">
      <c r="B372"/>
    </row>
    <row r="373" spans="2:2" ht="112" customHeight="1" x14ac:dyDescent="0.25">
      <c r="B373"/>
    </row>
    <row r="374" spans="2:2" ht="112" customHeight="1" x14ac:dyDescent="0.25">
      <c r="B374"/>
    </row>
    <row r="375" spans="2:2" ht="112" customHeight="1" x14ac:dyDescent="0.25">
      <c r="B375"/>
    </row>
    <row r="376" spans="2:2" ht="112" customHeight="1" x14ac:dyDescent="0.25">
      <c r="B376"/>
    </row>
    <row r="377" spans="2:2" ht="112" customHeight="1" x14ac:dyDescent="0.25">
      <c r="B377"/>
    </row>
    <row r="378" spans="2:2" ht="112" customHeight="1" x14ac:dyDescent="0.25">
      <c r="B378"/>
    </row>
    <row r="379" spans="2:2" ht="112" customHeight="1" x14ac:dyDescent="0.25">
      <c r="B379"/>
    </row>
    <row r="380" spans="2:2" ht="112" customHeight="1" x14ac:dyDescent="0.25">
      <c r="B380"/>
    </row>
    <row r="381" spans="2:2" ht="112" customHeight="1" x14ac:dyDescent="0.25">
      <c r="B381"/>
    </row>
    <row r="382" spans="2:2" ht="112" customHeight="1" x14ac:dyDescent="0.25">
      <c r="B382"/>
    </row>
    <row r="383" spans="2:2" ht="112" customHeight="1" x14ac:dyDescent="0.25">
      <c r="B383"/>
    </row>
    <row r="384" spans="2:2" ht="112" customHeight="1" x14ac:dyDescent="0.25">
      <c r="B384"/>
    </row>
    <row r="385" spans="2:2" ht="112" customHeight="1" x14ac:dyDescent="0.25">
      <c r="B385"/>
    </row>
    <row r="386" spans="2:2" ht="112" customHeight="1" x14ac:dyDescent="0.25">
      <c r="B386"/>
    </row>
    <row r="387" spans="2:2" ht="112" customHeight="1" x14ac:dyDescent="0.25">
      <c r="B387"/>
    </row>
    <row r="388" spans="2:2" ht="112" customHeight="1" x14ac:dyDescent="0.25">
      <c r="B388"/>
    </row>
    <row r="389" spans="2:2" ht="112" customHeight="1" x14ac:dyDescent="0.25">
      <c r="B389"/>
    </row>
    <row r="390" spans="2:2" ht="112" customHeight="1" x14ac:dyDescent="0.25">
      <c r="B390"/>
    </row>
    <row r="391" spans="2:2" ht="112" customHeight="1" x14ac:dyDescent="0.25">
      <c r="B391"/>
    </row>
    <row r="392" spans="2:2" ht="112" customHeight="1" x14ac:dyDescent="0.25">
      <c r="B392"/>
    </row>
    <row r="393" spans="2:2" ht="112" customHeight="1" x14ac:dyDescent="0.25">
      <c r="B393"/>
    </row>
    <row r="394" spans="2:2" ht="112" customHeight="1" x14ac:dyDescent="0.25">
      <c r="B394"/>
    </row>
    <row r="395" spans="2:2" ht="112" customHeight="1" x14ac:dyDescent="0.25">
      <c r="B395"/>
    </row>
    <row r="396" spans="2:2" ht="112" customHeight="1" x14ac:dyDescent="0.25">
      <c r="B396"/>
    </row>
    <row r="397" spans="2:2" ht="112" customHeight="1" x14ac:dyDescent="0.25">
      <c r="B397"/>
    </row>
    <row r="398" spans="2:2" ht="112" customHeight="1" x14ac:dyDescent="0.25">
      <c r="B398"/>
    </row>
    <row r="399" spans="2:2" ht="112" customHeight="1" x14ac:dyDescent="0.25">
      <c r="B399"/>
    </row>
    <row r="400" spans="2:2" ht="112" customHeight="1" x14ac:dyDescent="0.25">
      <c r="B400"/>
    </row>
    <row r="401" spans="2:2" ht="112" customHeight="1" x14ac:dyDescent="0.25">
      <c r="B401"/>
    </row>
    <row r="402" spans="2:2" ht="112" customHeight="1" x14ac:dyDescent="0.25">
      <c r="B402"/>
    </row>
    <row r="403" spans="2:2" ht="112" customHeight="1" x14ac:dyDescent="0.25">
      <c r="B403"/>
    </row>
    <row r="404" spans="2:2" ht="112" customHeight="1" x14ac:dyDescent="0.25">
      <c r="B404"/>
    </row>
    <row r="405" spans="2:2" ht="112" customHeight="1" x14ac:dyDescent="0.25">
      <c r="B405"/>
    </row>
    <row r="406" spans="2:2" ht="112" customHeight="1" x14ac:dyDescent="0.25">
      <c r="B406"/>
    </row>
    <row r="407" spans="2:2" ht="112" customHeight="1" x14ac:dyDescent="0.25">
      <c r="B407"/>
    </row>
    <row r="408" spans="2:2" ht="112" customHeight="1" x14ac:dyDescent="0.25">
      <c r="B408"/>
    </row>
    <row r="409" spans="2:2" ht="112" customHeight="1" x14ac:dyDescent="0.25">
      <c r="B409"/>
    </row>
    <row r="410" spans="2:2" ht="112" customHeight="1" x14ac:dyDescent="0.25">
      <c r="B410"/>
    </row>
    <row r="411" spans="2:2" ht="112" customHeight="1" x14ac:dyDescent="0.25">
      <c r="B411"/>
    </row>
    <row r="412" spans="2:2" ht="112" customHeight="1" x14ac:dyDescent="0.25">
      <c r="B412"/>
    </row>
    <row r="413" spans="2:2" ht="112" customHeight="1" x14ac:dyDescent="0.25">
      <c r="B413"/>
    </row>
    <row r="414" spans="2:2" ht="112" customHeight="1" x14ac:dyDescent="0.25">
      <c r="B414"/>
    </row>
    <row r="415" spans="2:2" ht="112" customHeight="1" x14ac:dyDescent="0.25">
      <c r="B415"/>
    </row>
    <row r="416" spans="2:2" ht="112" customHeight="1" x14ac:dyDescent="0.25">
      <c r="B416"/>
    </row>
    <row r="417" spans="2:2" ht="112" customHeight="1" x14ac:dyDescent="0.25">
      <c r="B417"/>
    </row>
    <row r="418" spans="2:2" ht="112" customHeight="1" x14ac:dyDescent="0.25">
      <c r="B418"/>
    </row>
    <row r="419" spans="2:2" ht="112" customHeight="1" x14ac:dyDescent="0.25">
      <c r="B419"/>
    </row>
    <row r="420" spans="2:2" ht="112" customHeight="1" x14ac:dyDescent="0.25">
      <c r="B420"/>
    </row>
    <row r="421" spans="2:2" ht="112" customHeight="1" x14ac:dyDescent="0.25">
      <c r="B421"/>
    </row>
    <row r="422" spans="2:2" ht="112" customHeight="1" x14ac:dyDescent="0.25">
      <c r="B422"/>
    </row>
    <row r="423" spans="2:2" ht="112" customHeight="1" x14ac:dyDescent="0.25">
      <c r="B423"/>
    </row>
    <row r="424" spans="2:2" ht="112" customHeight="1" x14ac:dyDescent="0.25">
      <c r="B424"/>
    </row>
    <row r="425" spans="2:2" ht="112" customHeight="1" x14ac:dyDescent="0.25">
      <c r="B425"/>
    </row>
    <row r="426" spans="2:2" ht="112" customHeight="1" x14ac:dyDescent="0.25">
      <c r="B426"/>
    </row>
    <row r="427" spans="2:2" ht="112" customHeight="1" x14ac:dyDescent="0.25">
      <c r="B427"/>
    </row>
    <row r="428" spans="2:2" ht="112" customHeight="1" x14ac:dyDescent="0.25">
      <c r="B428"/>
    </row>
    <row r="429" spans="2:2" ht="112" customHeight="1" x14ac:dyDescent="0.25">
      <c r="B429"/>
    </row>
    <row r="430" spans="2:2" ht="112" customHeight="1" x14ac:dyDescent="0.25">
      <c r="B430"/>
    </row>
    <row r="431" spans="2:2" ht="112" customHeight="1" x14ac:dyDescent="0.25">
      <c r="B431"/>
    </row>
    <row r="432" spans="2:2" ht="112" customHeight="1" x14ac:dyDescent="0.25">
      <c r="B432"/>
    </row>
    <row r="433" spans="2:2" ht="112" customHeight="1" x14ac:dyDescent="0.25">
      <c r="B433"/>
    </row>
    <row r="434" spans="2:2" ht="112" customHeight="1" x14ac:dyDescent="0.25">
      <c r="B434"/>
    </row>
    <row r="435" spans="2:2" ht="112" customHeight="1" x14ac:dyDescent="0.25">
      <c r="B435"/>
    </row>
    <row r="436" spans="2:2" ht="112" customHeight="1" x14ac:dyDescent="0.25">
      <c r="B436"/>
    </row>
    <row r="437" spans="2:2" ht="112" customHeight="1" x14ac:dyDescent="0.25">
      <c r="B437"/>
    </row>
    <row r="438" spans="2:2" ht="112" customHeight="1" x14ac:dyDescent="0.25">
      <c r="B438"/>
    </row>
    <row r="439" spans="2:2" ht="112" customHeight="1" x14ac:dyDescent="0.25">
      <c r="B439"/>
    </row>
    <row r="440" spans="2:2" ht="112" customHeight="1" x14ac:dyDescent="0.25">
      <c r="B440"/>
    </row>
    <row r="441" spans="2:2" ht="112" customHeight="1" x14ac:dyDescent="0.25">
      <c r="B441"/>
    </row>
    <row r="442" spans="2:2" ht="112" customHeight="1" x14ac:dyDescent="0.25">
      <c r="B442"/>
    </row>
    <row r="443" spans="2:2" ht="112" customHeight="1" x14ac:dyDescent="0.25">
      <c r="B443"/>
    </row>
    <row r="444" spans="2:2" ht="112" customHeight="1" x14ac:dyDescent="0.25">
      <c r="B444"/>
    </row>
    <row r="445" spans="2:2" ht="112" customHeight="1" x14ac:dyDescent="0.25">
      <c r="B445"/>
    </row>
    <row r="446" spans="2:2" ht="112" customHeight="1" x14ac:dyDescent="0.25">
      <c r="B446"/>
    </row>
    <row r="447" spans="2:2" ht="112" customHeight="1" x14ac:dyDescent="0.25">
      <c r="B447"/>
    </row>
    <row r="448" spans="2:2" ht="112" customHeight="1" x14ac:dyDescent="0.25">
      <c r="B448"/>
    </row>
    <row r="449" spans="2:2" ht="112" customHeight="1" x14ac:dyDescent="0.25">
      <c r="B449"/>
    </row>
    <row r="450" spans="2:2" ht="112" customHeight="1" x14ac:dyDescent="0.25">
      <c r="B450"/>
    </row>
    <row r="451" spans="2:2" ht="112" customHeight="1" x14ac:dyDescent="0.25">
      <c r="B451"/>
    </row>
    <row r="452" spans="2:2" ht="112" customHeight="1" x14ac:dyDescent="0.25">
      <c r="B452"/>
    </row>
    <row r="453" spans="2:2" ht="112" customHeight="1" x14ac:dyDescent="0.25">
      <c r="B453"/>
    </row>
    <row r="454" spans="2:2" ht="112" customHeight="1" x14ac:dyDescent="0.25">
      <c r="B454"/>
    </row>
    <row r="455" spans="2:2" ht="112" customHeight="1" x14ac:dyDescent="0.25">
      <c r="B455"/>
    </row>
    <row r="456" spans="2:2" ht="112" customHeight="1" x14ac:dyDescent="0.25">
      <c r="B456"/>
    </row>
    <row r="457" spans="2:2" ht="112" customHeight="1" x14ac:dyDescent="0.25">
      <c r="B457"/>
    </row>
    <row r="458" spans="2:2" ht="112" customHeight="1" x14ac:dyDescent="0.25">
      <c r="B458"/>
    </row>
    <row r="459" spans="2:2" ht="112" customHeight="1" x14ac:dyDescent="0.25">
      <c r="B459"/>
    </row>
    <row r="460" spans="2:2" ht="112" customHeight="1" x14ac:dyDescent="0.25">
      <c r="B460"/>
    </row>
    <row r="461" spans="2:2" ht="112" customHeight="1" x14ac:dyDescent="0.25">
      <c r="B461"/>
    </row>
    <row r="462" spans="2:2" ht="112" customHeight="1" x14ac:dyDescent="0.25">
      <c r="B462"/>
    </row>
    <row r="463" spans="2:2" ht="112" customHeight="1" x14ac:dyDescent="0.25">
      <c r="B463"/>
    </row>
    <row r="464" spans="2:2" ht="112" customHeight="1" x14ac:dyDescent="0.25">
      <c r="B464"/>
    </row>
    <row r="465" spans="2:2" ht="112" customHeight="1" x14ac:dyDescent="0.25">
      <c r="B465"/>
    </row>
    <row r="466" spans="2:2" ht="112" customHeight="1" x14ac:dyDescent="0.25">
      <c r="B466"/>
    </row>
    <row r="467" spans="2:2" ht="112" customHeight="1" x14ac:dyDescent="0.25">
      <c r="B467"/>
    </row>
    <row r="468" spans="2:2" ht="112" customHeight="1" x14ac:dyDescent="0.25">
      <c r="B468"/>
    </row>
    <row r="469" spans="2:2" ht="112" customHeight="1" x14ac:dyDescent="0.25">
      <c r="B469"/>
    </row>
    <row r="470" spans="2:2" ht="112" customHeight="1" x14ac:dyDescent="0.25">
      <c r="B470"/>
    </row>
    <row r="471" spans="2:2" ht="112" customHeight="1" x14ac:dyDescent="0.25">
      <c r="B471"/>
    </row>
    <row r="472" spans="2:2" ht="112" customHeight="1" x14ac:dyDescent="0.25">
      <c r="B472"/>
    </row>
    <row r="473" spans="2:2" ht="112" customHeight="1" x14ac:dyDescent="0.25">
      <c r="B473"/>
    </row>
    <row r="474" spans="2:2" ht="112" customHeight="1" x14ac:dyDescent="0.25">
      <c r="B474"/>
    </row>
    <row r="475" spans="2:2" ht="112" customHeight="1" x14ac:dyDescent="0.25">
      <c r="B475"/>
    </row>
    <row r="476" spans="2:2" ht="112" customHeight="1" x14ac:dyDescent="0.25">
      <c r="B476"/>
    </row>
    <row r="477" spans="2:2" ht="112" customHeight="1" x14ac:dyDescent="0.25">
      <c r="B477"/>
    </row>
    <row r="478" spans="2:2" ht="112" customHeight="1" x14ac:dyDescent="0.25">
      <c r="B478"/>
    </row>
    <row r="479" spans="2:2" ht="112" customHeight="1" x14ac:dyDescent="0.25">
      <c r="B479"/>
    </row>
    <row r="480" spans="2:2" ht="112" customHeight="1" x14ac:dyDescent="0.25">
      <c r="B480"/>
    </row>
    <row r="481" spans="2:2" ht="112" customHeight="1" x14ac:dyDescent="0.25">
      <c r="B481"/>
    </row>
    <row r="482" spans="2:2" ht="112" customHeight="1" x14ac:dyDescent="0.25">
      <c r="B482"/>
    </row>
    <row r="483" spans="2:2" ht="112" customHeight="1" x14ac:dyDescent="0.25">
      <c r="B483"/>
    </row>
    <row r="484" spans="2:2" ht="112" customHeight="1" x14ac:dyDescent="0.25">
      <c r="B484"/>
    </row>
    <row r="485" spans="2:2" ht="112" customHeight="1" x14ac:dyDescent="0.25">
      <c r="B485"/>
    </row>
    <row r="486" spans="2:2" ht="112" customHeight="1" x14ac:dyDescent="0.25">
      <c r="B486"/>
    </row>
    <row r="487" spans="2:2" ht="112" customHeight="1" x14ac:dyDescent="0.25">
      <c r="B487"/>
    </row>
    <row r="488" spans="2:2" ht="112" customHeight="1" x14ac:dyDescent="0.25">
      <c r="B488"/>
    </row>
    <row r="489" spans="2:2" ht="112" customHeight="1" x14ac:dyDescent="0.25">
      <c r="B489"/>
    </row>
    <row r="490" spans="2:2" ht="112" customHeight="1" x14ac:dyDescent="0.25">
      <c r="B490"/>
    </row>
    <row r="491" spans="2:2" ht="112" customHeight="1" x14ac:dyDescent="0.25">
      <c r="B491"/>
    </row>
    <row r="492" spans="2:2" ht="112" customHeight="1" x14ac:dyDescent="0.25">
      <c r="B492"/>
    </row>
    <row r="493" spans="2:2" ht="112" customHeight="1" x14ac:dyDescent="0.25">
      <c r="B493"/>
    </row>
    <row r="494" spans="2:2" ht="112" customHeight="1" x14ac:dyDescent="0.25">
      <c r="B494"/>
    </row>
    <row r="495" spans="2:2" ht="112" customHeight="1" x14ac:dyDescent="0.25">
      <c r="B495"/>
    </row>
    <row r="496" spans="2:2" ht="112" customHeight="1" x14ac:dyDescent="0.25">
      <c r="B496"/>
    </row>
    <row r="497" spans="2:2" ht="112" customHeight="1" x14ac:dyDescent="0.25">
      <c r="B497"/>
    </row>
    <row r="498" spans="2:2" ht="112" customHeight="1" x14ac:dyDescent="0.25">
      <c r="B498"/>
    </row>
    <row r="499" spans="2:2" ht="112" customHeight="1" x14ac:dyDescent="0.25">
      <c r="B499"/>
    </row>
    <row r="500" spans="2:2" ht="112" customHeight="1" x14ac:dyDescent="0.25">
      <c r="B500"/>
    </row>
    <row r="501" spans="2:2" ht="112" customHeight="1" x14ac:dyDescent="0.25">
      <c r="B501"/>
    </row>
    <row r="502" spans="2:2" ht="112" customHeight="1" x14ac:dyDescent="0.25">
      <c r="B502"/>
    </row>
    <row r="503" spans="2:2" ht="112" customHeight="1" x14ac:dyDescent="0.25">
      <c r="B503"/>
    </row>
    <row r="504" spans="2:2" ht="112" customHeight="1" x14ac:dyDescent="0.25">
      <c r="B504"/>
    </row>
    <row r="505" spans="2:2" ht="112" customHeight="1" x14ac:dyDescent="0.25">
      <c r="B505"/>
    </row>
    <row r="506" spans="2:2" ht="112" customHeight="1" x14ac:dyDescent="0.25">
      <c r="B506"/>
    </row>
    <row r="507" spans="2:2" ht="112" customHeight="1" x14ac:dyDescent="0.25">
      <c r="B507"/>
    </row>
    <row r="508" spans="2:2" ht="112" customHeight="1" x14ac:dyDescent="0.25">
      <c r="B508"/>
    </row>
    <row r="509" spans="2:2" ht="112" customHeight="1" x14ac:dyDescent="0.25">
      <c r="B509"/>
    </row>
    <row r="510" spans="2:2" ht="112" customHeight="1" x14ac:dyDescent="0.25">
      <c r="B510"/>
    </row>
    <row r="511" spans="2:2" ht="112" customHeight="1" x14ac:dyDescent="0.25">
      <c r="B511"/>
    </row>
    <row r="512" spans="2:2" ht="112" customHeight="1" x14ac:dyDescent="0.25">
      <c r="B512"/>
    </row>
    <row r="513" spans="2:2" ht="112" customHeight="1" x14ac:dyDescent="0.25">
      <c r="B513"/>
    </row>
    <row r="514" spans="2:2" ht="112" customHeight="1" x14ac:dyDescent="0.25">
      <c r="B514"/>
    </row>
    <row r="515" spans="2:2" ht="112" customHeight="1" x14ac:dyDescent="0.25">
      <c r="B515"/>
    </row>
    <row r="516" spans="2:2" ht="112" customHeight="1" x14ac:dyDescent="0.25">
      <c r="B516"/>
    </row>
    <row r="517" spans="2:2" ht="112" customHeight="1" x14ac:dyDescent="0.25">
      <c r="B517"/>
    </row>
    <row r="518" spans="2:2" ht="112" customHeight="1" x14ac:dyDescent="0.25">
      <c r="B518"/>
    </row>
    <row r="519" spans="2:2" ht="112" customHeight="1" x14ac:dyDescent="0.25">
      <c r="B519"/>
    </row>
    <row r="520" spans="2:2" ht="112" customHeight="1" x14ac:dyDescent="0.25">
      <c r="B520"/>
    </row>
    <row r="521" spans="2:2" ht="112" customHeight="1" x14ac:dyDescent="0.25">
      <c r="B521"/>
    </row>
    <row r="522" spans="2:2" ht="112" customHeight="1" x14ac:dyDescent="0.25">
      <c r="B522"/>
    </row>
    <row r="523" spans="2:2" ht="112" customHeight="1" x14ac:dyDescent="0.25">
      <c r="B523"/>
    </row>
    <row r="524" spans="2:2" ht="112" customHeight="1" x14ac:dyDescent="0.25">
      <c r="B524"/>
    </row>
    <row r="525" spans="2:2" ht="112" customHeight="1" x14ac:dyDescent="0.25">
      <c r="B525"/>
    </row>
    <row r="526" spans="2:2" ht="112" customHeight="1" x14ac:dyDescent="0.25">
      <c r="B526"/>
    </row>
    <row r="527" spans="2:2" ht="112" customHeight="1" x14ac:dyDescent="0.25">
      <c r="B527"/>
    </row>
    <row r="528" spans="2:2" ht="112" customHeight="1" x14ac:dyDescent="0.25">
      <c r="B528"/>
    </row>
    <row r="529" spans="2:2" ht="112" customHeight="1" x14ac:dyDescent="0.25">
      <c r="B529"/>
    </row>
    <row r="530" spans="2:2" ht="112" customHeight="1" x14ac:dyDescent="0.25">
      <c r="B530"/>
    </row>
    <row r="531" spans="2:2" ht="112" customHeight="1" x14ac:dyDescent="0.25">
      <c r="B531"/>
    </row>
    <row r="532" spans="2:2" ht="112" customHeight="1" x14ac:dyDescent="0.25">
      <c r="B532"/>
    </row>
    <row r="533" spans="2:2" ht="112" customHeight="1" x14ac:dyDescent="0.25">
      <c r="B533"/>
    </row>
    <row r="534" spans="2:2" ht="112" customHeight="1" x14ac:dyDescent="0.25">
      <c r="B534"/>
    </row>
    <row r="535" spans="2:2" ht="112" customHeight="1" x14ac:dyDescent="0.25">
      <c r="B535"/>
    </row>
    <row r="536" spans="2:2" ht="112" customHeight="1" x14ac:dyDescent="0.25">
      <c r="B536"/>
    </row>
    <row r="537" spans="2:2" ht="112" customHeight="1" x14ac:dyDescent="0.25">
      <c r="B537"/>
    </row>
    <row r="538" spans="2:2" ht="112" customHeight="1" x14ac:dyDescent="0.25">
      <c r="B538"/>
    </row>
    <row r="539" spans="2:2" ht="112" customHeight="1" x14ac:dyDescent="0.25">
      <c r="B539"/>
    </row>
    <row r="540" spans="2:2" ht="112" customHeight="1" x14ac:dyDescent="0.25">
      <c r="B540"/>
    </row>
    <row r="541" spans="2:2" ht="112" customHeight="1" x14ac:dyDescent="0.25">
      <c r="B541"/>
    </row>
    <row r="542" spans="2:2" ht="112" customHeight="1" x14ac:dyDescent="0.25">
      <c r="B542"/>
    </row>
    <row r="543" spans="2:2" ht="112" customHeight="1" x14ac:dyDescent="0.25">
      <c r="B543"/>
    </row>
    <row r="544" spans="2:2" ht="112" customHeight="1" x14ac:dyDescent="0.25">
      <c r="B544"/>
    </row>
    <row r="545" spans="2:2" ht="112" customHeight="1" x14ac:dyDescent="0.25">
      <c r="B545"/>
    </row>
    <row r="546" spans="2:2" ht="112" customHeight="1" x14ac:dyDescent="0.25">
      <c r="B546"/>
    </row>
    <row r="547" spans="2:2" ht="112" customHeight="1" x14ac:dyDescent="0.25">
      <c r="B547"/>
    </row>
    <row r="548" spans="2:2" ht="112" customHeight="1" x14ac:dyDescent="0.25">
      <c r="B548"/>
    </row>
    <row r="549" spans="2:2" ht="112" customHeight="1" x14ac:dyDescent="0.25">
      <c r="B549"/>
    </row>
    <row r="550" spans="2:2" ht="112" customHeight="1" x14ac:dyDescent="0.25">
      <c r="B550"/>
    </row>
    <row r="551" spans="2:2" ht="112" customHeight="1" x14ac:dyDescent="0.25">
      <c r="B551"/>
    </row>
    <row r="552" spans="2:2" ht="112" customHeight="1" x14ac:dyDescent="0.25">
      <c r="B552"/>
    </row>
    <row r="553" spans="2:2" ht="112" customHeight="1" x14ac:dyDescent="0.25">
      <c r="B553"/>
    </row>
    <row r="554" spans="2:2" ht="112" customHeight="1" x14ac:dyDescent="0.25">
      <c r="B554"/>
    </row>
    <row r="555" spans="2:2" ht="112" customHeight="1" x14ac:dyDescent="0.25">
      <c r="B555"/>
    </row>
    <row r="556" spans="2:2" ht="112" customHeight="1" x14ac:dyDescent="0.25">
      <c r="B556"/>
    </row>
    <row r="557" spans="2:2" ht="112" customHeight="1" x14ac:dyDescent="0.25">
      <c r="B557"/>
    </row>
    <row r="558" spans="2:2" ht="112" customHeight="1" x14ac:dyDescent="0.25">
      <c r="B558"/>
    </row>
    <row r="559" spans="2:2" ht="112" customHeight="1" x14ac:dyDescent="0.25">
      <c r="B559"/>
    </row>
    <row r="560" spans="2:2" ht="112" customHeight="1" x14ac:dyDescent="0.25">
      <c r="B560"/>
    </row>
    <row r="561" spans="2:2" ht="112" customHeight="1" x14ac:dyDescent="0.25">
      <c r="B561"/>
    </row>
    <row r="562" spans="2:2" ht="112" customHeight="1" x14ac:dyDescent="0.25">
      <c r="B562"/>
    </row>
    <row r="563" spans="2:2" ht="112" customHeight="1" x14ac:dyDescent="0.25">
      <c r="B563"/>
    </row>
    <row r="564" spans="2:2" ht="112" customHeight="1" x14ac:dyDescent="0.25">
      <c r="B564"/>
    </row>
    <row r="565" spans="2:2" ht="112" customHeight="1" x14ac:dyDescent="0.25">
      <c r="B565"/>
    </row>
    <row r="566" spans="2:2" ht="112" customHeight="1" x14ac:dyDescent="0.25">
      <c r="B566"/>
    </row>
    <row r="567" spans="2:2" ht="112" customHeight="1" x14ac:dyDescent="0.25">
      <c r="B567"/>
    </row>
    <row r="568" spans="2:2" ht="112" customHeight="1" x14ac:dyDescent="0.25">
      <c r="B568"/>
    </row>
    <row r="569" spans="2:2" ht="112" customHeight="1" x14ac:dyDescent="0.25">
      <c r="B569"/>
    </row>
    <row r="570" spans="2:2" ht="112" customHeight="1" x14ac:dyDescent="0.25">
      <c r="B570"/>
    </row>
    <row r="571" spans="2:2" ht="112" customHeight="1" x14ac:dyDescent="0.25">
      <c r="B571"/>
    </row>
    <row r="572" spans="2:2" ht="112" customHeight="1" x14ac:dyDescent="0.25">
      <c r="B572"/>
    </row>
    <row r="573" spans="2:2" ht="112" customHeight="1" x14ac:dyDescent="0.25">
      <c r="B573"/>
    </row>
    <row r="574" spans="2:2" ht="112" customHeight="1" x14ac:dyDescent="0.25">
      <c r="B574"/>
    </row>
    <row r="575" spans="2:2" ht="112" customHeight="1" x14ac:dyDescent="0.25">
      <c r="B575"/>
    </row>
    <row r="576" spans="2:2" ht="112" customHeight="1" x14ac:dyDescent="0.25">
      <c r="B576"/>
    </row>
    <row r="577" spans="2:2" ht="112" customHeight="1" x14ac:dyDescent="0.25">
      <c r="B577"/>
    </row>
    <row r="578" spans="2:2" ht="112" customHeight="1" x14ac:dyDescent="0.25">
      <c r="B578"/>
    </row>
    <row r="579" spans="2:2" ht="112" customHeight="1" x14ac:dyDescent="0.25">
      <c r="B579"/>
    </row>
    <row r="580" spans="2:2" ht="112" customHeight="1" x14ac:dyDescent="0.25">
      <c r="B580"/>
    </row>
    <row r="581" spans="2:2" ht="112" customHeight="1" x14ac:dyDescent="0.25">
      <c r="B581"/>
    </row>
    <row r="582" spans="2:2" ht="112" customHeight="1" x14ac:dyDescent="0.25">
      <c r="B582"/>
    </row>
    <row r="583" spans="2:2" ht="112" customHeight="1" x14ac:dyDescent="0.25">
      <c r="B583"/>
    </row>
    <row r="584" spans="2:2" ht="112" customHeight="1" x14ac:dyDescent="0.25">
      <c r="B584"/>
    </row>
    <row r="585" spans="2:2" ht="112" customHeight="1" x14ac:dyDescent="0.25">
      <c r="B585"/>
    </row>
    <row r="586" spans="2:2" ht="112" customHeight="1" x14ac:dyDescent="0.25">
      <c r="B586"/>
    </row>
    <row r="587" spans="2:2" ht="112" customHeight="1" x14ac:dyDescent="0.25">
      <c r="B587"/>
    </row>
    <row r="588" spans="2:2" ht="112" customHeight="1" x14ac:dyDescent="0.25">
      <c r="B588"/>
    </row>
    <row r="589" spans="2:2" ht="112" customHeight="1" x14ac:dyDescent="0.25">
      <c r="B589"/>
    </row>
    <row r="590" spans="2:2" ht="112" customHeight="1" x14ac:dyDescent="0.25">
      <c r="B590"/>
    </row>
    <row r="591" spans="2:2" ht="112" customHeight="1" x14ac:dyDescent="0.25">
      <c r="B591"/>
    </row>
    <row r="592" spans="2:2" ht="112" customHeight="1" x14ac:dyDescent="0.25">
      <c r="B592"/>
    </row>
    <row r="593" spans="2:2" ht="112" customHeight="1" x14ac:dyDescent="0.25">
      <c r="B593"/>
    </row>
    <row r="594" spans="2:2" ht="112" customHeight="1" x14ac:dyDescent="0.25">
      <c r="B594"/>
    </row>
    <row r="595" spans="2:2" ht="112" customHeight="1" x14ac:dyDescent="0.25">
      <c r="B595"/>
    </row>
    <row r="596" spans="2:2" ht="112" customHeight="1" x14ac:dyDescent="0.25">
      <c r="B596"/>
    </row>
    <row r="597" spans="2:2" ht="112" customHeight="1" x14ac:dyDescent="0.25">
      <c r="B597"/>
    </row>
    <row r="598" spans="2:2" ht="112" customHeight="1" x14ac:dyDescent="0.25">
      <c r="B598"/>
    </row>
    <row r="599" spans="2:2" ht="112" customHeight="1" x14ac:dyDescent="0.25">
      <c r="B599"/>
    </row>
    <row r="600" spans="2:2" ht="112" customHeight="1" x14ac:dyDescent="0.25">
      <c r="B600"/>
    </row>
    <row r="601" spans="2:2" ht="112" customHeight="1" x14ac:dyDescent="0.25">
      <c r="B601"/>
    </row>
    <row r="602" spans="2:2" ht="112" customHeight="1" x14ac:dyDescent="0.25">
      <c r="B602"/>
    </row>
    <row r="603" spans="2:2" ht="112" customHeight="1" x14ac:dyDescent="0.25">
      <c r="B603"/>
    </row>
    <row r="604" spans="2:2" ht="112" customHeight="1" x14ac:dyDescent="0.25">
      <c r="B604"/>
    </row>
    <row r="605" spans="2:2" ht="112" customHeight="1" x14ac:dyDescent="0.25">
      <c r="B605"/>
    </row>
    <row r="606" spans="2:2" ht="112" customHeight="1" x14ac:dyDescent="0.25">
      <c r="B606"/>
    </row>
    <row r="607" spans="2:2" ht="112" customHeight="1" x14ac:dyDescent="0.25">
      <c r="B607"/>
    </row>
    <row r="608" spans="2:2" ht="112" customHeight="1" x14ac:dyDescent="0.25">
      <c r="B608"/>
    </row>
    <row r="609" spans="2:2" ht="112" customHeight="1" x14ac:dyDescent="0.25">
      <c r="B609"/>
    </row>
    <row r="610" spans="2:2" ht="112" customHeight="1" x14ac:dyDescent="0.25">
      <c r="B610"/>
    </row>
    <row r="611" spans="2:2" ht="112" customHeight="1" x14ac:dyDescent="0.25">
      <c r="B611"/>
    </row>
    <row r="612" spans="2:2" ht="112" customHeight="1" x14ac:dyDescent="0.25">
      <c r="B612"/>
    </row>
    <row r="613" spans="2:2" ht="112" customHeight="1" x14ac:dyDescent="0.25">
      <c r="B613"/>
    </row>
    <row r="614" spans="2:2" ht="112" customHeight="1" x14ac:dyDescent="0.25">
      <c r="B614"/>
    </row>
    <row r="615" spans="2:2" ht="112" customHeight="1" x14ac:dyDescent="0.25">
      <c r="B615"/>
    </row>
    <row r="616" spans="2:2" ht="112" customHeight="1" x14ac:dyDescent="0.25">
      <c r="B616"/>
    </row>
    <row r="617" spans="2:2" ht="112" customHeight="1" x14ac:dyDescent="0.25">
      <c r="B617"/>
    </row>
    <row r="618" spans="2:2" ht="112" customHeight="1" x14ac:dyDescent="0.25">
      <c r="B618"/>
    </row>
    <row r="619" spans="2:2" ht="112" customHeight="1" x14ac:dyDescent="0.25">
      <c r="B619"/>
    </row>
    <row r="620" spans="2:2" ht="112" customHeight="1" x14ac:dyDescent="0.25">
      <c r="B620"/>
    </row>
    <row r="621" spans="2:2" ht="112" customHeight="1" x14ac:dyDescent="0.25">
      <c r="B621"/>
    </row>
    <row r="622" spans="2:2" ht="112" customHeight="1" x14ac:dyDescent="0.25">
      <c r="B622"/>
    </row>
    <row r="623" spans="2:2" ht="112" customHeight="1" x14ac:dyDescent="0.25">
      <c r="B623"/>
    </row>
    <row r="624" spans="2:2" ht="112" customHeight="1" x14ac:dyDescent="0.25">
      <c r="B624"/>
    </row>
    <row r="625" spans="2:2" ht="112" customHeight="1" x14ac:dyDescent="0.25">
      <c r="B625"/>
    </row>
    <row r="626" spans="2:2" ht="112" customHeight="1" x14ac:dyDescent="0.25">
      <c r="B626"/>
    </row>
    <row r="627" spans="2:2" ht="112" customHeight="1" x14ac:dyDescent="0.25">
      <c r="B627"/>
    </row>
    <row r="628" spans="2:2" ht="112" customHeight="1" x14ac:dyDescent="0.25">
      <c r="B628"/>
    </row>
    <row r="629" spans="2:2" ht="112" customHeight="1" x14ac:dyDescent="0.25">
      <c r="B629"/>
    </row>
    <row r="630" spans="2:2" ht="112" customHeight="1" x14ac:dyDescent="0.25">
      <c r="B630"/>
    </row>
    <row r="631" spans="2:2" ht="112" customHeight="1" x14ac:dyDescent="0.25">
      <c r="B631"/>
    </row>
    <row r="632" spans="2:2" ht="112" customHeight="1" x14ac:dyDescent="0.25">
      <c r="B632"/>
    </row>
    <row r="633" spans="2:2" ht="112" customHeight="1" x14ac:dyDescent="0.25">
      <c r="B633"/>
    </row>
    <row r="634" spans="2:2" ht="112" customHeight="1" x14ac:dyDescent="0.25">
      <c r="B634"/>
    </row>
    <row r="635" spans="2:2" ht="112" customHeight="1" x14ac:dyDescent="0.25">
      <c r="B635"/>
    </row>
    <row r="636" spans="2:2" ht="112" customHeight="1" x14ac:dyDescent="0.25">
      <c r="B636"/>
    </row>
    <row r="637" spans="2:2" ht="112" customHeight="1" x14ac:dyDescent="0.25">
      <c r="B637"/>
    </row>
    <row r="638" spans="2:2" ht="112" customHeight="1" x14ac:dyDescent="0.25">
      <c r="B638"/>
    </row>
    <row r="639" spans="2:2" ht="112" customHeight="1" x14ac:dyDescent="0.25">
      <c r="B639"/>
    </row>
    <row r="640" spans="2:2" ht="112" customHeight="1" x14ac:dyDescent="0.25">
      <c r="B640"/>
    </row>
    <row r="641" spans="2:2" ht="112" customHeight="1" x14ac:dyDescent="0.25">
      <c r="B641"/>
    </row>
    <row r="642" spans="2:2" ht="112" customHeight="1" x14ac:dyDescent="0.25">
      <c r="B642"/>
    </row>
    <row r="643" spans="2:2" ht="112" customHeight="1" x14ac:dyDescent="0.25">
      <c r="B643"/>
    </row>
    <row r="644" spans="2:2" ht="112" customHeight="1" x14ac:dyDescent="0.25">
      <c r="B644"/>
    </row>
    <row r="645" spans="2:2" ht="112" customHeight="1" x14ac:dyDescent="0.25">
      <c r="B645"/>
    </row>
    <row r="646" spans="2:2" ht="112" customHeight="1" x14ac:dyDescent="0.25">
      <c r="B646"/>
    </row>
    <row r="647" spans="2:2" ht="112" customHeight="1" x14ac:dyDescent="0.25">
      <c r="B647"/>
    </row>
    <row r="648" spans="2:2" ht="112" customHeight="1" x14ac:dyDescent="0.25">
      <c r="B648"/>
    </row>
    <row r="649" spans="2:2" ht="112" customHeight="1" x14ac:dyDescent="0.25">
      <c r="B649"/>
    </row>
    <row r="650" spans="2:2" ht="112" customHeight="1" x14ac:dyDescent="0.25">
      <c r="B650"/>
    </row>
    <row r="651" spans="2:2" ht="112" customHeight="1" x14ac:dyDescent="0.25">
      <c r="B651"/>
    </row>
    <row r="652" spans="2:2" ht="112" customHeight="1" x14ac:dyDescent="0.25">
      <c r="B652"/>
    </row>
    <row r="653" spans="2:2" ht="112" customHeight="1" x14ac:dyDescent="0.25">
      <c r="B653"/>
    </row>
    <row r="654" spans="2:2" ht="112" customHeight="1" x14ac:dyDescent="0.25">
      <c r="B654"/>
    </row>
    <row r="655" spans="2:2" ht="112" customHeight="1" x14ac:dyDescent="0.25">
      <c r="B655"/>
    </row>
    <row r="656" spans="2:2" ht="112" customHeight="1" x14ac:dyDescent="0.25">
      <c r="B656"/>
    </row>
    <row r="657" spans="2:2" ht="112" customHeight="1" x14ac:dyDescent="0.25">
      <c r="B657"/>
    </row>
    <row r="658" spans="2:2" ht="112" customHeight="1" x14ac:dyDescent="0.25">
      <c r="B658"/>
    </row>
    <row r="659" spans="2:2" ht="112" customHeight="1" x14ac:dyDescent="0.25">
      <c r="B659"/>
    </row>
    <row r="660" spans="2:2" ht="112" customHeight="1" x14ac:dyDescent="0.25">
      <c r="B660"/>
    </row>
    <row r="661" spans="2:2" ht="112" customHeight="1" x14ac:dyDescent="0.25">
      <c r="B661"/>
    </row>
    <row r="662" spans="2:2" ht="112" customHeight="1" x14ac:dyDescent="0.25">
      <c r="B662"/>
    </row>
    <row r="663" spans="2:2" ht="112" customHeight="1" x14ac:dyDescent="0.25">
      <c r="B663"/>
    </row>
    <row r="664" spans="2:2" ht="112" customHeight="1" x14ac:dyDescent="0.25">
      <c r="B664"/>
    </row>
    <row r="665" spans="2:2" ht="112" customHeight="1" x14ac:dyDescent="0.25">
      <c r="B665"/>
    </row>
    <row r="666" spans="2:2" ht="112" customHeight="1" x14ac:dyDescent="0.25">
      <c r="B666"/>
    </row>
    <row r="667" spans="2:2" ht="112" customHeight="1" x14ac:dyDescent="0.25">
      <c r="B667"/>
    </row>
    <row r="668" spans="2:2" ht="112" customHeight="1" x14ac:dyDescent="0.25">
      <c r="B668"/>
    </row>
    <row r="669" spans="2:2" ht="112" customHeight="1" x14ac:dyDescent="0.25">
      <c r="B669"/>
    </row>
    <row r="670" spans="2:2" ht="112" customHeight="1" x14ac:dyDescent="0.25">
      <c r="B670"/>
    </row>
    <row r="671" spans="2:2" ht="112" customHeight="1" x14ac:dyDescent="0.25">
      <c r="B671"/>
    </row>
    <row r="672" spans="2:2" ht="112" customHeight="1" x14ac:dyDescent="0.25">
      <c r="B672"/>
    </row>
    <row r="673" spans="2:2" ht="112" customHeight="1" x14ac:dyDescent="0.25">
      <c r="B673"/>
    </row>
    <row r="674" spans="2:2" ht="112" customHeight="1" x14ac:dyDescent="0.25">
      <c r="B674"/>
    </row>
    <row r="675" spans="2:2" ht="112" customHeight="1" x14ac:dyDescent="0.25">
      <c r="B675"/>
    </row>
    <row r="676" spans="2:2" ht="112" customHeight="1" x14ac:dyDescent="0.25">
      <c r="B676"/>
    </row>
    <row r="677" spans="2:2" ht="112" customHeight="1" x14ac:dyDescent="0.25">
      <c r="B677"/>
    </row>
    <row r="678" spans="2:2" ht="112" customHeight="1" x14ac:dyDescent="0.25">
      <c r="B678"/>
    </row>
    <row r="679" spans="2:2" ht="112" customHeight="1" x14ac:dyDescent="0.25">
      <c r="B679"/>
    </row>
    <row r="680" spans="2:2" ht="112" customHeight="1" x14ac:dyDescent="0.25">
      <c r="B680"/>
    </row>
    <row r="681" spans="2:2" ht="112" customHeight="1" x14ac:dyDescent="0.25">
      <c r="B681"/>
    </row>
    <row r="682" spans="2:2" ht="112" customHeight="1" x14ac:dyDescent="0.25">
      <c r="B682"/>
    </row>
    <row r="683" spans="2:2" ht="112" customHeight="1" x14ac:dyDescent="0.25">
      <c r="B683"/>
    </row>
    <row r="684" spans="2:2" ht="112" customHeight="1" x14ac:dyDescent="0.25">
      <c r="B684"/>
    </row>
    <row r="685" spans="2:2" ht="112" customHeight="1" x14ac:dyDescent="0.25">
      <c r="B685"/>
    </row>
    <row r="686" spans="2:2" ht="112" customHeight="1" x14ac:dyDescent="0.25">
      <c r="B686"/>
    </row>
    <row r="687" spans="2:2" ht="112" customHeight="1" x14ac:dyDescent="0.25">
      <c r="B687"/>
    </row>
    <row r="688" spans="2:2" ht="112" customHeight="1" x14ac:dyDescent="0.25">
      <c r="B688"/>
    </row>
    <row r="689" spans="2:2" ht="112" customHeight="1" x14ac:dyDescent="0.25">
      <c r="B689"/>
    </row>
    <row r="690" spans="2:2" ht="112" customHeight="1" x14ac:dyDescent="0.25">
      <c r="B690"/>
    </row>
    <row r="691" spans="2:2" ht="112" customHeight="1" x14ac:dyDescent="0.25">
      <c r="B691"/>
    </row>
    <row r="692" spans="2:2" ht="112" customHeight="1" x14ac:dyDescent="0.25">
      <c r="B692"/>
    </row>
    <row r="693" spans="2:2" ht="112" customHeight="1" x14ac:dyDescent="0.25">
      <c r="B693"/>
    </row>
    <row r="694" spans="2:2" ht="112" customHeight="1" x14ac:dyDescent="0.25">
      <c r="B694"/>
    </row>
    <row r="695" spans="2:2" ht="112" customHeight="1" x14ac:dyDescent="0.25">
      <c r="B695"/>
    </row>
    <row r="696" spans="2:2" ht="112" customHeight="1" x14ac:dyDescent="0.25">
      <c r="B696"/>
    </row>
    <row r="697" spans="2:2" ht="112" customHeight="1" x14ac:dyDescent="0.25">
      <c r="B697"/>
    </row>
    <row r="698" spans="2:2" ht="112" customHeight="1" x14ac:dyDescent="0.25">
      <c r="B698"/>
    </row>
    <row r="699" spans="2:2" ht="112" customHeight="1" x14ac:dyDescent="0.25">
      <c r="B699"/>
    </row>
    <row r="700" spans="2:2" ht="112" customHeight="1" x14ac:dyDescent="0.25">
      <c r="B700"/>
    </row>
    <row r="701" spans="2:2" ht="112" customHeight="1" x14ac:dyDescent="0.25">
      <c r="B701"/>
    </row>
    <row r="702" spans="2:2" ht="112" customHeight="1" x14ac:dyDescent="0.25">
      <c r="B702"/>
    </row>
    <row r="703" spans="2:2" ht="112" customHeight="1" x14ac:dyDescent="0.25">
      <c r="B703"/>
    </row>
    <row r="704" spans="2:2" ht="112" customHeight="1" x14ac:dyDescent="0.25">
      <c r="B704"/>
    </row>
    <row r="705" spans="2:2" ht="112" customHeight="1" x14ac:dyDescent="0.25">
      <c r="B705"/>
    </row>
    <row r="706" spans="2:2" ht="112" customHeight="1" x14ac:dyDescent="0.25">
      <c r="B706"/>
    </row>
    <row r="707" spans="2:2" ht="112" customHeight="1" x14ac:dyDescent="0.25">
      <c r="B707"/>
    </row>
    <row r="708" spans="2:2" ht="112" customHeight="1" x14ac:dyDescent="0.25">
      <c r="B708"/>
    </row>
    <row r="709" spans="2:2" ht="112" customHeight="1" x14ac:dyDescent="0.25">
      <c r="B709"/>
    </row>
    <row r="710" spans="2:2" ht="112" customHeight="1" x14ac:dyDescent="0.25">
      <c r="B710"/>
    </row>
    <row r="711" spans="2:2" ht="112" customHeight="1" x14ac:dyDescent="0.25">
      <c r="B711"/>
    </row>
    <row r="712" spans="2:2" ht="112" customHeight="1" x14ac:dyDescent="0.25">
      <c r="B712"/>
    </row>
    <row r="713" spans="2:2" ht="112" customHeight="1" x14ac:dyDescent="0.25">
      <c r="B713"/>
    </row>
    <row r="714" spans="2:2" ht="112" customHeight="1" x14ac:dyDescent="0.25">
      <c r="B714"/>
    </row>
    <row r="715" spans="2:2" ht="112" customHeight="1" x14ac:dyDescent="0.25">
      <c r="B715"/>
    </row>
    <row r="716" spans="2:2" ht="112" customHeight="1" x14ac:dyDescent="0.25">
      <c r="B716"/>
    </row>
    <row r="717" spans="2:2" ht="112" customHeight="1" x14ac:dyDescent="0.25">
      <c r="B717"/>
    </row>
    <row r="718" spans="2:2" ht="112" customHeight="1" x14ac:dyDescent="0.25">
      <c r="B718"/>
    </row>
    <row r="719" spans="2:2" ht="112" customHeight="1" x14ac:dyDescent="0.25">
      <c r="B719"/>
    </row>
    <row r="720" spans="2:2" ht="112" customHeight="1" x14ac:dyDescent="0.25">
      <c r="B720"/>
    </row>
    <row r="721" spans="2:2" ht="112" customHeight="1" x14ac:dyDescent="0.25">
      <c r="B721"/>
    </row>
    <row r="722" spans="2:2" ht="112" customHeight="1" x14ac:dyDescent="0.25">
      <c r="B722"/>
    </row>
    <row r="723" spans="2:2" ht="112" customHeight="1" x14ac:dyDescent="0.25">
      <c r="B723"/>
    </row>
    <row r="724" spans="2:2" ht="112" customHeight="1" x14ac:dyDescent="0.25">
      <c r="B724"/>
    </row>
    <row r="725" spans="2:2" ht="112" customHeight="1" x14ac:dyDescent="0.25">
      <c r="B725"/>
    </row>
    <row r="726" spans="2:2" ht="112" customHeight="1" x14ac:dyDescent="0.25">
      <c r="B726"/>
    </row>
    <row r="727" spans="2:2" ht="112" customHeight="1" x14ac:dyDescent="0.25">
      <c r="B727"/>
    </row>
    <row r="728" spans="2:2" ht="112" customHeight="1" x14ac:dyDescent="0.25">
      <c r="B728"/>
    </row>
    <row r="729" spans="2:2" ht="112" customHeight="1" x14ac:dyDescent="0.25">
      <c r="B729"/>
    </row>
    <row r="730" spans="2:2" ht="112" customHeight="1" x14ac:dyDescent="0.25">
      <c r="B730"/>
    </row>
    <row r="731" spans="2:2" ht="112" customHeight="1" x14ac:dyDescent="0.25">
      <c r="B731"/>
    </row>
    <row r="732" spans="2:2" ht="112" customHeight="1" x14ac:dyDescent="0.25">
      <c r="B732"/>
    </row>
    <row r="733" spans="2:2" ht="112" customHeight="1" x14ac:dyDescent="0.25">
      <c r="B733"/>
    </row>
    <row r="734" spans="2:2" ht="112" customHeight="1" x14ac:dyDescent="0.25">
      <c r="B734"/>
    </row>
    <row r="735" spans="2:2" ht="112" customHeight="1" x14ac:dyDescent="0.25">
      <c r="B735"/>
    </row>
    <row r="736" spans="2:2" ht="112" customHeight="1" x14ac:dyDescent="0.25">
      <c r="B736"/>
    </row>
    <row r="737" spans="2:2" ht="112" customHeight="1" x14ac:dyDescent="0.25">
      <c r="B737"/>
    </row>
    <row r="738" spans="2:2" ht="112" customHeight="1" x14ac:dyDescent="0.25">
      <c r="B738"/>
    </row>
    <row r="739" spans="2:2" ht="112" customHeight="1" x14ac:dyDescent="0.25">
      <c r="B739"/>
    </row>
    <row r="740" spans="2:2" ht="112" customHeight="1" x14ac:dyDescent="0.25">
      <c r="B740"/>
    </row>
    <row r="741" spans="2:2" ht="112" customHeight="1" x14ac:dyDescent="0.25">
      <c r="B741"/>
    </row>
    <row r="742" spans="2:2" ht="112" customHeight="1" x14ac:dyDescent="0.25">
      <c r="B742"/>
    </row>
    <row r="743" spans="2:2" ht="112" customHeight="1" x14ac:dyDescent="0.25">
      <c r="B743"/>
    </row>
    <row r="744" spans="2:2" ht="112" customHeight="1" x14ac:dyDescent="0.25">
      <c r="B744"/>
    </row>
    <row r="745" spans="2:2" ht="112" customHeight="1" x14ac:dyDescent="0.25">
      <c r="B745"/>
    </row>
    <row r="746" spans="2:2" ht="112" customHeight="1" x14ac:dyDescent="0.25">
      <c r="B746"/>
    </row>
    <row r="747" spans="2:2" ht="112" customHeight="1" x14ac:dyDescent="0.25">
      <c r="B747"/>
    </row>
    <row r="748" spans="2:2" ht="112" customHeight="1" x14ac:dyDescent="0.25">
      <c r="B748"/>
    </row>
    <row r="749" spans="2:2" ht="112" customHeight="1" x14ac:dyDescent="0.25">
      <c r="B749"/>
    </row>
    <row r="750" spans="2:2" ht="112" customHeight="1" x14ac:dyDescent="0.25">
      <c r="B750"/>
    </row>
    <row r="751" spans="2:2" ht="112" customHeight="1" x14ac:dyDescent="0.25">
      <c r="B751"/>
    </row>
    <row r="752" spans="2:2" ht="112" customHeight="1" x14ac:dyDescent="0.25">
      <c r="B752"/>
    </row>
    <row r="753" spans="2:2" ht="112" customHeight="1" x14ac:dyDescent="0.25">
      <c r="B753"/>
    </row>
    <row r="754" spans="2:2" ht="112" customHeight="1" x14ac:dyDescent="0.25">
      <c r="B754"/>
    </row>
    <row r="755" spans="2:2" ht="112" customHeight="1" x14ac:dyDescent="0.25">
      <c r="B755"/>
    </row>
    <row r="756" spans="2:2" ht="112" customHeight="1" x14ac:dyDescent="0.25">
      <c r="B756"/>
    </row>
    <row r="757" spans="2:2" ht="112" customHeight="1" x14ac:dyDescent="0.25">
      <c r="B757"/>
    </row>
    <row r="758" spans="2:2" ht="112" customHeight="1" x14ac:dyDescent="0.25">
      <c r="B758"/>
    </row>
    <row r="759" spans="2:2" ht="112" customHeight="1" x14ac:dyDescent="0.25">
      <c r="B759"/>
    </row>
    <row r="760" spans="2:2" ht="112" customHeight="1" x14ac:dyDescent="0.25">
      <c r="B760"/>
    </row>
    <row r="761" spans="2:2" ht="112" customHeight="1" x14ac:dyDescent="0.25">
      <c r="B761"/>
    </row>
    <row r="762" spans="2:2" ht="112" customHeight="1" x14ac:dyDescent="0.25">
      <c r="B762"/>
    </row>
    <row r="763" spans="2:2" ht="112" customHeight="1" x14ac:dyDescent="0.25">
      <c r="B763"/>
    </row>
    <row r="764" spans="2:2" ht="112" customHeight="1" x14ac:dyDescent="0.25">
      <c r="B764"/>
    </row>
    <row r="765" spans="2:2" ht="112" customHeight="1" x14ac:dyDescent="0.25">
      <c r="B765"/>
    </row>
    <row r="766" spans="2:2" ht="14" x14ac:dyDescent="0.25">
      <c r="B766"/>
    </row>
  </sheetData>
  <autoFilter ref="A1:D192"/>
  <phoneticPr fontId="51" type="noConversion"/>
  <pageMargins left="0.35433070866141736" right="0" top="0" bottom="0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1"/>
  <sheetViews>
    <sheetView workbookViewId="0">
      <selection activeCell="M16" sqref="M16"/>
    </sheetView>
  </sheetViews>
  <sheetFormatPr defaultRowHeight="14" x14ac:dyDescent="0.25"/>
  <cols>
    <col min="1" max="1" width="11.6328125" bestFit="1" customWidth="1"/>
  </cols>
  <sheetData>
    <row r="1" spans="1:1" x14ac:dyDescent="0.25">
      <c r="A1" s="59" t="s">
        <v>5598</v>
      </c>
    </row>
    <row r="2" spans="1:1" x14ac:dyDescent="0.25">
      <c r="A2" s="59" t="s">
        <v>1611</v>
      </c>
    </row>
    <row r="3" spans="1:1" x14ac:dyDescent="0.25">
      <c r="A3" s="59" t="s">
        <v>2455</v>
      </c>
    </row>
    <row r="4" spans="1:1" x14ac:dyDescent="0.25">
      <c r="A4" s="59" t="s">
        <v>753</v>
      </c>
    </row>
    <row r="5" spans="1:1" x14ac:dyDescent="0.25">
      <c r="A5" s="59" t="s">
        <v>1434</v>
      </c>
    </row>
    <row r="6" spans="1:1" x14ac:dyDescent="0.25">
      <c r="A6" s="59" t="s">
        <v>2714</v>
      </c>
    </row>
    <row r="7" spans="1:1" x14ac:dyDescent="0.25">
      <c r="A7" s="59" t="s">
        <v>1578</v>
      </c>
    </row>
    <row r="8" spans="1:1" x14ac:dyDescent="0.25">
      <c r="A8" s="59" t="s">
        <v>2022</v>
      </c>
    </row>
    <row r="9" spans="1:1" x14ac:dyDescent="0.25">
      <c r="A9" s="59" t="s">
        <v>2169</v>
      </c>
    </row>
    <row r="10" spans="1:1" x14ac:dyDescent="0.25">
      <c r="A10" s="59" t="s">
        <v>367</v>
      </c>
    </row>
    <row r="11" spans="1:1" x14ac:dyDescent="0.25">
      <c r="A11" s="59" t="s">
        <v>2867</v>
      </c>
    </row>
    <row r="12" spans="1:1" x14ac:dyDescent="0.25">
      <c r="A12" s="59" t="s">
        <v>2857</v>
      </c>
    </row>
    <row r="13" spans="1:1" x14ac:dyDescent="0.25">
      <c r="A13" s="59" t="s">
        <v>1430</v>
      </c>
    </row>
    <row r="14" spans="1:1" x14ac:dyDescent="0.25">
      <c r="A14" s="59" t="s">
        <v>2993</v>
      </c>
    </row>
    <row r="15" spans="1:1" x14ac:dyDescent="0.25">
      <c r="A15" s="59" t="s">
        <v>1326</v>
      </c>
    </row>
    <row r="16" spans="1:1" x14ac:dyDescent="0.25">
      <c r="A16" s="59" t="s">
        <v>2716</v>
      </c>
    </row>
    <row r="17" spans="1:1" x14ac:dyDescent="0.25">
      <c r="A17" s="59" t="s">
        <v>1550</v>
      </c>
    </row>
    <row r="18" spans="1:1" x14ac:dyDescent="0.25">
      <c r="A18" s="59" t="s">
        <v>3240</v>
      </c>
    </row>
    <row r="19" spans="1:1" x14ac:dyDescent="0.25">
      <c r="A19" s="59" t="s">
        <v>5712</v>
      </c>
    </row>
    <row r="20" spans="1:1" x14ac:dyDescent="0.25">
      <c r="A20" s="59" t="s">
        <v>5734</v>
      </c>
    </row>
    <row r="21" spans="1:1" x14ac:dyDescent="0.25">
      <c r="A21" s="59" t="s">
        <v>2561</v>
      </c>
    </row>
  </sheetData>
  <phoneticPr fontId="51" type="noConversion"/>
  <pageMargins left="0.7" right="0.7" top="0.75" bottom="0.75" header="0.3" footer="0.3"/>
  <pageSetup paperSize="0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50"/>
  <sheetViews>
    <sheetView workbookViewId="0">
      <selection activeCell="D4" sqref="D4"/>
    </sheetView>
  </sheetViews>
  <sheetFormatPr defaultRowHeight="14" x14ac:dyDescent="0.25"/>
  <cols>
    <col min="1" max="1" width="19.7265625" customWidth="1"/>
    <col min="4" max="4" width="15.26953125" customWidth="1"/>
    <col min="14" max="14" width="12.6328125" customWidth="1"/>
  </cols>
  <sheetData>
    <row r="1" spans="1:14" ht="28" x14ac:dyDescent="0.25">
      <c r="A1" s="56" t="s">
        <v>7909</v>
      </c>
      <c r="D1" t="str">
        <f ca="1">H1&amp;"/"&amp;G1&amp;"/"&amp;I1</f>
        <v>Jul/26/2017</v>
      </c>
      <c r="G1" s="64">
        <f ca="1">DAY(N1)</f>
        <v>26</v>
      </c>
      <c r="H1" s="64" t="str">
        <f ca="1">TEXT(MONTH(N1)*28,"mmm")</f>
        <v>Jul</v>
      </c>
      <c r="I1" s="64">
        <f ca="1">YEAR(N1)</f>
        <v>2017</v>
      </c>
      <c r="N1">
        <f ca="1">TODAY()</f>
        <v>42942</v>
      </c>
    </row>
    <row r="2" spans="1:14" x14ac:dyDescent="0.25">
      <c r="D2" t="str">
        <f ca="1">IF(LEN(需打标签!B2),H2&amp;"/"&amp;G2&amp;"/"&amp;I2,"")</f>
        <v>Jul/26/2017</v>
      </c>
      <c r="G2" s="64">
        <f ca="1">DAY(需打标签!I2)</f>
        <v>26</v>
      </c>
      <c r="H2" s="64" t="str">
        <f ca="1">TEXT(MONTH(需打标签!I2)*28,"mmm")</f>
        <v>Jul</v>
      </c>
      <c r="I2" s="64">
        <f ca="1">YEAR(需打标签!I2)</f>
        <v>2017</v>
      </c>
    </row>
    <row r="3" spans="1:14" x14ac:dyDescent="0.25">
      <c r="D3" t="str">
        <f>IF(LEN(需打标签!B3),H3&amp;"/"&amp;G3&amp;"/"&amp;I3,"")</f>
        <v/>
      </c>
      <c r="G3" s="64" t="e">
        <f ca="1">DAY(需打标签!I3)</f>
        <v>#VALUE!</v>
      </c>
      <c r="H3" s="64" t="e">
        <f ca="1">TEXT(MONTH(需打标签!I3)*28,"mmm")</f>
        <v>#VALUE!</v>
      </c>
      <c r="I3" s="64" t="e">
        <f ca="1">YEAR(需打标签!I3)</f>
        <v>#VALUE!</v>
      </c>
    </row>
    <row r="4" spans="1:14" x14ac:dyDescent="0.25">
      <c r="D4" t="str">
        <f>IF(LEN(需打标签!B4),H4&amp;"/"&amp;G4&amp;"/"&amp;I4,"")</f>
        <v/>
      </c>
      <c r="G4" s="64" t="e">
        <f ca="1">DAY(需打标签!I4)</f>
        <v>#VALUE!</v>
      </c>
      <c r="H4" s="64" t="e">
        <f ca="1">TEXT(MONTH(需打标签!I4)*28,"mmm")</f>
        <v>#VALUE!</v>
      </c>
      <c r="I4" s="64" t="e">
        <f ca="1">YEAR(需打标签!I4)</f>
        <v>#VALUE!</v>
      </c>
    </row>
    <row r="5" spans="1:14" x14ac:dyDescent="0.25">
      <c r="D5" t="str">
        <f>IF(LEN(需打标签!B5),H5&amp;"/"&amp;G5&amp;"/"&amp;I5,"")</f>
        <v/>
      </c>
      <c r="G5" s="64" t="e">
        <f ca="1">DAY(需打标签!I5)</f>
        <v>#VALUE!</v>
      </c>
      <c r="H5" s="64" t="e">
        <f ca="1">TEXT(MONTH(需打标签!I5)*28,"mmm")</f>
        <v>#VALUE!</v>
      </c>
      <c r="I5" s="64" t="e">
        <f ca="1">YEAR(需打标签!I5)</f>
        <v>#VALUE!</v>
      </c>
    </row>
    <row r="6" spans="1:14" x14ac:dyDescent="0.25">
      <c r="D6" t="str">
        <f>IF(LEN(需打标签!B6),H6&amp;"/"&amp;G6&amp;"/"&amp;I6,"")</f>
        <v/>
      </c>
      <c r="G6" s="64" t="e">
        <f ca="1">DAY(需打标签!I6)</f>
        <v>#VALUE!</v>
      </c>
      <c r="H6" s="64" t="e">
        <f ca="1">TEXT(MONTH(需打标签!I6)*28,"mmm")</f>
        <v>#VALUE!</v>
      </c>
      <c r="I6" s="64" t="e">
        <f ca="1">YEAR(需打标签!I6)</f>
        <v>#VALUE!</v>
      </c>
    </row>
    <row r="7" spans="1:14" x14ac:dyDescent="0.25">
      <c r="D7" t="str">
        <f>IF(LEN(需打标签!B7),H7&amp;"/"&amp;G7&amp;"/"&amp;I7,"")</f>
        <v/>
      </c>
      <c r="G7" s="64" t="e">
        <f ca="1">DAY(需打标签!I7)</f>
        <v>#VALUE!</v>
      </c>
      <c r="H7" s="64" t="e">
        <f ca="1">TEXT(MONTH(需打标签!I7)*28,"mmm")</f>
        <v>#VALUE!</v>
      </c>
      <c r="I7" s="64" t="e">
        <f ca="1">YEAR(需打标签!I7)</f>
        <v>#VALUE!</v>
      </c>
    </row>
    <row r="8" spans="1:14" x14ac:dyDescent="0.25">
      <c r="D8" t="str">
        <f>IF(LEN(需打标签!B8),H8&amp;"/"&amp;G8&amp;"/"&amp;I8,"")</f>
        <v/>
      </c>
      <c r="G8" s="64" t="e">
        <f ca="1">DAY(需打标签!I8)</f>
        <v>#VALUE!</v>
      </c>
      <c r="H8" s="64" t="e">
        <f ca="1">TEXT(MONTH(需打标签!I8)*28,"mmm")</f>
        <v>#VALUE!</v>
      </c>
      <c r="I8" s="64" t="e">
        <f ca="1">YEAR(需打标签!I8)</f>
        <v>#VALUE!</v>
      </c>
    </row>
    <row r="9" spans="1:14" x14ac:dyDescent="0.25">
      <c r="D9" t="str">
        <f>IF(LEN(需打标签!B9),H9&amp;"/"&amp;G9&amp;"/"&amp;I9,"")</f>
        <v/>
      </c>
      <c r="G9" s="64" t="e">
        <f ca="1">DAY(需打标签!I9)</f>
        <v>#VALUE!</v>
      </c>
      <c r="H9" s="64" t="e">
        <f ca="1">TEXT(MONTH(需打标签!I9)*28,"mmm")</f>
        <v>#VALUE!</v>
      </c>
      <c r="I9" s="64" t="e">
        <f ca="1">YEAR(需打标签!I9)</f>
        <v>#VALUE!</v>
      </c>
    </row>
    <row r="10" spans="1:14" x14ac:dyDescent="0.25">
      <c r="D10" t="str">
        <f>IF(LEN(需打标签!B10),H10&amp;"/"&amp;G10&amp;"/"&amp;I10,"")</f>
        <v/>
      </c>
      <c r="G10" s="64" t="e">
        <f ca="1">DAY(需打标签!I10)</f>
        <v>#VALUE!</v>
      </c>
      <c r="H10" s="64" t="e">
        <f ca="1">TEXT(MONTH(需打标签!I10)*28,"mmm")</f>
        <v>#VALUE!</v>
      </c>
      <c r="I10" s="64" t="e">
        <f ca="1">YEAR(需打标签!I10)</f>
        <v>#VALUE!</v>
      </c>
    </row>
    <row r="11" spans="1:14" x14ac:dyDescent="0.25">
      <c r="D11" t="str">
        <f>IF(LEN(需打标签!B11),H11&amp;"/"&amp;G11&amp;"/"&amp;I11,"")</f>
        <v/>
      </c>
      <c r="G11" s="64" t="e">
        <f ca="1">DAY(需打标签!I11)</f>
        <v>#VALUE!</v>
      </c>
      <c r="H11" s="64" t="e">
        <f ca="1">TEXT(MONTH(需打标签!I11)*28,"mmm")</f>
        <v>#VALUE!</v>
      </c>
      <c r="I11" s="64" t="e">
        <f ca="1">YEAR(需打标签!I11)</f>
        <v>#VALUE!</v>
      </c>
    </row>
    <row r="12" spans="1:14" x14ac:dyDescent="0.25">
      <c r="D12" t="str">
        <f>IF(LEN(需打标签!B12),H12&amp;"/"&amp;G12&amp;"/"&amp;I12,"")</f>
        <v/>
      </c>
      <c r="G12" s="64" t="e">
        <f ca="1">DAY(需打标签!I12)</f>
        <v>#VALUE!</v>
      </c>
      <c r="H12" s="64" t="e">
        <f ca="1">TEXT(MONTH(需打标签!I12)*28,"mmm")</f>
        <v>#VALUE!</v>
      </c>
      <c r="I12" s="64" t="e">
        <f ca="1">YEAR(需打标签!I12)</f>
        <v>#VALUE!</v>
      </c>
    </row>
    <row r="13" spans="1:14" x14ac:dyDescent="0.25">
      <c r="D13" t="str">
        <f>IF(LEN(需打标签!B13),H13&amp;"/"&amp;G13&amp;"/"&amp;I13,"")</f>
        <v/>
      </c>
      <c r="G13" s="64" t="e">
        <f ca="1">DAY(需打标签!I13)</f>
        <v>#VALUE!</v>
      </c>
      <c r="H13" s="64" t="e">
        <f ca="1">TEXT(MONTH(需打标签!I13)*28,"mmm")</f>
        <v>#VALUE!</v>
      </c>
      <c r="I13" s="64" t="e">
        <f ca="1">YEAR(需打标签!I13)</f>
        <v>#VALUE!</v>
      </c>
    </row>
    <row r="14" spans="1:14" x14ac:dyDescent="0.25">
      <c r="D14" t="str">
        <f>IF(LEN(需打标签!B14),H14&amp;"/"&amp;G14&amp;"/"&amp;I14,"")</f>
        <v/>
      </c>
      <c r="G14" s="64" t="e">
        <f ca="1">DAY(需打标签!I14)</f>
        <v>#VALUE!</v>
      </c>
      <c r="H14" s="64" t="e">
        <f ca="1">TEXT(MONTH(需打标签!I14)*28,"mmm")</f>
        <v>#VALUE!</v>
      </c>
      <c r="I14" s="64" t="e">
        <f ca="1">YEAR(需打标签!I14)</f>
        <v>#VALUE!</v>
      </c>
    </row>
    <row r="15" spans="1:14" x14ac:dyDescent="0.25">
      <c r="D15" t="str">
        <f>IF(LEN(需打标签!B15),H15&amp;"/"&amp;G15&amp;"/"&amp;I15,"")</f>
        <v/>
      </c>
      <c r="G15" s="64" t="e">
        <f ca="1">DAY(需打标签!I15)</f>
        <v>#VALUE!</v>
      </c>
      <c r="H15" s="64" t="e">
        <f ca="1">TEXT(MONTH(需打标签!I15)*28,"mmm")</f>
        <v>#VALUE!</v>
      </c>
      <c r="I15" s="64" t="e">
        <f ca="1">YEAR(需打标签!I15)</f>
        <v>#VALUE!</v>
      </c>
    </row>
    <row r="16" spans="1:14" x14ac:dyDescent="0.25">
      <c r="D16" t="str">
        <f>IF(LEN(需打标签!B16),H16&amp;"/"&amp;G16&amp;"/"&amp;I16,"")</f>
        <v/>
      </c>
      <c r="G16" s="64" t="e">
        <f ca="1">DAY(需打标签!I16)</f>
        <v>#VALUE!</v>
      </c>
      <c r="H16" s="64" t="e">
        <f ca="1">TEXT(MONTH(需打标签!I16)*28,"mmm")</f>
        <v>#VALUE!</v>
      </c>
      <c r="I16" s="64" t="e">
        <f ca="1">YEAR(需打标签!I16)</f>
        <v>#VALUE!</v>
      </c>
    </row>
    <row r="17" spans="4:9" x14ac:dyDescent="0.25">
      <c r="D17" t="str">
        <f>IF(LEN(需打标签!B17),H17&amp;"/"&amp;G17&amp;"/"&amp;I17,"")</f>
        <v/>
      </c>
      <c r="G17" s="64" t="e">
        <f ca="1">DAY(需打标签!I17)</f>
        <v>#VALUE!</v>
      </c>
      <c r="H17" s="64" t="e">
        <f ca="1">TEXT(MONTH(需打标签!I17)*28,"mmm")</f>
        <v>#VALUE!</v>
      </c>
      <c r="I17" s="64" t="e">
        <f ca="1">YEAR(需打标签!I17)</f>
        <v>#VALUE!</v>
      </c>
    </row>
    <row r="18" spans="4:9" x14ac:dyDescent="0.25">
      <c r="D18" t="str">
        <f>IF(LEN(需打标签!B18),H18&amp;"/"&amp;G18&amp;"/"&amp;I18,"")</f>
        <v/>
      </c>
      <c r="G18" s="64" t="e">
        <f ca="1">DAY(需打标签!I18)</f>
        <v>#VALUE!</v>
      </c>
      <c r="H18" s="64" t="e">
        <f ca="1">TEXT(MONTH(需打标签!I18)*28,"mmm")</f>
        <v>#VALUE!</v>
      </c>
      <c r="I18" s="64" t="e">
        <f ca="1">YEAR(需打标签!I18)</f>
        <v>#VALUE!</v>
      </c>
    </row>
    <row r="19" spans="4:9" x14ac:dyDescent="0.25">
      <c r="D19" t="str">
        <f>IF(LEN(需打标签!B19),H19&amp;"/"&amp;G19&amp;"/"&amp;I19,"")</f>
        <v/>
      </c>
      <c r="G19" s="64" t="e">
        <f ca="1">DAY(需打标签!I19)</f>
        <v>#VALUE!</v>
      </c>
      <c r="H19" s="64" t="e">
        <f ca="1">TEXT(MONTH(需打标签!I19)*28,"mmm")</f>
        <v>#VALUE!</v>
      </c>
      <c r="I19" s="64" t="e">
        <f ca="1">YEAR(需打标签!I19)</f>
        <v>#VALUE!</v>
      </c>
    </row>
    <row r="20" spans="4:9" x14ac:dyDescent="0.25">
      <c r="D20" t="str">
        <f>IF(LEN(需打标签!B20),H20&amp;"/"&amp;G20&amp;"/"&amp;I20,"")</f>
        <v/>
      </c>
      <c r="G20" s="64" t="e">
        <f ca="1">DAY(需打标签!I20)</f>
        <v>#VALUE!</v>
      </c>
      <c r="H20" s="64" t="e">
        <f ca="1">TEXT(MONTH(需打标签!I20)*28,"mmm")</f>
        <v>#VALUE!</v>
      </c>
      <c r="I20" s="64" t="e">
        <f ca="1">YEAR(需打标签!I20)</f>
        <v>#VALUE!</v>
      </c>
    </row>
    <row r="21" spans="4:9" x14ac:dyDescent="0.25">
      <c r="D21" t="str">
        <f>IF(LEN(需打标签!B21),H21&amp;"/"&amp;G21&amp;"/"&amp;I21,"")</f>
        <v/>
      </c>
      <c r="G21" s="64" t="e">
        <f ca="1">DAY(需打标签!I21)</f>
        <v>#VALUE!</v>
      </c>
      <c r="H21" s="64" t="e">
        <f ca="1">TEXT(MONTH(需打标签!I21)*28,"mmm")</f>
        <v>#VALUE!</v>
      </c>
      <c r="I21" s="64" t="e">
        <f ca="1">YEAR(需打标签!I21)</f>
        <v>#VALUE!</v>
      </c>
    </row>
    <row r="22" spans="4:9" x14ac:dyDescent="0.25">
      <c r="D22" t="str">
        <f>IF(LEN(需打标签!B22),H22&amp;"/"&amp;G22&amp;"/"&amp;I22,"")</f>
        <v/>
      </c>
      <c r="G22" s="64" t="e">
        <f ca="1">DAY(需打标签!I22)</f>
        <v>#VALUE!</v>
      </c>
      <c r="H22" s="64" t="e">
        <f ca="1">TEXT(MONTH(需打标签!I22)*28,"mmm")</f>
        <v>#VALUE!</v>
      </c>
      <c r="I22" s="64" t="e">
        <f ca="1">YEAR(需打标签!I22)</f>
        <v>#VALUE!</v>
      </c>
    </row>
    <row r="23" spans="4:9" x14ac:dyDescent="0.25">
      <c r="D23" t="str">
        <f>IF(LEN(需打标签!B23),H23&amp;"/"&amp;G23&amp;"/"&amp;I23,"")</f>
        <v/>
      </c>
      <c r="G23" s="64" t="e">
        <f ca="1">DAY(需打标签!I23)</f>
        <v>#VALUE!</v>
      </c>
      <c r="H23" s="64" t="e">
        <f ca="1">TEXT(MONTH(需打标签!I23)*28,"mmm")</f>
        <v>#VALUE!</v>
      </c>
      <c r="I23" s="64" t="e">
        <f ca="1">YEAR(需打标签!I23)</f>
        <v>#VALUE!</v>
      </c>
    </row>
    <row r="24" spans="4:9" x14ac:dyDescent="0.25">
      <c r="D24" t="str">
        <f>IF(LEN(需打标签!B24),H24&amp;"/"&amp;G24&amp;"/"&amp;I24,"")</f>
        <v/>
      </c>
      <c r="G24" s="64" t="e">
        <f ca="1">DAY(需打标签!I24)</f>
        <v>#VALUE!</v>
      </c>
      <c r="H24" s="64" t="e">
        <f ca="1">TEXT(MONTH(需打标签!I24)*28,"mmm")</f>
        <v>#VALUE!</v>
      </c>
      <c r="I24" s="64" t="e">
        <f ca="1">YEAR(需打标签!I24)</f>
        <v>#VALUE!</v>
      </c>
    </row>
    <row r="25" spans="4:9" x14ac:dyDescent="0.25">
      <c r="D25" t="str">
        <f>IF(LEN(需打标签!B25),H25&amp;"/"&amp;G25&amp;"/"&amp;I25,"")</f>
        <v/>
      </c>
      <c r="G25" s="64" t="e">
        <f ca="1">DAY(需打标签!I25)</f>
        <v>#VALUE!</v>
      </c>
      <c r="H25" s="64" t="e">
        <f ca="1">TEXT(MONTH(需打标签!I25)*28,"mmm")</f>
        <v>#VALUE!</v>
      </c>
      <c r="I25" s="64" t="e">
        <f ca="1">YEAR(需打标签!I25)</f>
        <v>#VALUE!</v>
      </c>
    </row>
    <row r="26" spans="4:9" x14ac:dyDescent="0.25">
      <c r="D26" t="str">
        <f>IF(LEN(需打标签!B26),H26&amp;"/"&amp;G26&amp;"/"&amp;I26,"")</f>
        <v/>
      </c>
      <c r="G26" s="64" t="e">
        <f ca="1">DAY(需打标签!I26)</f>
        <v>#VALUE!</v>
      </c>
      <c r="H26" s="64" t="e">
        <f ca="1">TEXT(MONTH(需打标签!I26)*28,"mmm")</f>
        <v>#VALUE!</v>
      </c>
      <c r="I26" s="64" t="e">
        <f ca="1">YEAR(需打标签!I26)</f>
        <v>#VALUE!</v>
      </c>
    </row>
    <row r="27" spans="4:9" x14ac:dyDescent="0.25">
      <c r="D27" t="str">
        <f>IF(LEN(需打标签!B27),H27&amp;"/"&amp;G27&amp;"/"&amp;I27,"")</f>
        <v/>
      </c>
      <c r="G27" s="64" t="e">
        <f ca="1">DAY(需打标签!I27)</f>
        <v>#VALUE!</v>
      </c>
      <c r="H27" s="64" t="e">
        <f ca="1">TEXT(MONTH(需打标签!I27)*28,"mmm")</f>
        <v>#VALUE!</v>
      </c>
      <c r="I27" s="64" t="e">
        <f ca="1">YEAR(需打标签!I27)</f>
        <v>#VALUE!</v>
      </c>
    </row>
    <row r="28" spans="4:9" x14ac:dyDescent="0.25">
      <c r="D28" t="str">
        <f>IF(LEN(需打标签!B28),H28&amp;"/"&amp;G28&amp;"/"&amp;I28,"")</f>
        <v/>
      </c>
      <c r="G28" s="64" t="e">
        <f ca="1">DAY(需打标签!I28)</f>
        <v>#VALUE!</v>
      </c>
      <c r="H28" s="64" t="e">
        <f ca="1">TEXT(MONTH(需打标签!I28)*28,"mmm")</f>
        <v>#VALUE!</v>
      </c>
      <c r="I28" s="64" t="e">
        <f ca="1">YEAR(需打标签!I28)</f>
        <v>#VALUE!</v>
      </c>
    </row>
    <row r="29" spans="4:9" x14ac:dyDescent="0.25">
      <c r="D29" t="str">
        <f>IF(LEN(需打标签!B29),H29&amp;"/"&amp;G29&amp;"/"&amp;I29,"")</f>
        <v/>
      </c>
      <c r="G29" s="64" t="e">
        <f ca="1">DAY(需打标签!I29)</f>
        <v>#VALUE!</v>
      </c>
      <c r="H29" s="64" t="e">
        <f ca="1">TEXT(MONTH(需打标签!I29)*28,"mmm")</f>
        <v>#VALUE!</v>
      </c>
      <c r="I29" s="64" t="e">
        <f ca="1">YEAR(需打标签!I29)</f>
        <v>#VALUE!</v>
      </c>
    </row>
    <row r="30" spans="4:9" x14ac:dyDescent="0.25">
      <c r="D30" t="str">
        <f>IF(LEN(需打标签!B30),H30&amp;"/"&amp;G30&amp;"/"&amp;I30,"")</f>
        <v/>
      </c>
      <c r="G30" s="64" t="e">
        <f ca="1">DAY(需打标签!I30)</f>
        <v>#VALUE!</v>
      </c>
      <c r="H30" s="64" t="e">
        <f ca="1">TEXT(MONTH(需打标签!I30)*28,"mmm")</f>
        <v>#VALUE!</v>
      </c>
      <c r="I30" s="64" t="e">
        <f ca="1">YEAR(需打标签!I30)</f>
        <v>#VALUE!</v>
      </c>
    </row>
    <row r="31" spans="4:9" x14ac:dyDescent="0.25">
      <c r="D31" t="str">
        <f>IF(LEN(需打标签!B31),H31&amp;"/"&amp;G31&amp;"/"&amp;I31,"")</f>
        <v/>
      </c>
      <c r="G31" s="64" t="e">
        <f ca="1">DAY(需打标签!I31)</f>
        <v>#VALUE!</v>
      </c>
      <c r="H31" s="64" t="e">
        <f ca="1">TEXT(MONTH(需打标签!I31)*28,"mmm")</f>
        <v>#VALUE!</v>
      </c>
      <c r="I31" s="64" t="e">
        <f ca="1">YEAR(需打标签!I31)</f>
        <v>#VALUE!</v>
      </c>
    </row>
    <row r="32" spans="4:9" x14ac:dyDescent="0.25">
      <c r="D32" t="str">
        <f>IF(LEN(需打标签!B32),H32&amp;"/"&amp;G32&amp;"/"&amp;I32,"")</f>
        <v/>
      </c>
      <c r="G32" s="64" t="e">
        <f ca="1">DAY(需打标签!I32)</f>
        <v>#VALUE!</v>
      </c>
      <c r="H32" s="64" t="e">
        <f ca="1">TEXT(MONTH(需打标签!I32)*28,"mmm")</f>
        <v>#VALUE!</v>
      </c>
      <c r="I32" s="64" t="e">
        <f ca="1">YEAR(需打标签!I32)</f>
        <v>#VALUE!</v>
      </c>
    </row>
    <row r="33" spans="4:9" x14ac:dyDescent="0.25">
      <c r="D33" t="str">
        <f>IF(LEN(需打标签!B33),H33&amp;"/"&amp;G33&amp;"/"&amp;I33,"")</f>
        <v/>
      </c>
      <c r="G33" s="64" t="e">
        <f ca="1">DAY(需打标签!I33)</f>
        <v>#VALUE!</v>
      </c>
      <c r="H33" s="64" t="e">
        <f ca="1">TEXT(MONTH(需打标签!I33)*28,"mmm")</f>
        <v>#VALUE!</v>
      </c>
      <c r="I33" s="64" t="e">
        <f ca="1">YEAR(需打标签!I33)</f>
        <v>#VALUE!</v>
      </c>
    </row>
    <row r="34" spans="4:9" x14ac:dyDescent="0.25">
      <c r="D34" t="str">
        <f>IF(LEN(需打标签!B34),H34&amp;"/"&amp;G34&amp;"/"&amp;I34,"")</f>
        <v/>
      </c>
      <c r="G34" s="64" t="e">
        <f ca="1">DAY(需打标签!I34)</f>
        <v>#VALUE!</v>
      </c>
      <c r="H34" s="64" t="e">
        <f ca="1">TEXT(MONTH(需打标签!I34)*28,"mmm")</f>
        <v>#VALUE!</v>
      </c>
      <c r="I34" s="64" t="e">
        <f ca="1">YEAR(需打标签!I34)</f>
        <v>#VALUE!</v>
      </c>
    </row>
    <row r="35" spans="4:9" x14ac:dyDescent="0.25">
      <c r="D35" t="str">
        <f>IF(LEN(需打标签!B35),H35&amp;"/"&amp;G35&amp;"/"&amp;I35,"")</f>
        <v/>
      </c>
      <c r="G35" s="64" t="e">
        <f ca="1">DAY(需打标签!I35)</f>
        <v>#VALUE!</v>
      </c>
      <c r="H35" s="64" t="e">
        <f ca="1">TEXT(MONTH(需打标签!I35)*28,"mmm")</f>
        <v>#VALUE!</v>
      </c>
      <c r="I35" s="64" t="e">
        <f ca="1">YEAR(需打标签!I35)</f>
        <v>#VALUE!</v>
      </c>
    </row>
    <row r="36" spans="4:9" x14ac:dyDescent="0.25">
      <c r="D36" t="str">
        <f>IF(LEN(需打标签!B36),H36&amp;"/"&amp;G36&amp;"/"&amp;I36,"")</f>
        <v/>
      </c>
      <c r="G36" s="64" t="e">
        <f ca="1">DAY(需打标签!I36)</f>
        <v>#VALUE!</v>
      </c>
      <c r="H36" s="64" t="e">
        <f ca="1">TEXT(MONTH(需打标签!I36)*28,"mmm")</f>
        <v>#VALUE!</v>
      </c>
      <c r="I36" s="64" t="e">
        <f ca="1">YEAR(需打标签!I36)</f>
        <v>#VALUE!</v>
      </c>
    </row>
    <row r="37" spans="4:9" x14ac:dyDescent="0.25">
      <c r="D37" t="str">
        <f>IF(LEN(需打标签!B37),H37&amp;"/"&amp;G37&amp;"/"&amp;I37,"")</f>
        <v/>
      </c>
      <c r="G37" s="64" t="e">
        <f ca="1">DAY(需打标签!I37)</f>
        <v>#VALUE!</v>
      </c>
      <c r="H37" s="64" t="e">
        <f ca="1">TEXT(MONTH(需打标签!I37)*28,"mmm")</f>
        <v>#VALUE!</v>
      </c>
      <c r="I37" s="64" t="e">
        <f ca="1">YEAR(需打标签!I37)</f>
        <v>#VALUE!</v>
      </c>
    </row>
    <row r="38" spans="4:9" x14ac:dyDescent="0.25">
      <c r="D38" t="str">
        <f>IF(LEN(需打标签!B38),H38&amp;"/"&amp;G38&amp;"/"&amp;I38,"")</f>
        <v/>
      </c>
      <c r="G38" s="64" t="e">
        <f ca="1">DAY(需打标签!I38)</f>
        <v>#VALUE!</v>
      </c>
      <c r="H38" s="64" t="e">
        <f ca="1">TEXT(MONTH(需打标签!I38)*28,"mmm")</f>
        <v>#VALUE!</v>
      </c>
      <c r="I38" s="64" t="e">
        <f ca="1">YEAR(需打标签!I38)</f>
        <v>#VALUE!</v>
      </c>
    </row>
    <row r="39" spans="4:9" x14ac:dyDescent="0.25">
      <c r="D39" t="str">
        <f>IF(LEN(需打标签!B39),H39&amp;"/"&amp;G39&amp;"/"&amp;I39,"")</f>
        <v/>
      </c>
      <c r="G39" s="64" t="e">
        <f ca="1">DAY(需打标签!I39)</f>
        <v>#VALUE!</v>
      </c>
      <c r="H39" s="64" t="e">
        <f ca="1">TEXT(MONTH(需打标签!I39)*28,"mmm")</f>
        <v>#VALUE!</v>
      </c>
      <c r="I39" s="64" t="e">
        <f ca="1">YEAR(需打标签!I39)</f>
        <v>#VALUE!</v>
      </c>
    </row>
    <row r="40" spans="4:9" x14ac:dyDescent="0.25">
      <c r="D40" t="str">
        <f>IF(LEN(需打标签!B40),H40&amp;"/"&amp;G40&amp;"/"&amp;I40,"")</f>
        <v/>
      </c>
      <c r="G40" s="64" t="e">
        <f ca="1">DAY(需打标签!I40)</f>
        <v>#VALUE!</v>
      </c>
      <c r="H40" s="64" t="e">
        <f ca="1">TEXT(MONTH(需打标签!I40)*28,"mmm")</f>
        <v>#VALUE!</v>
      </c>
      <c r="I40" s="64" t="e">
        <f ca="1">YEAR(需打标签!I40)</f>
        <v>#VALUE!</v>
      </c>
    </row>
    <row r="41" spans="4:9" x14ac:dyDescent="0.25">
      <c r="D41" t="str">
        <f>IF(LEN(需打标签!B41),H41&amp;"/"&amp;G41&amp;"/"&amp;I41,"")</f>
        <v/>
      </c>
      <c r="G41" s="64" t="e">
        <f ca="1">DAY(需打标签!I41)</f>
        <v>#VALUE!</v>
      </c>
      <c r="H41" s="64" t="e">
        <f ca="1">TEXT(MONTH(需打标签!I41)*28,"mmm")</f>
        <v>#VALUE!</v>
      </c>
      <c r="I41" s="64" t="e">
        <f ca="1">YEAR(需打标签!I41)</f>
        <v>#VALUE!</v>
      </c>
    </row>
    <row r="42" spans="4:9" x14ac:dyDescent="0.25">
      <c r="D42" t="str">
        <f>IF(LEN(需打标签!B42),H42&amp;"/"&amp;G42&amp;"/"&amp;I42,"")</f>
        <v/>
      </c>
      <c r="G42" s="64" t="e">
        <f ca="1">DAY(需打标签!I42)</f>
        <v>#VALUE!</v>
      </c>
      <c r="H42" s="64" t="e">
        <f ca="1">TEXT(MONTH(需打标签!I42)*28,"mmm")</f>
        <v>#VALUE!</v>
      </c>
      <c r="I42" s="64" t="e">
        <f ca="1">YEAR(需打标签!I42)</f>
        <v>#VALUE!</v>
      </c>
    </row>
    <row r="43" spans="4:9" x14ac:dyDescent="0.25">
      <c r="D43" t="str">
        <f>IF(LEN(需打标签!B43),H43&amp;"/"&amp;G43&amp;"/"&amp;I43,"")</f>
        <v/>
      </c>
      <c r="G43" s="64" t="e">
        <f ca="1">DAY(需打标签!I43)</f>
        <v>#VALUE!</v>
      </c>
      <c r="H43" s="64" t="e">
        <f ca="1">TEXT(MONTH(需打标签!I43)*28,"mmm")</f>
        <v>#VALUE!</v>
      </c>
      <c r="I43" s="64" t="e">
        <f ca="1">YEAR(需打标签!I43)</f>
        <v>#VALUE!</v>
      </c>
    </row>
    <row r="44" spans="4:9" x14ac:dyDescent="0.25">
      <c r="D44" t="str">
        <f>IF(LEN(需打标签!B44),H44&amp;"/"&amp;G44&amp;"/"&amp;I44,"")</f>
        <v/>
      </c>
      <c r="G44" s="64" t="e">
        <f ca="1">DAY(需打标签!I44)</f>
        <v>#VALUE!</v>
      </c>
      <c r="H44" s="64" t="e">
        <f ca="1">TEXT(MONTH(需打标签!I44)*28,"mmm")</f>
        <v>#VALUE!</v>
      </c>
      <c r="I44" s="64" t="e">
        <f ca="1">YEAR(需打标签!I44)</f>
        <v>#VALUE!</v>
      </c>
    </row>
    <row r="45" spans="4:9" x14ac:dyDescent="0.25">
      <c r="D45" t="str">
        <f>IF(LEN(需打标签!B45),H45&amp;"/"&amp;G45&amp;"/"&amp;I45,"")</f>
        <v/>
      </c>
      <c r="G45" s="64" t="e">
        <f ca="1">DAY(需打标签!I45)</f>
        <v>#VALUE!</v>
      </c>
      <c r="H45" s="64" t="e">
        <f ca="1">TEXT(MONTH(需打标签!I45)*28,"mmm")</f>
        <v>#VALUE!</v>
      </c>
      <c r="I45" s="64" t="e">
        <f ca="1">YEAR(需打标签!I45)</f>
        <v>#VALUE!</v>
      </c>
    </row>
    <row r="46" spans="4:9" x14ac:dyDescent="0.25">
      <c r="D46" t="str">
        <f>IF(LEN(需打标签!B46),H46&amp;"/"&amp;G46&amp;"/"&amp;I46,"")</f>
        <v/>
      </c>
      <c r="G46" s="64" t="e">
        <f ca="1">DAY(需打标签!I46)</f>
        <v>#VALUE!</v>
      </c>
      <c r="H46" s="64" t="e">
        <f ca="1">TEXT(MONTH(需打标签!I46)*28,"mmm")</f>
        <v>#VALUE!</v>
      </c>
      <c r="I46" s="64" t="e">
        <f ca="1">YEAR(需打标签!I46)</f>
        <v>#VALUE!</v>
      </c>
    </row>
    <row r="47" spans="4:9" x14ac:dyDescent="0.25">
      <c r="D47" t="str">
        <f>IF(LEN(需打标签!B47),H47&amp;"/"&amp;G47&amp;"/"&amp;I47,"")</f>
        <v/>
      </c>
      <c r="G47" s="64" t="e">
        <f ca="1">DAY(需打标签!I47)</f>
        <v>#VALUE!</v>
      </c>
      <c r="H47" s="64" t="e">
        <f ca="1">TEXT(MONTH(需打标签!I47)*28,"mmm")</f>
        <v>#VALUE!</v>
      </c>
      <c r="I47" s="64" t="e">
        <f ca="1">YEAR(需打标签!I47)</f>
        <v>#VALUE!</v>
      </c>
    </row>
    <row r="48" spans="4:9" x14ac:dyDescent="0.25">
      <c r="D48" t="str">
        <f>IF(LEN(需打标签!B48),H48&amp;"/"&amp;G48&amp;"/"&amp;I48,"")</f>
        <v/>
      </c>
      <c r="G48" s="64" t="e">
        <f ca="1">DAY(需打标签!I48)</f>
        <v>#VALUE!</v>
      </c>
      <c r="H48" s="64" t="e">
        <f ca="1">TEXT(MONTH(需打标签!I48)*28,"mmm")</f>
        <v>#VALUE!</v>
      </c>
      <c r="I48" s="64" t="e">
        <f ca="1">YEAR(需打标签!I48)</f>
        <v>#VALUE!</v>
      </c>
    </row>
    <row r="49" spans="4:9" x14ac:dyDescent="0.25">
      <c r="D49" t="str">
        <f>IF(LEN(需打标签!B49),H49&amp;"/"&amp;G49&amp;"/"&amp;I49,"")</f>
        <v/>
      </c>
      <c r="G49" s="64" t="e">
        <f ca="1">DAY(需打标签!I49)</f>
        <v>#VALUE!</v>
      </c>
      <c r="H49" s="64" t="e">
        <f ca="1">TEXT(MONTH(需打标签!I49)*28,"mmm")</f>
        <v>#VALUE!</v>
      </c>
      <c r="I49" s="64" t="e">
        <f ca="1">YEAR(需打标签!I49)</f>
        <v>#VALUE!</v>
      </c>
    </row>
    <row r="50" spans="4:9" x14ac:dyDescent="0.25">
      <c r="D50" t="str">
        <f>IF(LEN(需打标签!B50),H50&amp;"/"&amp;G50&amp;"/"&amp;I50,"")</f>
        <v/>
      </c>
      <c r="G50" s="64" t="e">
        <f ca="1">DAY(需打标签!I50)</f>
        <v>#VALUE!</v>
      </c>
      <c r="H50" s="64" t="e">
        <f ca="1">TEXT(MONTH(需打标签!I50)*28,"mmm")</f>
        <v>#VALUE!</v>
      </c>
      <c r="I50" s="64" t="e">
        <f ca="1">YEAR(需打标签!I50)</f>
        <v>#VALUE!</v>
      </c>
    </row>
    <row r="51" spans="4:9" x14ac:dyDescent="0.25">
      <c r="D51" t="str">
        <f>IF(LEN(需打标签!B51),H51&amp;"/"&amp;G51&amp;"/"&amp;I51,"")</f>
        <v/>
      </c>
      <c r="G51" s="64" t="e">
        <f ca="1">DAY(需打标签!I51)</f>
        <v>#VALUE!</v>
      </c>
      <c r="H51" s="64" t="e">
        <f ca="1">TEXT(MONTH(需打标签!I51)*28,"mmm")</f>
        <v>#VALUE!</v>
      </c>
      <c r="I51" s="64" t="e">
        <f ca="1">YEAR(需打标签!I51)</f>
        <v>#VALUE!</v>
      </c>
    </row>
    <row r="52" spans="4:9" x14ac:dyDescent="0.25">
      <c r="D52" t="str">
        <f>IF(LEN(需打标签!B52),H52&amp;"/"&amp;G52&amp;"/"&amp;I52,"")</f>
        <v/>
      </c>
      <c r="G52" s="64" t="e">
        <f ca="1">DAY(需打标签!I52)</f>
        <v>#VALUE!</v>
      </c>
      <c r="H52" s="64" t="e">
        <f ca="1">TEXT(MONTH(需打标签!I52)*28,"mmm")</f>
        <v>#VALUE!</v>
      </c>
      <c r="I52" s="64" t="e">
        <f ca="1">YEAR(需打标签!I52)</f>
        <v>#VALUE!</v>
      </c>
    </row>
    <row r="53" spans="4:9" x14ac:dyDescent="0.25">
      <c r="D53" t="str">
        <f>IF(LEN(需打标签!B53),H53&amp;"/"&amp;G53&amp;"/"&amp;I53,"")</f>
        <v/>
      </c>
      <c r="G53" s="64" t="e">
        <f ca="1">DAY(需打标签!I53)</f>
        <v>#VALUE!</v>
      </c>
      <c r="H53" s="64" t="e">
        <f ca="1">TEXT(MONTH(需打标签!I53)*28,"mmm")</f>
        <v>#VALUE!</v>
      </c>
      <c r="I53" s="64" t="e">
        <f ca="1">YEAR(需打标签!I53)</f>
        <v>#VALUE!</v>
      </c>
    </row>
    <row r="54" spans="4:9" x14ac:dyDescent="0.25">
      <c r="D54" t="str">
        <f>IF(LEN(需打标签!B54),H54&amp;"/"&amp;G54&amp;"/"&amp;I54,"")</f>
        <v/>
      </c>
      <c r="G54" s="64" t="e">
        <f ca="1">DAY(需打标签!I54)</f>
        <v>#VALUE!</v>
      </c>
      <c r="H54" s="64" t="e">
        <f ca="1">TEXT(MONTH(需打标签!I54)*28,"mmm")</f>
        <v>#VALUE!</v>
      </c>
      <c r="I54" s="64" t="e">
        <f ca="1">YEAR(需打标签!I54)</f>
        <v>#VALUE!</v>
      </c>
    </row>
    <row r="55" spans="4:9" x14ac:dyDescent="0.25">
      <c r="D55" t="str">
        <f>IF(LEN(需打标签!B55),H55&amp;"/"&amp;G55&amp;"/"&amp;I55,"")</f>
        <v/>
      </c>
      <c r="G55" s="64" t="e">
        <f ca="1">DAY(需打标签!I55)</f>
        <v>#VALUE!</v>
      </c>
      <c r="H55" s="64" t="e">
        <f ca="1">TEXT(MONTH(需打标签!I55)*28,"mmm")</f>
        <v>#VALUE!</v>
      </c>
      <c r="I55" s="64" t="e">
        <f ca="1">YEAR(需打标签!I55)</f>
        <v>#VALUE!</v>
      </c>
    </row>
    <row r="56" spans="4:9" x14ac:dyDescent="0.25">
      <c r="D56" t="str">
        <f>IF(LEN(需打标签!B56),H56&amp;"/"&amp;G56&amp;"/"&amp;I56,"")</f>
        <v/>
      </c>
      <c r="G56" s="64" t="e">
        <f ca="1">DAY(需打标签!I56)</f>
        <v>#VALUE!</v>
      </c>
      <c r="H56" s="64" t="e">
        <f ca="1">TEXT(MONTH(需打标签!I56)*28,"mmm")</f>
        <v>#VALUE!</v>
      </c>
      <c r="I56" s="64" t="e">
        <f ca="1">YEAR(需打标签!I56)</f>
        <v>#VALUE!</v>
      </c>
    </row>
    <row r="57" spans="4:9" x14ac:dyDescent="0.25">
      <c r="D57" t="str">
        <f>IF(LEN(需打标签!B57),H57&amp;"/"&amp;G57&amp;"/"&amp;I57,"")</f>
        <v/>
      </c>
      <c r="G57" s="64" t="e">
        <f ca="1">DAY(需打标签!I57)</f>
        <v>#VALUE!</v>
      </c>
      <c r="H57" s="64" t="e">
        <f ca="1">TEXT(MONTH(需打标签!I57)*28,"mmm")</f>
        <v>#VALUE!</v>
      </c>
      <c r="I57" s="64" t="e">
        <f ca="1">YEAR(需打标签!I57)</f>
        <v>#VALUE!</v>
      </c>
    </row>
    <row r="58" spans="4:9" x14ac:dyDescent="0.25">
      <c r="D58" t="str">
        <f>IF(LEN(需打标签!B58),H58&amp;"/"&amp;G58&amp;"/"&amp;I58,"")</f>
        <v/>
      </c>
      <c r="G58" s="64" t="e">
        <f ca="1">DAY(需打标签!I58)</f>
        <v>#VALUE!</v>
      </c>
      <c r="H58" s="64" t="e">
        <f ca="1">TEXT(MONTH(需打标签!I58)*28,"mmm")</f>
        <v>#VALUE!</v>
      </c>
      <c r="I58" s="64" t="e">
        <f ca="1">YEAR(需打标签!I58)</f>
        <v>#VALUE!</v>
      </c>
    </row>
    <row r="59" spans="4:9" x14ac:dyDescent="0.25">
      <c r="D59" t="str">
        <f>IF(LEN(需打标签!B59),H59&amp;"/"&amp;G59&amp;"/"&amp;I59,"")</f>
        <v/>
      </c>
      <c r="G59" s="64" t="e">
        <f ca="1">DAY(需打标签!I59)</f>
        <v>#VALUE!</v>
      </c>
      <c r="H59" s="64" t="e">
        <f ca="1">TEXT(MONTH(需打标签!I59)*28,"mmm")</f>
        <v>#VALUE!</v>
      </c>
      <c r="I59" s="64" t="e">
        <f ca="1">YEAR(需打标签!I59)</f>
        <v>#VALUE!</v>
      </c>
    </row>
    <row r="60" spans="4:9" x14ac:dyDescent="0.25">
      <c r="D60" t="str">
        <f>IF(LEN(需打标签!B60),H60&amp;"/"&amp;G60&amp;"/"&amp;I60,"")</f>
        <v/>
      </c>
      <c r="G60" s="64" t="e">
        <f ca="1">DAY(需打标签!I60)</f>
        <v>#VALUE!</v>
      </c>
      <c r="H60" s="64" t="e">
        <f ca="1">TEXT(MONTH(需打标签!I60)*28,"mmm")</f>
        <v>#VALUE!</v>
      </c>
      <c r="I60" s="64" t="e">
        <f ca="1">YEAR(需打标签!I60)</f>
        <v>#VALUE!</v>
      </c>
    </row>
    <row r="61" spans="4:9" x14ac:dyDescent="0.25">
      <c r="D61" t="str">
        <f>IF(LEN(需打标签!B61),H61&amp;"/"&amp;G61&amp;"/"&amp;I61,"")</f>
        <v/>
      </c>
      <c r="G61" s="64" t="e">
        <f ca="1">DAY(需打标签!I61)</f>
        <v>#VALUE!</v>
      </c>
      <c r="H61" s="64" t="e">
        <f ca="1">TEXT(MONTH(需打标签!I61)*28,"mmm")</f>
        <v>#VALUE!</v>
      </c>
      <c r="I61" s="64" t="e">
        <f ca="1">YEAR(需打标签!I61)</f>
        <v>#VALUE!</v>
      </c>
    </row>
    <row r="62" spans="4:9" x14ac:dyDescent="0.25">
      <c r="D62" t="str">
        <f>IF(LEN(需打标签!B62),H62&amp;"/"&amp;G62&amp;"/"&amp;I62,"")</f>
        <v/>
      </c>
      <c r="G62" s="64" t="e">
        <f ca="1">DAY(需打标签!I62)</f>
        <v>#VALUE!</v>
      </c>
      <c r="H62" s="64" t="e">
        <f ca="1">TEXT(MONTH(需打标签!I62)*28,"mmm")</f>
        <v>#VALUE!</v>
      </c>
      <c r="I62" s="64" t="e">
        <f ca="1">YEAR(需打标签!I62)</f>
        <v>#VALUE!</v>
      </c>
    </row>
    <row r="63" spans="4:9" x14ac:dyDescent="0.25">
      <c r="D63" t="str">
        <f>IF(LEN(需打标签!B63),H63&amp;"/"&amp;G63&amp;"/"&amp;I63,"")</f>
        <v/>
      </c>
      <c r="G63" s="64" t="e">
        <f ca="1">DAY(需打标签!I63)</f>
        <v>#VALUE!</v>
      </c>
      <c r="H63" s="64" t="e">
        <f ca="1">TEXT(MONTH(需打标签!I63)*28,"mmm")</f>
        <v>#VALUE!</v>
      </c>
      <c r="I63" s="64" t="e">
        <f ca="1">YEAR(需打标签!I63)</f>
        <v>#VALUE!</v>
      </c>
    </row>
    <row r="64" spans="4:9" x14ac:dyDescent="0.25">
      <c r="D64" t="str">
        <f>IF(LEN(需打标签!B64),H64&amp;"/"&amp;G64&amp;"/"&amp;I64,"")</f>
        <v/>
      </c>
      <c r="G64" s="64" t="e">
        <f ca="1">DAY(需打标签!I64)</f>
        <v>#VALUE!</v>
      </c>
      <c r="H64" s="64" t="e">
        <f ca="1">TEXT(MONTH(需打标签!I64)*28,"mmm")</f>
        <v>#VALUE!</v>
      </c>
      <c r="I64" s="64" t="e">
        <f ca="1">YEAR(需打标签!I64)</f>
        <v>#VALUE!</v>
      </c>
    </row>
    <row r="65" spans="4:9" x14ac:dyDescent="0.25">
      <c r="D65" t="str">
        <f>IF(LEN(需打标签!B65),H65&amp;"/"&amp;G65&amp;"/"&amp;I65,"")</f>
        <v/>
      </c>
      <c r="G65" s="64" t="e">
        <f ca="1">DAY(需打标签!I65)</f>
        <v>#VALUE!</v>
      </c>
      <c r="H65" s="64" t="e">
        <f ca="1">TEXT(MONTH(需打标签!I65)*28,"mmm")</f>
        <v>#VALUE!</v>
      </c>
      <c r="I65" s="64" t="e">
        <f ca="1">YEAR(需打标签!I65)</f>
        <v>#VALUE!</v>
      </c>
    </row>
    <row r="66" spans="4:9" x14ac:dyDescent="0.25">
      <c r="D66" t="str">
        <f>IF(LEN(需打标签!B66),H66&amp;"/"&amp;G66&amp;"/"&amp;I66,"")</f>
        <v/>
      </c>
      <c r="G66" s="64" t="e">
        <f ca="1">DAY(需打标签!I66)</f>
        <v>#VALUE!</v>
      </c>
      <c r="H66" s="64" t="e">
        <f ca="1">TEXT(MONTH(需打标签!I66)*28,"mmm")</f>
        <v>#VALUE!</v>
      </c>
      <c r="I66" s="64" t="e">
        <f ca="1">YEAR(需打标签!I66)</f>
        <v>#VALUE!</v>
      </c>
    </row>
    <row r="67" spans="4:9" x14ac:dyDescent="0.25">
      <c r="D67" t="str">
        <f>IF(LEN(需打标签!B67),H67&amp;"/"&amp;G67&amp;"/"&amp;I67,"")</f>
        <v/>
      </c>
      <c r="G67" s="64" t="e">
        <f ca="1">DAY(需打标签!I67)</f>
        <v>#VALUE!</v>
      </c>
      <c r="H67" s="64" t="e">
        <f ca="1">TEXT(MONTH(需打标签!I67)*28,"mmm")</f>
        <v>#VALUE!</v>
      </c>
      <c r="I67" s="64" t="e">
        <f ca="1">YEAR(需打标签!I67)</f>
        <v>#VALUE!</v>
      </c>
    </row>
    <row r="68" spans="4:9" x14ac:dyDescent="0.25">
      <c r="D68" t="str">
        <f>IF(LEN(需打标签!B68),H68&amp;"/"&amp;G68&amp;"/"&amp;I68,"")</f>
        <v/>
      </c>
      <c r="G68" s="64" t="e">
        <f ca="1">DAY(需打标签!I68)</f>
        <v>#VALUE!</v>
      </c>
      <c r="H68" s="64" t="e">
        <f ca="1">TEXT(MONTH(需打标签!I68)*28,"mmm")</f>
        <v>#VALUE!</v>
      </c>
      <c r="I68" s="64" t="e">
        <f ca="1">YEAR(需打标签!I68)</f>
        <v>#VALUE!</v>
      </c>
    </row>
    <row r="69" spans="4:9" x14ac:dyDescent="0.25">
      <c r="D69" t="str">
        <f>IF(LEN(需打标签!B69),H69&amp;"/"&amp;G69&amp;"/"&amp;I69,"")</f>
        <v/>
      </c>
      <c r="G69" s="64" t="e">
        <f ca="1">DAY(需打标签!I69)</f>
        <v>#VALUE!</v>
      </c>
      <c r="H69" s="64" t="e">
        <f ca="1">TEXT(MONTH(需打标签!I69)*28,"mmm")</f>
        <v>#VALUE!</v>
      </c>
      <c r="I69" s="64" t="e">
        <f ca="1">YEAR(需打标签!I69)</f>
        <v>#VALUE!</v>
      </c>
    </row>
    <row r="70" spans="4:9" x14ac:dyDescent="0.25">
      <c r="D70" t="str">
        <f>IF(LEN(需打标签!B70),H70&amp;"/"&amp;G70&amp;"/"&amp;I70,"")</f>
        <v/>
      </c>
      <c r="G70" s="64" t="e">
        <f ca="1">DAY(需打标签!I70)</f>
        <v>#VALUE!</v>
      </c>
      <c r="H70" s="64" t="e">
        <f ca="1">TEXT(MONTH(需打标签!I70)*28,"mmm")</f>
        <v>#VALUE!</v>
      </c>
      <c r="I70" s="64" t="e">
        <f ca="1">YEAR(需打标签!I70)</f>
        <v>#VALUE!</v>
      </c>
    </row>
    <row r="71" spans="4:9" x14ac:dyDescent="0.25">
      <c r="D71" t="str">
        <f>IF(LEN(需打标签!B71),H71&amp;"/"&amp;G71&amp;"/"&amp;I71,"")</f>
        <v/>
      </c>
      <c r="G71" s="64" t="e">
        <f ca="1">DAY(需打标签!I71)</f>
        <v>#VALUE!</v>
      </c>
      <c r="H71" s="64" t="e">
        <f ca="1">TEXT(MONTH(需打标签!I71)*28,"mmm")</f>
        <v>#VALUE!</v>
      </c>
      <c r="I71" s="64" t="e">
        <f ca="1">YEAR(需打标签!I71)</f>
        <v>#VALUE!</v>
      </c>
    </row>
    <row r="72" spans="4:9" x14ac:dyDescent="0.25">
      <c r="D72" t="str">
        <f>IF(LEN(需打标签!B72),H72&amp;"/"&amp;G72&amp;"/"&amp;I72,"")</f>
        <v/>
      </c>
      <c r="G72" s="64" t="e">
        <f ca="1">DAY(需打标签!I72)</f>
        <v>#VALUE!</v>
      </c>
      <c r="H72" s="64" t="e">
        <f ca="1">TEXT(MONTH(需打标签!I72)*28,"mmm")</f>
        <v>#VALUE!</v>
      </c>
      <c r="I72" s="64" t="e">
        <f ca="1">YEAR(需打标签!I72)</f>
        <v>#VALUE!</v>
      </c>
    </row>
    <row r="73" spans="4:9" x14ac:dyDescent="0.25">
      <c r="D73" t="str">
        <f>IF(LEN(需打标签!B73),H73&amp;"/"&amp;G73&amp;"/"&amp;I73,"")</f>
        <v/>
      </c>
      <c r="G73" s="64" t="e">
        <f ca="1">DAY(需打标签!I73)</f>
        <v>#VALUE!</v>
      </c>
      <c r="H73" s="64" t="e">
        <f ca="1">TEXT(MONTH(需打标签!I73)*28,"mmm")</f>
        <v>#VALUE!</v>
      </c>
      <c r="I73" s="64" t="e">
        <f ca="1">YEAR(需打标签!I73)</f>
        <v>#VALUE!</v>
      </c>
    </row>
    <row r="74" spans="4:9" x14ac:dyDescent="0.25">
      <c r="D74" t="str">
        <f>IF(LEN(需打标签!B74),H74&amp;"/"&amp;G74&amp;"/"&amp;I74,"")</f>
        <v/>
      </c>
      <c r="G74" s="64" t="e">
        <f ca="1">DAY(需打标签!I74)</f>
        <v>#VALUE!</v>
      </c>
      <c r="H74" s="64" t="e">
        <f ca="1">TEXT(MONTH(需打标签!I74)*28,"mmm")</f>
        <v>#VALUE!</v>
      </c>
      <c r="I74" s="64" t="e">
        <f ca="1">YEAR(需打标签!I74)</f>
        <v>#VALUE!</v>
      </c>
    </row>
    <row r="75" spans="4:9" x14ac:dyDescent="0.25">
      <c r="D75" t="str">
        <f>IF(LEN(需打标签!B75),H75&amp;"/"&amp;G75&amp;"/"&amp;I75,"")</f>
        <v/>
      </c>
      <c r="G75" s="64" t="e">
        <f ca="1">DAY(需打标签!I75)</f>
        <v>#VALUE!</v>
      </c>
      <c r="H75" s="64" t="e">
        <f ca="1">TEXT(MONTH(需打标签!I75)*28,"mmm")</f>
        <v>#VALUE!</v>
      </c>
      <c r="I75" s="64" t="e">
        <f ca="1">YEAR(需打标签!I75)</f>
        <v>#VALUE!</v>
      </c>
    </row>
    <row r="76" spans="4:9" x14ac:dyDescent="0.25">
      <c r="D76" t="str">
        <f>IF(LEN(需打标签!B76),H76&amp;"/"&amp;G76&amp;"/"&amp;I76,"")</f>
        <v/>
      </c>
      <c r="G76" s="64" t="e">
        <f ca="1">DAY(需打标签!I76)</f>
        <v>#VALUE!</v>
      </c>
      <c r="H76" s="64" t="e">
        <f ca="1">TEXT(MONTH(需打标签!I76)*28,"mmm")</f>
        <v>#VALUE!</v>
      </c>
      <c r="I76" s="64" t="e">
        <f ca="1">YEAR(需打标签!I76)</f>
        <v>#VALUE!</v>
      </c>
    </row>
    <row r="77" spans="4:9" x14ac:dyDescent="0.25">
      <c r="D77" t="str">
        <f>IF(LEN(需打标签!B77),H77&amp;"/"&amp;G77&amp;"/"&amp;I77,"")</f>
        <v/>
      </c>
      <c r="G77" s="64" t="e">
        <f ca="1">DAY(需打标签!I77)</f>
        <v>#VALUE!</v>
      </c>
      <c r="H77" s="64" t="e">
        <f ca="1">TEXT(MONTH(需打标签!I77)*28,"mmm")</f>
        <v>#VALUE!</v>
      </c>
      <c r="I77" s="64" t="e">
        <f ca="1">YEAR(需打标签!I77)</f>
        <v>#VALUE!</v>
      </c>
    </row>
    <row r="78" spans="4:9" x14ac:dyDescent="0.25">
      <c r="D78" t="str">
        <f>IF(LEN(需打标签!B78),H78&amp;"/"&amp;G78&amp;"/"&amp;I78,"")</f>
        <v/>
      </c>
      <c r="G78" s="64" t="e">
        <f ca="1">DAY(需打标签!I78)</f>
        <v>#VALUE!</v>
      </c>
      <c r="H78" s="64" t="e">
        <f ca="1">TEXT(MONTH(需打标签!I78)*28,"mmm")</f>
        <v>#VALUE!</v>
      </c>
      <c r="I78" s="64" t="e">
        <f ca="1">YEAR(需打标签!I78)</f>
        <v>#VALUE!</v>
      </c>
    </row>
    <row r="79" spans="4:9" x14ac:dyDescent="0.25">
      <c r="D79" t="str">
        <f>IF(LEN(需打标签!B79),H79&amp;"/"&amp;G79&amp;"/"&amp;I79,"")</f>
        <v/>
      </c>
      <c r="G79" s="64" t="e">
        <f ca="1">DAY(需打标签!I79)</f>
        <v>#VALUE!</v>
      </c>
      <c r="H79" s="64" t="e">
        <f ca="1">TEXT(MONTH(需打标签!I79)*28,"mmm")</f>
        <v>#VALUE!</v>
      </c>
      <c r="I79" s="64" t="e">
        <f ca="1">YEAR(需打标签!I79)</f>
        <v>#VALUE!</v>
      </c>
    </row>
    <row r="80" spans="4:9" x14ac:dyDescent="0.25">
      <c r="D80" t="str">
        <f>IF(LEN(需打标签!B80),H80&amp;"/"&amp;G80&amp;"/"&amp;I80,"")</f>
        <v/>
      </c>
      <c r="G80" s="64" t="e">
        <f ca="1">DAY(需打标签!I80)</f>
        <v>#VALUE!</v>
      </c>
      <c r="H80" s="64" t="e">
        <f ca="1">TEXT(MONTH(需打标签!I80)*28,"mmm")</f>
        <v>#VALUE!</v>
      </c>
      <c r="I80" s="64" t="e">
        <f ca="1">YEAR(需打标签!I80)</f>
        <v>#VALUE!</v>
      </c>
    </row>
    <row r="81" spans="4:9" x14ac:dyDescent="0.25">
      <c r="D81" t="str">
        <f>IF(LEN(需打标签!B81),H81&amp;"/"&amp;G81&amp;"/"&amp;I81,"")</f>
        <v/>
      </c>
      <c r="G81" s="64" t="e">
        <f ca="1">DAY(需打标签!I81)</f>
        <v>#VALUE!</v>
      </c>
      <c r="H81" s="64" t="e">
        <f ca="1">TEXT(MONTH(需打标签!I81)*28,"mmm")</f>
        <v>#VALUE!</v>
      </c>
      <c r="I81" s="64" t="e">
        <f ca="1">YEAR(需打标签!I81)</f>
        <v>#VALUE!</v>
      </c>
    </row>
    <row r="82" spans="4:9" x14ac:dyDescent="0.25">
      <c r="D82" t="str">
        <f>IF(LEN(需打标签!B82),H82&amp;"/"&amp;G82&amp;"/"&amp;I82,"")</f>
        <v/>
      </c>
      <c r="G82" s="64" t="e">
        <f ca="1">DAY(需打标签!I82)</f>
        <v>#VALUE!</v>
      </c>
      <c r="H82" s="64" t="e">
        <f ca="1">TEXT(MONTH(需打标签!I82)*28,"mmm")</f>
        <v>#VALUE!</v>
      </c>
      <c r="I82" s="64" t="e">
        <f ca="1">YEAR(需打标签!I82)</f>
        <v>#VALUE!</v>
      </c>
    </row>
    <row r="83" spans="4:9" x14ac:dyDescent="0.25">
      <c r="D83" t="str">
        <f>IF(LEN(需打标签!B83),H83&amp;"/"&amp;G83&amp;"/"&amp;I83,"")</f>
        <v/>
      </c>
      <c r="G83" s="64" t="e">
        <f ca="1">DAY(需打标签!I83)</f>
        <v>#VALUE!</v>
      </c>
      <c r="H83" s="64" t="e">
        <f ca="1">TEXT(MONTH(需打标签!I83)*28,"mmm")</f>
        <v>#VALUE!</v>
      </c>
      <c r="I83" s="64" t="e">
        <f ca="1">YEAR(需打标签!I83)</f>
        <v>#VALUE!</v>
      </c>
    </row>
    <row r="84" spans="4:9" x14ac:dyDescent="0.25">
      <c r="D84" t="str">
        <f>IF(LEN(需打标签!B84),H84&amp;"/"&amp;G84&amp;"/"&amp;I84,"")</f>
        <v/>
      </c>
      <c r="G84" s="64" t="e">
        <f ca="1">DAY(需打标签!I84)</f>
        <v>#VALUE!</v>
      </c>
      <c r="H84" s="64" t="e">
        <f ca="1">TEXT(MONTH(需打标签!I84)*28,"mmm")</f>
        <v>#VALUE!</v>
      </c>
      <c r="I84" s="64" t="e">
        <f ca="1">YEAR(需打标签!I84)</f>
        <v>#VALUE!</v>
      </c>
    </row>
    <row r="85" spans="4:9" x14ac:dyDescent="0.25">
      <c r="D85" t="str">
        <f>IF(LEN(需打标签!B85),H85&amp;"/"&amp;G85&amp;"/"&amp;I85,"")</f>
        <v/>
      </c>
      <c r="G85" s="64" t="e">
        <f ca="1">DAY(需打标签!I85)</f>
        <v>#VALUE!</v>
      </c>
      <c r="H85" s="64" t="e">
        <f ca="1">TEXT(MONTH(需打标签!I85)*28,"mmm")</f>
        <v>#VALUE!</v>
      </c>
      <c r="I85" s="64" t="e">
        <f ca="1">YEAR(需打标签!I85)</f>
        <v>#VALUE!</v>
      </c>
    </row>
    <row r="86" spans="4:9" x14ac:dyDescent="0.25">
      <c r="D86" t="str">
        <f>IF(LEN(需打标签!B86),H86&amp;"/"&amp;G86&amp;"/"&amp;I86,"")</f>
        <v/>
      </c>
      <c r="G86" s="64" t="e">
        <f ca="1">DAY(需打标签!I86)</f>
        <v>#VALUE!</v>
      </c>
      <c r="H86" s="64" t="e">
        <f ca="1">TEXT(MONTH(需打标签!I86)*28,"mmm")</f>
        <v>#VALUE!</v>
      </c>
      <c r="I86" s="64" t="e">
        <f ca="1">YEAR(需打标签!I86)</f>
        <v>#VALUE!</v>
      </c>
    </row>
    <row r="87" spans="4:9" x14ac:dyDescent="0.25">
      <c r="D87" t="str">
        <f>IF(LEN(需打标签!B87),H87&amp;"/"&amp;G87&amp;"/"&amp;I87,"")</f>
        <v/>
      </c>
      <c r="G87" s="64" t="e">
        <f ca="1">DAY(需打标签!I87)</f>
        <v>#VALUE!</v>
      </c>
      <c r="H87" s="64" t="e">
        <f ca="1">TEXT(MONTH(需打标签!I87)*28,"mmm")</f>
        <v>#VALUE!</v>
      </c>
      <c r="I87" s="64" t="e">
        <f ca="1">YEAR(需打标签!I87)</f>
        <v>#VALUE!</v>
      </c>
    </row>
    <row r="88" spans="4:9" x14ac:dyDescent="0.25">
      <c r="D88" t="str">
        <f>IF(LEN(需打标签!B88),H88&amp;"/"&amp;G88&amp;"/"&amp;I88,"")</f>
        <v/>
      </c>
      <c r="G88" s="64" t="e">
        <f ca="1">DAY(需打标签!I88)</f>
        <v>#VALUE!</v>
      </c>
      <c r="H88" s="64" t="e">
        <f ca="1">TEXT(MONTH(需打标签!I88)*28,"mmm")</f>
        <v>#VALUE!</v>
      </c>
      <c r="I88" s="64" t="e">
        <f ca="1">YEAR(需打标签!I88)</f>
        <v>#VALUE!</v>
      </c>
    </row>
    <row r="89" spans="4:9" x14ac:dyDescent="0.25">
      <c r="D89" t="str">
        <f>IF(LEN(需打标签!B89),H89&amp;"/"&amp;G89&amp;"/"&amp;I89,"")</f>
        <v/>
      </c>
      <c r="G89" s="64" t="e">
        <f ca="1">DAY(需打标签!I89)</f>
        <v>#VALUE!</v>
      </c>
      <c r="H89" s="64" t="e">
        <f ca="1">TEXT(MONTH(需打标签!I89)*28,"mmm")</f>
        <v>#VALUE!</v>
      </c>
      <c r="I89" s="64" t="e">
        <f ca="1">YEAR(需打标签!I89)</f>
        <v>#VALUE!</v>
      </c>
    </row>
    <row r="90" spans="4:9" x14ac:dyDescent="0.25">
      <c r="D90" t="str">
        <f>IF(LEN(需打标签!B90),H90&amp;"/"&amp;G90&amp;"/"&amp;I90,"")</f>
        <v/>
      </c>
      <c r="G90" s="64" t="e">
        <f ca="1">DAY(需打标签!I90)</f>
        <v>#VALUE!</v>
      </c>
      <c r="H90" s="64" t="e">
        <f ca="1">TEXT(MONTH(需打标签!I90)*28,"mmm")</f>
        <v>#VALUE!</v>
      </c>
      <c r="I90" s="64" t="e">
        <f ca="1">YEAR(需打标签!I90)</f>
        <v>#VALUE!</v>
      </c>
    </row>
    <row r="91" spans="4:9" x14ac:dyDescent="0.25">
      <c r="D91" t="str">
        <f>IF(LEN(需打标签!B91),H91&amp;"/"&amp;G91&amp;"/"&amp;I91,"")</f>
        <v/>
      </c>
      <c r="G91" s="64" t="e">
        <f ca="1">DAY(需打标签!I91)</f>
        <v>#VALUE!</v>
      </c>
      <c r="H91" s="64" t="e">
        <f ca="1">TEXT(MONTH(需打标签!I91)*28,"mmm")</f>
        <v>#VALUE!</v>
      </c>
      <c r="I91" s="64" t="e">
        <f ca="1">YEAR(需打标签!I91)</f>
        <v>#VALUE!</v>
      </c>
    </row>
    <row r="92" spans="4:9" x14ac:dyDescent="0.25">
      <c r="D92" t="str">
        <f>IF(LEN(需打标签!B92),H92&amp;"/"&amp;G92&amp;"/"&amp;I92,"")</f>
        <v/>
      </c>
      <c r="G92" s="64" t="e">
        <f ca="1">DAY(需打标签!I92)</f>
        <v>#VALUE!</v>
      </c>
      <c r="H92" s="64" t="e">
        <f ca="1">TEXT(MONTH(需打标签!I92)*28,"mmm")</f>
        <v>#VALUE!</v>
      </c>
      <c r="I92" s="64" t="e">
        <f ca="1">YEAR(需打标签!I92)</f>
        <v>#VALUE!</v>
      </c>
    </row>
    <row r="93" spans="4:9" x14ac:dyDescent="0.25">
      <c r="D93" t="str">
        <f>IF(LEN(需打标签!B93),H93&amp;"/"&amp;G93&amp;"/"&amp;I93,"")</f>
        <v/>
      </c>
      <c r="G93" s="64" t="e">
        <f ca="1">DAY(需打标签!I93)</f>
        <v>#VALUE!</v>
      </c>
      <c r="H93" s="64" t="e">
        <f ca="1">TEXT(MONTH(需打标签!I93)*28,"mmm")</f>
        <v>#VALUE!</v>
      </c>
      <c r="I93" s="64" t="e">
        <f ca="1">YEAR(需打标签!I93)</f>
        <v>#VALUE!</v>
      </c>
    </row>
    <row r="94" spans="4:9" x14ac:dyDescent="0.25">
      <c r="D94" t="str">
        <f>IF(LEN(需打标签!B94),H94&amp;"/"&amp;G94&amp;"/"&amp;I94,"")</f>
        <v/>
      </c>
      <c r="G94" s="64" t="e">
        <f ca="1">DAY(需打标签!I94)</f>
        <v>#VALUE!</v>
      </c>
      <c r="H94" s="64" t="e">
        <f ca="1">TEXT(MONTH(需打标签!I94)*28,"mmm")</f>
        <v>#VALUE!</v>
      </c>
      <c r="I94" s="64" t="e">
        <f ca="1">YEAR(需打标签!I94)</f>
        <v>#VALUE!</v>
      </c>
    </row>
    <row r="95" spans="4:9" x14ac:dyDescent="0.25">
      <c r="D95" t="str">
        <f>IF(LEN(需打标签!B95),H95&amp;"/"&amp;G95&amp;"/"&amp;I95,"")</f>
        <v/>
      </c>
      <c r="G95" s="64" t="e">
        <f ca="1">DAY(需打标签!I95)</f>
        <v>#VALUE!</v>
      </c>
      <c r="H95" s="64" t="e">
        <f ca="1">TEXT(MONTH(需打标签!I95)*28,"mmm")</f>
        <v>#VALUE!</v>
      </c>
      <c r="I95" s="64" t="e">
        <f ca="1">YEAR(需打标签!I95)</f>
        <v>#VALUE!</v>
      </c>
    </row>
    <row r="96" spans="4:9" x14ac:dyDescent="0.25">
      <c r="D96" t="str">
        <f>IF(LEN(需打标签!B96),H96&amp;"/"&amp;G96&amp;"/"&amp;I96,"")</f>
        <v/>
      </c>
      <c r="G96" s="64" t="e">
        <f ca="1">DAY(需打标签!I96)</f>
        <v>#VALUE!</v>
      </c>
      <c r="H96" s="64" t="e">
        <f ca="1">TEXT(MONTH(需打标签!I96)*28,"mmm")</f>
        <v>#VALUE!</v>
      </c>
      <c r="I96" s="64" t="e">
        <f ca="1">YEAR(需打标签!I96)</f>
        <v>#VALUE!</v>
      </c>
    </row>
    <row r="97" spans="4:9" x14ac:dyDescent="0.25">
      <c r="D97" t="str">
        <f>IF(LEN(需打标签!B97),H97&amp;"/"&amp;G97&amp;"/"&amp;I97,"")</f>
        <v/>
      </c>
      <c r="G97" s="64" t="e">
        <f ca="1">DAY(需打标签!I97)</f>
        <v>#VALUE!</v>
      </c>
      <c r="H97" s="64" t="e">
        <f ca="1">TEXT(MONTH(需打标签!I97)*28,"mmm")</f>
        <v>#VALUE!</v>
      </c>
      <c r="I97" s="64" t="e">
        <f ca="1">YEAR(需打标签!I97)</f>
        <v>#VALUE!</v>
      </c>
    </row>
    <row r="98" spans="4:9" x14ac:dyDescent="0.25">
      <c r="D98" t="str">
        <f>IF(LEN(需打标签!B98),H98&amp;"/"&amp;G98&amp;"/"&amp;I98,"")</f>
        <v/>
      </c>
      <c r="G98" s="64" t="e">
        <f ca="1">DAY(需打标签!I98)</f>
        <v>#VALUE!</v>
      </c>
      <c r="H98" s="64" t="e">
        <f ca="1">TEXT(MONTH(需打标签!I98)*28,"mmm")</f>
        <v>#VALUE!</v>
      </c>
      <c r="I98" s="64" t="e">
        <f ca="1">YEAR(需打标签!I98)</f>
        <v>#VALUE!</v>
      </c>
    </row>
    <row r="99" spans="4:9" x14ac:dyDescent="0.25">
      <c r="D99" t="str">
        <f>IF(LEN(需打标签!B99),H99&amp;"/"&amp;G99&amp;"/"&amp;I99,"")</f>
        <v/>
      </c>
      <c r="G99" s="64" t="e">
        <f ca="1">DAY(需打标签!I99)</f>
        <v>#VALUE!</v>
      </c>
      <c r="H99" s="64" t="e">
        <f ca="1">TEXT(MONTH(需打标签!I99)*28,"mmm")</f>
        <v>#VALUE!</v>
      </c>
      <c r="I99" s="64" t="e">
        <f ca="1">YEAR(需打标签!I99)</f>
        <v>#VALUE!</v>
      </c>
    </row>
    <row r="100" spans="4:9" x14ac:dyDescent="0.25">
      <c r="D100" t="str">
        <f>IF(LEN(需打标签!B100),H100&amp;"/"&amp;G100&amp;"/"&amp;I100,"")</f>
        <v/>
      </c>
      <c r="G100" s="64" t="e">
        <f ca="1">DAY(需打标签!I100)</f>
        <v>#VALUE!</v>
      </c>
      <c r="H100" s="64" t="e">
        <f ca="1">TEXT(MONTH(需打标签!I100)*28,"mmm")</f>
        <v>#VALUE!</v>
      </c>
      <c r="I100" s="64" t="e">
        <f ca="1">YEAR(需打标签!I100)</f>
        <v>#VALUE!</v>
      </c>
    </row>
    <row r="101" spans="4:9" x14ac:dyDescent="0.25">
      <c r="D101" t="str">
        <f>IF(LEN(需打标签!B101),H101&amp;"/"&amp;G101&amp;"/"&amp;I101,"")</f>
        <v/>
      </c>
      <c r="G101" s="64" t="e">
        <f ca="1">DAY(需打标签!I101)</f>
        <v>#VALUE!</v>
      </c>
      <c r="H101" s="64" t="e">
        <f ca="1">TEXT(MONTH(需打标签!I101)*28,"mmm")</f>
        <v>#VALUE!</v>
      </c>
      <c r="I101" s="64" t="e">
        <f ca="1">YEAR(需打标签!I101)</f>
        <v>#VALUE!</v>
      </c>
    </row>
    <row r="102" spans="4:9" x14ac:dyDescent="0.25">
      <c r="D102" t="str">
        <f>IF(LEN(需打标签!B102),H102&amp;"/"&amp;G102&amp;"/"&amp;I102,"")</f>
        <v/>
      </c>
      <c r="G102" s="64" t="e">
        <f ca="1">DAY(需打标签!I102)</f>
        <v>#VALUE!</v>
      </c>
      <c r="H102" s="64" t="e">
        <f ca="1">TEXT(MONTH(需打标签!I102)*28,"mmm")</f>
        <v>#VALUE!</v>
      </c>
      <c r="I102" s="64" t="e">
        <f ca="1">YEAR(需打标签!I102)</f>
        <v>#VALUE!</v>
      </c>
    </row>
    <row r="103" spans="4:9" x14ac:dyDescent="0.25">
      <c r="D103" t="str">
        <f>IF(LEN(需打标签!B103),H103&amp;"/"&amp;G103&amp;"/"&amp;I103,"")</f>
        <v/>
      </c>
      <c r="G103" s="64" t="e">
        <f ca="1">DAY(需打标签!I103)</f>
        <v>#VALUE!</v>
      </c>
      <c r="H103" s="64" t="e">
        <f ca="1">TEXT(MONTH(需打标签!I103)*28,"mmm")</f>
        <v>#VALUE!</v>
      </c>
      <c r="I103" s="64" t="e">
        <f ca="1">YEAR(需打标签!I103)</f>
        <v>#VALUE!</v>
      </c>
    </row>
    <row r="104" spans="4:9" x14ac:dyDescent="0.25">
      <c r="D104" t="str">
        <f>IF(LEN(需打标签!B104),H104&amp;"/"&amp;G104&amp;"/"&amp;I104,"")</f>
        <v/>
      </c>
      <c r="G104" s="64" t="e">
        <f ca="1">DAY(需打标签!I104)</f>
        <v>#VALUE!</v>
      </c>
      <c r="H104" s="64" t="e">
        <f ca="1">TEXT(MONTH(需打标签!I104)*28,"mmm")</f>
        <v>#VALUE!</v>
      </c>
      <c r="I104" s="64" t="e">
        <f ca="1">YEAR(需打标签!I104)</f>
        <v>#VALUE!</v>
      </c>
    </row>
    <row r="105" spans="4:9" x14ac:dyDescent="0.25">
      <c r="D105" t="str">
        <f>IF(LEN(需打标签!B105),H105&amp;"/"&amp;G105&amp;"/"&amp;I105,"")</f>
        <v/>
      </c>
      <c r="G105" s="64" t="e">
        <f ca="1">DAY(需打标签!I105)</f>
        <v>#VALUE!</v>
      </c>
      <c r="H105" s="64" t="e">
        <f ca="1">TEXT(MONTH(需打标签!I105)*28,"mmm")</f>
        <v>#VALUE!</v>
      </c>
      <c r="I105" s="64" t="e">
        <f ca="1">YEAR(需打标签!I105)</f>
        <v>#VALUE!</v>
      </c>
    </row>
    <row r="106" spans="4:9" x14ac:dyDescent="0.25">
      <c r="D106" t="str">
        <f>IF(LEN(需打标签!B106),H106&amp;"/"&amp;G106&amp;"/"&amp;I106,"")</f>
        <v/>
      </c>
      <c r="G106" s="64" t="e">
        <f ca="1">DAY(需打标签!I106)</f>
        <v>#VALUE!</v>
      </c>
      <c r="H106" s="64" t="e">
        <f ca="1">TEXT(MONTH(需打标签!I106)*28,"mmm")</f>
        <v>#VALUE!</v>
      </c>
      <c r="I106" s="64" t="e">
        <f ca="1">YEAR(需打标签!I106)</f>
        <v>#VALUE!</v>
      </c>
    </row>
    <row r="107" spans="4:9" x14ac:dyDescent="0.25">
      <c r="D107" t="str">
        <f>IF(LEN(需打标签!B107),H107&amp;"/"&amp;G107&amp;"/"&amp;I107,"")</f>
        <v/>
      </c>
      <c r="G107" s="64" t="e">
        <f ca="1">DAY(需打标签!I107)</f>
        <v>#VALUE!</v>
      </c>
      <c r="H107" s="64" t="e">
        <f ca="1">TEXT(MONTH(需打标签!I107)*28,"mmm")</f>
        <v>#VALUE!</v>
      </c>
      <c r="I107" s="64" t="e">
        <f ca="1">YEAR(需打标签!I107)</f>
        <v>#VALUE!</v>
      </c>
    </row>
    <row r="108" spans="4:9" x14ac:dyDescent="0.25">
      <c r="D108" t="str">
        <f>IF(LEN(需打标签!B108),H108&amp;"/"&amp;G108&amp;"/"&amp;I108,"")</f>
        <v/>
      </c>
      <c r="G108" s="64" t="e">
        <f ca="1">DAY(需打标签!I108)</f>
        <v>#VALUE!</v>
      </c>
      <c r="H108" s="64" t="e">
        <f ca="1">TEXT(MONTH(需打标签!I108)*28,"mmm")</f>
        <v>#VALUE!</v>
      </c>
      <c r="I108" s="64" t="e">
        <f ca="1">YEAR(需打标签!I108)</f>
        <v>#VALUE!</v>
      </c>
    </row>
    <row r="109" spans="4:9" x14ac:dyDescent="0.25">
      <c r="D109" t="str">
        <f>IF(LEN(需打标签!B109),H109&amp;"/"&amp;G109&amp;"/"&amp;I109,"")</f>
        <v/>
      </c>
      <c r="G109" s="64" t="e">
        <f ca="1">DAY(需打标签!I109)</f>
        <v>#VALUE!</v>
      </c>
      <c r="H109" s="64" t="e">
        <f ca="1">TEXT(MONTH(需打标签!I109)*28,"mmm")</f>
        <v>#VALUE!</v>
      </c>
      <c r="I109" s="64" t="e">
        <f ca="1">YEAR(需打标签!I109)</f>
        <v>#VALUE!</v>
      </c>
    </row>
    <row r="110" spans="4:9" x14ac:dyDescent="0.25">
      <c r="D110" t="str">
        <f>IF(LEN(需打标签!B110),H110&amp;"/"&amp;G110&amp;"/"&amp;I110,"")</f>
        <v/>
      </c>
      <c r="G110" s="64" t="e">
        <f ca="1">DAY(需打标签!I110)</f>
        <v>#VALUE!</v>
      </c>
      <c r="H110" s="64" t="e">
        <f ca="1">TEXT(MONTH(需打标签!I110)*28,"mmm")</f>
        <v>#VALUE!</v>
      </c>
      <c r="I110" s="64" t="e">
        <f ca="1">YEAR(需打标签!I110)</f>
        <v>#VALUE!</v>
      </c>
    </row>
    <row r="111" spans="4:9" x14ac:dyDescent="0.25">
      <c r="D111" t="str">
        <f>IF(LEN(需打标签!B111),H111&amp;"/"&amp;G111&amp;"/"&amp;I111,"")</f>
        <v/>
      </c>
      <c r="G111" s="64" t="e">
        <f ca="1">DAY(需打标签!I111)</f>
        <v>#VALUE!</v>
      </c>
      <c r="H111" s="64" t="e">
        <f ca="1">TEXT(MONTH(需打标签!I111)*28,"mmm")</f>
        <v>#VALUE!</v>
      </c>
      <c r="I111" s="64" t="e">
        <f ca="1">YEAR(需打标签!I111)</f>
        <v>#VALUE!</v>
      </c>
    </row>
    <row r="112" spans="4:9" x14ac:dyDescent="0.25">
      <c r="D112" t="str">
        <f>IF(LEN(需打标签!B112),H112&amp;"/"&amp;G112&amp;"/"&amp;I112,"")</f>
        <v/>
      </c>
      <c r="G112" s="64" t="e">
        <f ca="1">DAY(需打标签!I112)</f>
        <v>#VALUE!</v>
      </c>
      <c r="H112" s="64" t="e">
        <f ca="1">TEXT(MONTH(需打标签!I112)*28,"mmm")</f>
        <v>#VALUE!</v>
      </c>
      <c r="I112" s="64" t="e">
        <f ca="1">YEAR(需打标签!I112)</f>
        <v>#VALUE!</v>
      </c>
    </row>
    <row r="113" spans="4:9" x14ac:dyDescent="0.25">
      <c r="D113" t="str">
        <f>IF(LEN(需打标签!B113),H113&amp;"/"&amp;G113&amp;"/"&amp;I113,"")</f>
        <v/>
      </c>
      <c r="G113" s="64" t="e">
        <f ca="1">DAY(需打标签!I113)</f>
        <v>#VALUE!</v>
      </c>
      <c r="H113" s="64" t="e">
        <f ca="1">TEXT(MONTH(需打标签!I113)*28,"mmm")</f>
        <v>#VALUE!</v>
      </c>
      <c r="I113" s="64" t="e">
        <f ca="1">YEAR(需打标签!I113)</f>
        <v>#VALUE!</v>
      </c>
    </row>
    <row r="114" spans="4:9" x14ac:dyDescent="0.25">
      <c r="D114" t="str">
        <f>IF(LEN(需打标签!B114),H114&amp;"/"&amp;G114&amp;"/"&amp;I114,"")</f>
        <v/>
      </c>
      <c r="G114" s="64" t="e">
        <f ca="1">DAY(需打标签!I114)</f>
        <v>#VALUE!</v>
      </c>
      <c r="H114" s="64" t="e">
        <f ca="1">TEXT(MONTH(需打标签!I114)*28,"mmm")</f>
        <v>#VALUE!</v>
      </c>
      <c r="I114" s="64" t="e">
        <f ca="1">YEAR(需打标签!I114)</f>
        <v>#VALUE!</v>
      </c>
    </row>
    <row r="115" spans="4:9" x14ac:dyDescent="0.25">
      <c r="D115" t="str">
        <f>IF(LEN(需打标签!B115),H115&amp;"/"&amp;G115&amp;"/"&amp;I115,"")</f>
        <v/>
      </c>
      <c r="G115" s="64" t="e">
        <f ca="1">DAY(需打标签!I115)</f>
        <v>#VALUE!</v>
      </c>
      <c r="H115" s="64" t="e">
        <f ca="1">TEXT(MONTH(需打标签!I115)*28,"mmm")</f>
        <v>#VALUE!</v>
      </c>
      <c r="I115" s="64" t="e">
        <f ca="1">YEAR(需打标签!I115)</f>
        <v>#VALUE!</v>
      </c>
    </row>
    <row r="116" spans="4:9" x14ac:dyDescent="0.25">
      <c r="D116" t="str">
        <f>IF(LEN(需打标签!B116),H116&amp;"/"&amp;G116&amp;"/"&amp;I116,"")</f>
        <v/>
      </c>
      <c r="G116" s="64" t="e">
        <f ca="1">DAY(需打标签!I116)</f>
        <v>#VALUE!</v>
      </c>
      <c r="H116" s="64" t="e">
        <f ca="1">TEXT(MONTH(需打标签!I116)*28,"mmm")</f>
        <v>#VALUE!</v>
      </c>
      <c r="I116" s="64" t="e">
        <f ca="1">YEAR(需打标签!I116)</f>
        <v>#VALUE!</v>
      </c>
    </row>
    <row r="117" spans="4:9" x14ac:dyDescent="0.25">
      <c r="D117" t="str">
        <f>IF(LEN(需打标签!B117),H117&amp;"/"&amp;G117&amp;"/"&amp;I117,"")</f>
        <v/>
      </c>
      <c r="G117" s="64" t="e">
        <f ca="1">DAY(需打标签!I117)</f>
        <v>#VALUE!</v>
      </c>
      <c r="H117" s="64" t="e">
        <f ca="1">TEXT(MONTH(需打标签!I117)*28,"mmm")</f>
        <v>#VALUE!</v>
      </c>
      <c r="I117" s="64" t="e">
        <f ca="1">YEAR(需打标签!I117)</f>
        <v>#VALUE!</v>
      </c>
    </row>
    <row r="118" spans="4:9" x14ac:dyDescent="0.25">
      <c r="D118" t="str">
        <f>IF(LEN(需打标签!B118),H118&amp;"/"&amp;G118&amp;"/"&amp;I118,"")</f>
        <v/>
      </c>
      <c r="G118" s="64" t="e">
        <f ca="1">DAY(需打标签!I118)</f>
        <v>#VALUE!</v>
      </c>
      <c r="H118" s="64" t="e">
        <f ca="1">TEXT(MONTH(需打标签!I118)*28,"mmm")</f>
        <v>#VALUE!</v>
      </c>
      <c r="I118" s="64" t="e">
        <f ca="1">YEAR(需打标签!I118)</f>
        <v>#VALUE!</v>
      </c>
    </row>
    <row r="119" spans="4:9" x14ac:dyDescent="0.25">
      <c r="D119" t="str">
        <f>IF(LEN(需打标签!B119),H119&amp;"/"&amp;G119&amp;"/"&amp;I119,"")</f>
        <v/>
      </c>
      <c r="G119" s="64" t="e">
        <f ca="1">DAY(需打标签!I119)</f>
        <v>#VALUE!</v>
      </c>
      <c r="H119" s="64" t="e">
        <f ca="1">TEXT(MONTH(需打标签!I119)*28,"mmm")</f>
        <v>#VALUE!</v>
      </c>
      <c r="I119" s="64" t="e">
        <f ca="1">YEAR(需打标签!I119)</f>
        <v>#VALUE!</v>
      </c>
    </row>
    <row r="120" spans="4:9" x14ac:dyDescent="0.25">
      <c r="D120" t="str">
        <f>IF(LEN(需打标签!B120),H120&amp;"/"&amp;G120&amp;"/"&amp;I120,"")</f>
        <v/>
      </c>
      <c r="G120" s="64" t="e">
        <f ca="1">DAY(需打标签!I120)</f>
        <v>#VALUE!</v>
      </c>
      <c r="H120" s="64" t="e">
        <f ca="1">TEXT(MONTH(需打标签!I120)*28,"mmm")</f>
        <v>#VALUE!</v>
      </c>
      <c r="I120" s="64" t="e">
        <f ca="1">YEAR(需打标签!I120)</f>
        <v>#VALUE!</v>
      </c>
    </row>
    <row r="121" spans="4:9" x14ac:dyDescent="0.25">
      <c r="D121" t="str">
        <f>IF(LEN(需打标签!B121),H121&amp;"/"&amp;G121&amp;"/"&amp;I121,"")</f>
        <v/>
      </c>
      <c r="G121" s="64" t="e">
        <f ca="1">DAY(需打标签!I121)</f>
        <v>#VALUE!</v>
      </c>
      <c r="H121" s="64" t="e">
        <f ca="1">TEXT(MONTH(需打标签!I121)*28,"mmm")</f>
        <v>#VALUE!</v>
      </c>
      <c r="I121" s="64" t="e">
        <f ca="1">YEAR(需打标签!I121)</f>
        <v>#VALUE!</v>
      </c>
    </row>
    <row r="122" spans="4:9" x14ac:dyDescent="0.25">
      <c r="D122" t="str">
        <f>IF(LEN(需打标签!B122),H122&amp;"/"&amp;G122&amp;"/"&amp;I122,"")</f>
        <v/>
      </c>
      <c r="G122" s="64" t="e">
        <f ca="1">DAY(需打标签!I122)</f>
        <v>#VALUE!</v>
      </c>
      <c r="H122" s="64" t="e">
        <f ca="1">TEXT(MONTH(需打标签!I122)*28,"mmm")</f>
        <v>#VALUE!</v>
      </c>
      <c r="I122" s="64" t="e">
        <f ca="1">YEAR(需打标签!I122)</f>
        <v>#VALUE!</v>
      </c>
    </row>
    <row r="123" spans="4:9" x14ac:dyDescent="0.25">
      <c r="D123" t="str">
        <f>IF(LEN(需打标签!B123),H123&amp;"/"&amp;G123&amp;"/"&amp;I123,"")</f>
        <v/>
      </c>
      <c r="G123" s="64" t="e">
        <f ca="1">DAY(需打标签!I123)</f>
        <v>#VALUE!</v>
      </c>
      <c r="H123" s="64" t="e">
        <f ca="1">TEXT(MONTH(需打标签!I123)*28,"mmm")</f>
        <v>#VALUE!</v>
      </c>
      <c r="I123" s="64" t="e">
        <f ca="1">YEAR(需打标签!I123)</f>
        <v>#VALUE!</v>
      </c>
    </row>
    <row r="124" spans="4:9" x14ac:dyDescent="0.25">
      <c r="D124" t="str">
        <f>IF(LEN(需打标签!B124),H124&amp;"/"&amp;G124&amp;"/"&amp;I124,"")</f>
        <v/>
      </c>
      <c r="G124" s="64" t="e">
        <f ca="1">DAY(需打标签!I124)</f>
        <v>#VALUE!</v>
      </c>
      <c r="H124" s="64" t="e">
        <f ca="1">TEXT(MONTH(需打标签!I124)*28,"mmm")</f>
        <v>#VALUE!</v>
      </c>
      <c r="I124" s="64" t="e">
        <f ca="1">YEAR(需打标签!I124)</f>
        <v>#VALUE!</v>
      </c>
    </row>
    <row r="125" spans="4:9" x14ac:dyDescent="0.25">
      <c r="D125" t="str">
        <f>IF(LEN(需打标签!B125),H125&amp;"/"&amp;G125&amp;"/"&amp;I125,"")</f>
        <v/>
      </c>
      <c r="G125" s="64" t="e">
        <f ca="1">DAY(需打标签!I125)</f>
        <v>#VALUE!</v>
      </c>
      <c r="H125" s="64" t="e">
        <f ca="1">TEXT(MONTH(需打标签!I125)*28,"mmm")</f>
        <v>#VALUE!</v>
      </c>
      <c r="I125" s="64" t="e">
        <f ca="1">YEAR(需打标签!I125)</f>
        <v>#VALUE!</v>
      </c>
    </row>
    <row r="126" spans="4:9" x14ac:dyDescent="0.25">
      <c r="D126" t="str">
        <f>IF(LEN(需打标签!B126),H126&amp;"/"&amp;G126&amp;"/"&amp;I126,"")</f>
        <v/>
      </c>
      <c r="G126" s="64" t="e">
        <f ca="1">DAY(需打标签!I126)</f>
        <v>#VALUE!</v>
      </c>
      <c r="H126" s="64" t="e">
        <f ca="1">TEXT(MONTH(需打标签!I126)*28,"mmm")</f>
        <v>#VALUE!</v>
      </c>
      <c r="I126" s="64" t="e">
        <f ca="1">YEAR(需打标签!I126)</f>
        <v>#VALUE!</v>
      </c>
    </row>
    <row r="127" spans="4:9" x14ac:dyDescent="0.25">
      <c r="D127" t="str">
        <f>IF(LEN(需打标签!B127),H127&amp;"/"&amp;G127&amp;"/"&amp;I127,"")</f>
        <v/>
      </c>
      <c r="G127" s="64" t="e">
        <f ca="1">DAY(需打标签!I127)</f>
        <v>#VALUE!</v>
      </c>
      <c r="H127" s="64" t="e">
        <f ca="1">TEXT(MONTH(需打标签!I127)*28,"mmm")</f>
        <v>#VALUE!</v>
      </c>
      <c r="I127" s="64" t="e">
        <f ca="1">YEAR(需打标签!I127)</f>
        <v>#VALUE!</v>
      </c>
    </row>
    <row r="128" spans="4:9" x14ac:dyDescent="0.25">
      <c r="D128" t="str">
        <f>IF(LEN(需打标签!B128),H128&amp;"/"&amp;G128&amp;"/"&amp;I128,"")</f>
        <v/>
      </c>
      <c r="G128" s="64" t="e">
        <f ca="1">DAY(需打标签!I128)</f>
        <v>#VALUE!</v>
      </c>
      <c r="H128" s="64" t="e">
        <f ca="1">TEXT(MONTH(需打标签!I128)*28,"mmm")</f>
        <v>#VALUE!</v>
      </c>
      <c r="I128" s="64" t="e">
        <f ca="1">YEAR(需打标签!I128)</f>
        <v>#VALUE!</v>
      </c>
    </row>
    <row r="129" spans="4:9" x14ac:dyDescent="0.25">
      <c r="D129" t="str">
        <f>IF(LEN(需打标签!B129),H129&amp;"/"&amp;G129&amp;"/"&amp;I129,"")</f>
        <v/>
      </c>
      <c r="G129" s="64" t="e">
        <f ca="1">DAY(需打标签!I129)</f>
        <v>#VALUE!</v>
      </c>
      <c r="H129" s="64" t="e">
        <f ca="1">TEXT(MONTH(需打标签!I129)*28,"mmm")</f>
        <v>#VALUE!</v>
      </c>
      <c r="I129" s="64" t="e">
        <f ca="1">YEAR(需打标签!I129)</f>
        <v>#VALUE!</v>
      </c>
    </row>
    <row r="130" spans="4:9" x14ac:dyDescent="0.25">
      <c r="D130" t="str">
        <f>IF(LEN(需打标签!B130),H130&amp;"/"&amp;G130&amp;"/"&amp;I130,"")</f>
        <v/>
      </c>
      <c r="G130" s="64" t="e">
        <f ca="1">DAY(需打标签!I130)</f>
        <v>#VALUE!</v>
      </c>
      <c r="H130" s="64" t="e">
        <f ca="1">TEXT(MONTH(需打标签!I130)*28,"mmm")</f>
        <v>#VALUE!</v>
      </c>
      <c r="I130" s="64" t="e">
        <f ca="1">YEAR(需打标签!I130)</f>
        <v>#VALUE!</v>
      </c>
    </row>
    <row r="131" spans="4:9" x14ac:dyDescent="0.25">
      <c r="D131" t="str">
        <f>IF(LEN(需打标签!B131),H131&amp;"/"&amp;G131&amp;"/"&amp;I131,"")</f>
        <v/>
      </c>
      <c r="G131" s="64" t="e">
        <f ca="1">DAY(需打标签!I131)</f>
        <v>#VALUE!</v>
      </c>
      <c r="H131" s="64" t="e">
        <f ca="1">TEXT(MONTH(需打标签!I131)*28,"mmm")</f>
        <v>#VALUE!</v>
      </c>
      <c r="I131" s="64" t="e">
        <f ca="1">YEAR(需打标签!I131)</f>
        <v>#VALUE!</v>
      </c>
    </row>
    <row r="132" spans="4:9" x14ac:dyDescent="0.25">
      <c r="D132" t="str">
        <f>IF(LEN(需打标签!B132),H132&amp;"/"&amp;G132&amp;"/"&amp;I132,"")</f>
        <v/>
      </c>
      <c r="G132" s="64" t="e">
        <f ca="1">DAY(需打标签!I132)</f>
        <v>#VALUE!</v>
      </c>
      <c r="H132" s="64" t="e">
        <f ca="1">TEXT(MONTH(需打标签!I132)*28,"mmm")</f>
        <v>#VALUE!</v>
      </c>
      <c r="I132" s="64" t="e">
        <f ca="1">YEAR(需打标签!I132)</f>
        <v>#VALUE!</v>
      </c>
    </row>
    <row r="133" spans="4:9" x14ac:dyDescent="0.25">
      <c r="D133" t="str">
        <f>IF(LEN(需打标签!B133),H133&amp;"/"&amp;G133&amp;"/"&amp;I133,"")</f>
        <v/>
      </c>
      <c r="G133" s="64" t="e">
        <f ca="1">DAY(需打标签!I133)</f>
        <v>#VALUE!</v>
      </c>
      <c r="H133" s="64" t="e">
        <f ca="1">TEXT(MONTH(需打标签!I133)*28,"mmm")</f>
        <v>#VALUE!</v>
      </c>
      <c r="I133" s="64" t="e">
        <f ca="1">YEAR(需打标签!I133)</f>
        <v>#VALUE!</v>
      </c>
    </row>
    <row r="134" spans="4:9" x14ac:dyDescent="0.25">
      <c r="D134" t="str">
        <f>IF(LEN(需打标签!B134),H134&amp;"/"&amp;G134&amp;"/"&amp;I134,"")</f>
        <v/>
      </c>
      <c r="G134" s="64" t="e">
        <f ca="1">DAY(需打标签!I134)</f>
        <v>#VALUE!</v>
      </c>
      <c r="H134" s="64" t="e">
        <f ca="1">TEXT(MONTH(需打标签!I134)*28,"mmm")</f>
        <v>#VALUE!</v>
      </c>
      <c r="I134" s="64" t="e">
        <f ca="1">YEAR(需打标签!I134)</f>
        <v>#VALUE!</v>
      </c>
    </row>
    <row r="135" spans="4:9" x14ac:dyDescent="0.25">
      <c r="D135" t="str">
        <f>IF(LEN(需打标签!B135),H135&amp;"/"&amp;G135&amp;"/"&amp;I135,"")</f>
        <v/>
      </c>
      <c r="G135" s="64" t="e">
        <f ca="1">DAY(需打标签!I135)</f>
        <v>#VALUE!</v>
      </c>
      <c r="H135" s="64" t="e">
        <f ca="1">TEXT(MONTH(需打标签!I135)*28,"mmm")</f>
        <v>#VALUE!</v>
      </c>
      <c r="I135" s="64" t="e">
        <f ca="1">YEAR(需打标签!I135)</f>
        <v>#VALUE!</v>
      </c>
    </row>
    <row r="136" spans="4:9" x14ac:dyDescent="0.25">
      <c r="D136" t="str">
        <f>IF(LEN(需打标签!B136),H136&amp;"/"&amp;G136&amp;"/"&amp;I136,"")</f>
        <v/>
      </c>
      <c r="G136" s="64" t="e">
        <f ca="1">DAY(需打标签!I136)</f>
        <v>#VALUE!</v>
      </c>
      <c r="H136" s="64" t="e">
        <f ca="1">TEXT(MONTH(需打标签!I136)*28,"mmm")</f>
        <v>#VALUE!</v>
      </c>
      <c r="I136" s="64" t="e">
        <f ca="1">YEAR(需打标签!I136)</f>
        <v>#VALUE!</v>
      </c>
    </row>
    <row r="137" spans="4:9" x14ac:dyDescent="0.25">
      <c r="D137" t="str">
        <f>IF(LEN(需打标签!B137),H137&amp;"/"&amp;G137&amp;"/"&amp;I137,"")</f>
        <v/>
      </c>
      <c r="G137" s="64" t="e">
        <f ca="1">DAY(需打标签!I137)</f>
        <v>#VALUE!</v>
      </c>
      <c r="H137" s="64" t="e">
        <f ca="1">TEXT(MONTH(需打标签!I137)*28,"mmm")</f>
        <v>#VALUE!</v>
      </c>
      <c r="I137" s="64" t="e">
        <f ca="1">YEAR(需打标签!I137)</f>
        <v>#VALUE!</v>
      </c>
    </row>
    <row r="138" spans="4:9" x14ac:dyDescent="0.25">
      <c r="D138" t="str">
        <f>IF(LEN(需打标签!B138),H138&amp;"/"&amp;G138&amp;"/"&amp;I138,"")</f>
        <v/>
      </c>
      <c r="G138" s="64" t="e">
        <f ca="1">DAY(需打标签!I138)</f>
        <v>#VALUE!</v>
      </c>
      <c r="H138" s="64" t="e">
        <f ca="1">TEXT(MONTH(需打标签!I138)*28,"mmm")</f>
        <v>#VALUE!</v>
      </c>
      <c r="I138" s="64" t="e">
        <f ca="1">YEAR(需打标签!I138)</f>
        <v>#VALUE!</v>
      </c>
    </row>
    <row r="139" spans="4:9" x14ac:dyDescent="0.25">
      <c r="D139" t="str">
        <f>IF(LEN(需打标签!B139),H139&amp;"/"&amp;G139&amp;"/"&amp;I139,"")</f>
        <v/>
      </c>
      <c r="G139" s="64" t="e">
        <f ca="1">DAY(需打标签!I139)</f>
        <v>#VALUE!</v>
      </c>
      <c r="H139" s="64" t="e">
        <f ca="1">TEXT(MONTH(需打标签!I139)*28,"mmm")</f>
        <v>#VALUE!</v>
      </c>
      <c r="I139" s="64" t="e">
        <f ca="1">YEAR(需打标签!I139)</f>
        <v>#VALUE!</v>
      </c>
    </row>
    <row r="140" spans="4:9" x14ac:dyDescent="0.25">
      <c r="D140" t="str">
        <f>IF(LEN(需打标签!B140),H140&amp;"/"&amp;G140&amp;"/"&amp;I140,"")</f>
        <v/>
      </c>
      <c r="G140" s="64" t="e">
        <f ca="1">DAY(需打标签!I140)</f>
        <v>#VALUE!</v>
      </c>
      <c r="H140" s="64" t="e">
        <f ca="1">TEXT(MONTH(需打标签!I140)*28,"mmm")</f>
        <v>#VALUE!</v>
      </c>
      <c r="I140" s="64" t="e">
        <f ca="1">YEAR(需打标签!I140)</f>
        <v>#VALUE!</v>
      </c>
    </row>
    <row r="141" spans="4:9" x14ac:dyDescent="0.25">
      <c r="D141" t="str">
        <f>IF(LEN(需打标签!B141),H141&amp;"/"&amp;G141&amp;"/"&amp;I141,"")</f>
        <v/>
      </c>
      <c r="G141" s="64" t="e">
        <f ca="1">DAY(需打标签!I141)</f>
        <v>#VALUE!</v>
      </c>
      <c r="H141" s="64" t="e">
        <f ca="1">TEXT(MONTH(需打标签!I141)*28,"mmm")</f>
        <v>#VALUE!</v>
      </c>
      <c r="I141" s="64" t="e">
        <f ca="1">YEAR(需打标签!I141)</f>
        <v>#VALUE!</v>
      </c>
    </row>
    <row r="142" spans="4:9" x14ac:dyDescent="0.25">
      <c r="D142" t="str">
        <f>IF(LEN(需打标签!B142),H142&amp;"/"&amp;G142&amp;"/"&amp;I142,"")</f>
        <v/>
      </c>
      <c r="G142" s="64" t="e">
        <f ca="1">DAY(需打标签!I142)</f>
        <v>#VALUE!</v>
      </c>
      <c r="H142" s="64" t="e">
        <f ca="1">TEXT(MONTH(需打标签!I142)*28,"mmm")</f>
        <v>#VALUE!</v>
      </c>
      <c r="I142" s="64" t="e">
        <f ca="1">YEAR(需打标签!I142)</f>
        <v>#VALUE!</v>
      </c>
    </row>
    <row r="143" spans="4:9" x14ac:dyDescent="0.25">
      <c r="D143" t="str">
        <f>IF(LEN(需打标签!B143),H143&amp;"/"&amp;G143&amp;"/"&amp;I143,"")</f>
        <v/>
      </c>
      <c r="G143" s="64" t="e">
        <f ca="1">DAY(需打标签!I143)</f>
        <v>#VALUE!</v>
      </c>
      <c r="H143" s="64" t="e">
        <f ca="1">TEXT(MONTH(需打标签!I143)*28,"mmm")</f>
        <v>#VALUE!</v>
      </c>
      <c r="I143" s="64" t="e">
        <f ca="1">YEAR(需打标签!I143)</f>
        <v>#VALUE!</v>
      </c>
    </row>
    <row r="144" spans="4:9" x14ac:dyDescent="0.25">
      <c r="D144" t="str">
        <f>IF(LEN(需打标签!B144),H144&amp;"/"&amp;G144&amp;"/"&amp;I144,"")</f>
        <v/>
      </c>
      <c r="G144" s="64" t="e">
        <f ca="1">DAY(需打标签!I144)</f>
        <v>#VALUE!</v>
      </c>
      <c r="H144" s="64" t="e">
        <f ca="1">TEXT(MONTH(需打标签!I144)*28,"mmm")</f>
        <v>#VALUE!</v>
      </c>
      <c r="I144" s="64" t="e">
        <f ca="1">YEAR(需打标签!I144)</f>
        <v>#VALUE!</v>
      </c>
    </row>
    <row r="145" spans="4:9" x14ac:dyDescent="0.25">
      <c r="D145" t="str">
        <f>IF(LEN(需打标签!B145),H145&amp;"/"&amp;G145&amp;"/"&amp;I145,"")</f>
        <v/>
      </c>
      <c r="G145" s="64" t="e">
        <f ca="1">DAY(需打标签!I145)</f>
        <v>#VALUE!</v>
      </c>
      <c r="H145" s="64" t="e">
        <f ca="1">TEXT(MONTH(需打标签!I145)*28,"mmm")</f>
        <v>#VALUE!</v>
      </c>
      <c r="I145" s="64" t="e">
        <f ca="1">YEAR(需打标签!I145)</f>
        <v>#VALUE!</v>
      </c>
    </row>
    <row r="146" spans="4:9" x14ac:dyDescent="0.25">
      <c r="D146" t="str">
        <f>IF(LEN(需打标签!B146),H146&amp;"/"&amp;G146&amp;"/"&amp;I146,"")</f>
        <v/>
      </c>
      <c r="G146" s="64" t="e">
        <f ca="1">DAY(需打标签!I146)</f>
        <v>#VALUE!</v>
      </c>
      <c r="H146" s="64" t="e">
        <f ca="1">TEXT(MONTH(需打标签!I146)*28,"mmm")</f>
        <v>#VALUE!</v>
      </c>
      <c r="I146" s="64" t="e">
        <f ca="1">YEAR(需打标签!I146)</f>
        <v>#VALUE!</v>
      </c>
    </row>
    <row r="147" spans="4:9" x14ac:dyDescent="0.25">
      <c r="D147" t="str">
        <f>IF(LEN(需打标签!B147),H147&amp;"/"&amp;G147&amp;"/"&amp;I147,"")</f>
        <v/>
      </c>
      <c r="G147" s="64" t="e">
        <f ca="1">DAY(需打标签!I147)</f>
        <v>#VALUE!</v>
      </c>
      <c r="H147" s="64" t="e">
        <f ca="1">TEXT(MONTH(需打标签!I147)*28,"mmm")</f>
        <v>#VALUE!</v>
      </c>
      <c r="I147" s="64" t="e">
        <f ca="1">YEAR(需打标签!I147)</f>
        <v>#VALUE!</v>
      </c>
    </row>
    <row r="148" spans="4:9" x14ac:dyDescent="0.25">
      <c r="D148" t="str">
        <f>IF(LEN(需打标签!B148),H148&amp;"/"&amp;G148&amp;"/"&amp;I148,"")</f>
        <v/>
      </c>
      <c r="G148" s="64" t="e">
        <f ca="1">DAY(需打标签!I148)</f>
        <v>#VALUE!</v>
      </c>
      <c r="H148" s="64" t="e">
        <f ca="1">TEXT(MONTH(需打标签!I148)*28,"mmm")</f>
        <v>#VALUE!</v>
      </c>
      <c r="I148" s="64" t="e">
        <f ca="1">YEAR(需打标签!I148)</f>
        <v>#VALUE!</v>
      </c>
    </row>
    <row r="149" spans="4:9" x14ac:dyDescent="0.25">
      <c r="D149" t="str">
        <f>IF(LEN(需打标签!B149),H149&amp;"/"&amp;G149&amp;"/"&amp;I149,"")</f>
        <v/>
      </c>
      <c r="G149" s="64" t="e">
        <f ca="1">DAY(需打标签!I149)</f>
        <v>#VALUE!</v>
      </c>
      <c r="H149" s="64" t="e">
        <f ca="1">TEXT(MONTH(需打标签!I149)*28,"mmm")</f>
        <v>#VALUE!</v>
      </c>
      <c r="I149" s="64" t="e">
        <f ca="1">YEAR(需打标签!I149)</f>
        <v>#VALUE!</v>
      </c>
    </row>
    <row r="150" spans="4:9" x14ac:dyDescent="0.25">
      <c r="D150" t="str">
        <f>IF(LEN(需打标签!B150),H150&amp;"/"&amp;G150&amp;"/"&amp;I150,"")</f>
        <v/>
      </c>
      <c r="G150" s="64" t="e">
        <f ca="1">DAY(需打标签!I150)</f>
        <v>#VALUE!</v>
      </c>
      <c r="H150" s="64" t="e">
        <f ca="1">TEXT(MONTH(需打标签!I150)*28,"mmm")</f>
        <v>#VALUE!</v>
      </c>
      <c r="I150" s="64" t="e">
        <f ca="1">YEAR(需打标签!I150)</f>
        <v>#VALUE!</v>
      </c>
    </row>
    <row r="151" spans="4:9" x14ac:dyDescent="0.25">
      <c r="D151" t="str">
        <f>IF(LEN(需打标签!B151),H151&amp;"/"&amp;G151&amp;"/"&amp;I151,"")</f>
        <v/>
      </c>
      <c r="G151" s="64" t="e">
        <f ca="1">DAY(需打标签!I151)</f>
        <v>#VALUE!</v>
      </c>
      <c r="H151" s="64" t="e">
        <f ca="1">TEXT(MONTH(需打标签!I151)*28,"mmm")</f>
        <v>#VALUE!</v>
      </c>
      <c r="I151" s="64" t="e">
        <f ca="1">YEAR(需打标签!I151)</f>
        <v>#VALUE!</v>
      </c>
    </row>
    <row r="152" spans="4:9" x14ac:dyDescent="0.25">
      <c r="D152" t="str">
        <f>IF(LEN(需打标签!B152),H152&amp;"/"&amp;G152&amp;"/"&amp;I152,"")</f>
        <v/>
      </c>
      <c r="G152" s="64" t="e">
        <f ca="1">DAY(需打标签!I152)</f>
        <v>#VALUE!</v>
      </c>
      <c r="H152" s="64" t="e">
        <f ca="1">TEXT(MONTH(需打标签!I152)*28,"mmm")</f>
        <v>#VALUE!</v>
      </c>
      <c r="I152" s="64" t="e">
        <f ca="1">YEAR(需打标签!I152)</f>
        <v>#VALUE!</v>
      </c>
    </row>
    <row r="153" spans="4:9" x14ac:dyDescent="0.25">
      <c r="D153" t="str">
        <f>IF(LEN(需打标签!B153),H153&amp;"/"&amp;G153&amp;"/"&amp;I153,"")</f>
        <v/>
      </c>
      <c r="G153" s="64" t="e">
        <f ca="1">DAY(需打标签!I153)</f>
        <v>#VALUE!</v>
      </c>
      <c r="H153" s="64" t="e">
        <f ca="1">TEXT(MONTH(需打标签!I153)*28,"mmm")</f>
        <v>#VALUE!</v>
      </c>
      <c r="I153" s="64" t="e">
        <f ca="1">YEAR(需打标签!I153)</f>
        <v>#VALUE!</v>
      </c>
    </row>
    <row r="154" spans="4:9" x14ac:dyDescent="0.25">
      <c r="D154" t="str">
        <f>IF(LEN(需打标签!B154),H154&amp;"/"&amp;G154&amp;"/"&amp;I154,"")</f>
        <v/>
      </c>
      <c r="G154" s="64" t="e">
        <f ca="1">DAY(需打标签!I154)</f>
        <v>#VALUE!</v>
      </c>
      <c r="H154" s="64" t="e">
        <f ca="1">TEXT(MONTH(需打标签!I154)*28,"mmm")</f>
        <v>#VALUE!</v>
      </c>
      <c r="I154" s="64" t="e">
        <f ca="1">YEAR(需打标签!I154)</f>
        <v>#VALUE!</v>
      </c>
    </row>
    <row r="155" spans="4:9" x14ac:dyDescent="0.25">
      <c r="D155" t="str">
        <f>IF(LEN(需打标签!B155),H155&amp;"/"&amp;G155&amp;"/"&amp;I155,"")</f>
        <v/>
      </c>
      <c r="G155" s="64" t="e">
        <f ca="1">DAY(需打标签!I155)</f>
        <v>#VALUE!</v>
      </c>
      <c r="H155" s="64" t="e">
        <f ca="1">TEXT(MONTH(需打标签!I155)*28,"mmm")</f>
        <v>#VALUE!</v>
      </c>
      <c r="I155" s="64" t="e">
        <f ca="1">YEAR(需打标签!I155)</f>
        <v>#VALUE!</v>
      </c>
    </row>
    <row r="156" spans="4:9" x14ac:dyDescent="0.25">
      <c r="D156" t="str">
        <f>IF(LEN(需打标签!B156),H156&amp;"/"&amp;G156&amp;"/"&amp;I156,"")</f>
        <v/>
      </c>
      <c r="G156" s="64" t="e">
        <f ca="1">DAY(需打标签!I156)</f>
        <v>#VALUE!</v>
      </c>
      <c r="H156" s="64" t="e">
        <f ca="1">TEXT(MONTH(需打标签!I156)*28,"mmm")</f>
        <v>#VALUE!</v>
      </c>
      <c r="I156" s="64" t="e">
        <f ca="1">YEAR(需打标签!I156)</f>
        <v>#VALUE!</v>
      </c>
    </row>
    <row r="157" spans="4:9" x14ac:dyDescent="0.25">
      <c r="D157" t="str">
        <f>IF(LEN(需打标签!B157),H157&amp;"/"&amp;G157&amp;"/"&amp;I157,"")</f>
        <v/>
      </c>
      <c r="G157" s="64" t="e">
        <f ca="1">DAY(需打标签!I157)</f>
        <v>#VALUE!</v>
      </c>
      <c r="H157" s="64" t="e">
        <f ca="1">TEXT(MONTH(需打标签!I157)*28,"mmm")</f>
        <v>#VALUE!</v>
      </c>
      <c r="I157" s="64" t="e">
        <f ca="1">YEAR(需打标签!I157)</f>
        <v>#VALUE!</v>
      </c>
    </row>
    <row r="158" spans="4:9" x14ac:dyDescent="0.25">
      <c r="D158" t="str">
        <f>IF(LEN(需打标签!B158),H158&amp;"/"&amp;G158&amp;"/"&amp;I158,"")</f>
        <v/>
      </c>
      <c r="G158" s="64" t="e">
        <f ca="1">DAY(需打标签!I158)</f>
        <v>#VALUE!</v>
      </c>
      <c r="H158" s="64" t="e">
        <f ca="1">TEXT(MONTH(需打标签!I158)*28,"mmm")</f>
        <v>#VALUE!</v>
      </c>
      <c r="I158" s="64" t="e">
        <f ca="1">YEAR(需打标签!I158)</f>
        <v>#VALUE!</v>
      </c>
    </row>
    <row r="159" spans="4:9" x14ac:dyDescent="0.25">
      <c r="D159" t="str">
        <f>IF(LEN(需打标签!B159),H159&amp;"/"&amp;G159&amp;"/"&amp;I159,"")</f>
        <v/>
      </c>
      <c r="G159" s="64" t="e">
        <f ca="1">DAY(需打标签!I159)</f>
        <v>#VALUE!</v>
      </c>
      <c r="H159" s="64" t="e">
        <f ca="1">TEXT(MONTH(需打标签!I159)*28,"mmm")</f>
        <v>#VALUE!</v>
      </c>
      <c r="I159" s="64" t="e">
        <f ca="1">YEAR(需打标签!I159)</f>
        <v>#VALUE!</v>
      </c>
    </row>
    <row r="160" spans="4:9" x14ac:dyDescent="0.25">
      <c r="D160" t="str">
        <f>IF(LEN(需打标签!B160),H160&amp;"/"&amp;G160&amp;"/"&amp;I160,"")</f>
        <v/>
      </c>
      <c r="G160" s="64" t="e">
        <f ca="1">DAY(需打标签!I160)</f>
        <v>#VALUE!</v>
      </c>
      <c r="H160" s="64" t="e">
        <f ca="1">TEXT(MONTH(需打标签!I160)*28,"mmm")</f>
        <v>#VALUE!</v>
      </c>
      <c r="I160" s="64" t="e">
        <f ca="1">YEAR(需打标签!I160)</f>
        <v>#VALUE!</v>
      </c>
    </row>
    <row r="161" spans="4:9" x14ac:dyDescent="0.25">
      <c r="D161" t="str">
        <f>IF(LEN(需打标签!B161),H161&amp;"/"&amp;G161&amp;"/"&amp;I161,"")</f>
        <v/>
      </c>
      <c r="G161" s="64" t="e">
        <f ca="1">DAY(需打标签!I161)</f>
        <v>#VALUE!</v>
      </c>
      <c r="H161" s="64" t="e">
        <f ca="1">TEXT(MONTH(需打标签!I161)*28,"mmm")</f>
        <v>#VALUE!</v>
      </c>
      <c r="I161" s="64" t="e">
        <f ca="1">YEAR(需打标签!I161)</f>
        <v>#VALUE!</v>
      </c>
    </row>
    <row r="162" spans="4:9" x14ac:dyDescent="0.25">
      <c r="D162" t="str">
        <f>IF(LEN(需打标签!B162),H162&amp;"/"&amp;G162&amp;"/"&amp;I162,"")</f>
        <v/>
      </c>
      <c r="G162" s="64" t="e">
        <f ca="1">DAY(需打标签!I162)</f>
        <v>#VALUE!</v>
      </c>
      <c r="H162" s="64" t="e">
        <f ca="1">TEXT(MONTH(需打标签!I162)*28,"mmm")</f>
        <v>#VALUE!</v>
      </c>
      <c r="I162" s="64" t="e">
        <f ca="1">YEAR(需打标签!I162)</f>
        <v>#VALUE!</v>
      </c>
    </row>
    <row r="163" spans="4:9" x14ac:dyDescent="0.25">
      <c r="D163" t="str">
        <f>IF(LEN(需打标签!B163),H163&amp;"/"&amp;G163&amp;"/"&amp;I163,"")</f>
        <v/>
      </c>
      <c r="G163" s="64" t="e">
        <f ca="1">DAY(需打标签!I163)</f>
        <v>#VALUE!</v>
      </c>
      <c r="H163" s="64" t="e">
        <f ca="1">TEXT(MONTH(需打标签!I163)*28,"mmm")</f>
        <v>#VALUE!</v>
      </c>
      <c r="I163" s="64" t="e">
        <f ca="1">YEAR(需打标签!I163)</f>
        <v>#VALUE!</v>
      </c>
    </row>
    <row r="164" spans="4:9" x14ac:dyDescent="0.25">
      <c r="D164" t="str">
        <f>IF(LEN(需打标签!B164),H164&amp;"/"&amp;G164&amp;"/"&amp;I164,"")</f>
        <v/>
      </c>
      <c r="G164" s="64" t="e">
        <f ca="1">DAY(需打标签!I164)</f>
        <v>#VALUE!</v>
      </c>
      <c r="H164" s="64" t="e">
        <f ca="1">TEXT(MONTH(需打标签!I164)*28,"mmm")</f>
        <v>#VALUE!</v>
      </c>
      <c r="I164" s="64" t="e">
        <f ca="1">YEAR(需打标签!I164)</f>
        <v>#VALUE!</v>
      </c>
    </row>
    <row r="165" spans="4:9" x14ac:dyDescent="0.25">
      <c r="D165" t="str">
        <f>IF(LEN(需打标签!B165),H165&amp;"/"&amp;G165&amp;"/"&amp;I165,"")</f>
        <v/>
      </c>
      <c r="G165" s="64" t="e">
        <f ca="1">DAY(需打标签!I165)</f>
        <v>#VALUE!</v>
      </c>
      <c r="H165" s="64" t="e">
        <f ca="1">TEXT(MONTH(需打标签!I165)*28,"mmm")</f>
        <v>#VALUE!</v>
      </c>
      <c r="I165" s="64" t="e">
        <f ca="1">YEAR(需打标签!I165)</f>
        <v>#VALUE!</v>
      </c>
    </row>
    <row r="166" spans="4:9" x14ac:dyDescent="0.25">
      <c r="D166" t="str">
        <f>IF(LEN(需打标签!B166),H166&amp;"/"&amp;G166&amp;"/"&amp;I166,"")</f>
        <v/>
      </c>
      <c r="G166" s="64" t="e">
        <f ca="1">DAY(需打标签!I166)</f>
        <v>#VALUE!</v>
      </c>
      <c r="H166" s="64" t="e">
        <f ca="1">TEXT(MONTH(需打标签!I166)*28,"mmm")</f>
        <v>#VALUE!</v>
      </c>
      <c r="I166" s="64" t="e">
        <f ca="1">YEAR(需打标签!I166)</f>
        <v>#VALUE!</v>
      </c>
    </row>
    <row r="167" spans="4:9" x14ac:dyDescent="0.25">
      <c r="D167" t="str">
        <f>IF(LEN(需打标签!B167),H167&amp;"/"&amp;G167&amp;"/"&amp;I167,"")</f>
        <v/>
      </c>
      <c r="G167" s="64" t="e">
        <f ca="1">DAY(需打标签!I167)</f>
        <v>#VALUE!</v>
      </c>
      <c r="H167" s="64" t="e">
        <f ca="1">TEXT(MONTH(需打标签!I167)*28,"mmm")</f>
        <v>#VALUE!</v>
      </c>
      <c r="I167" s="64" t="e">
        <f ca="1">YEAR(需打标签!I167)</f>
        <v>#VALUE!</v>
      </c>
    </row>
    <row r="168" spans="4:9" x14ac:dyDescent="0.25">
      <c r="D168" t="str">
        <f>IF(LEN(需打标签!B168),H168&amp;"/"&amp;G168&amp;"/"&amp;I168,"")</f>
        <v/>
      </c>
      <c r="G168" s="64" t="e">
        <f ca="1">DAY(需打标签!I168)</f>
        <v>#VALUE!</v>
      </c>
      <c r="H168" s="64" t="e">
        <f ca="1">TEXT(MONTH(需打标签!I168)*28,"mmm")</f>
        <v>#VALUE!</v>
      </c>
      <c r="I168" s="64" t="e">
        <f ca="1">YEAR(需打标签!I168)</f>
        <v>#VALUE!</v>
      </c>
    </row>
    <row r="169" spans="4:9" x14ac:dyDescent="0.25">
      <c r="D169" t="str">
        <f>IF(LEN(需打标签!B169),H169&amp;"/"&amp;G169&amp;"/"&amp;I169,"")</f>
        <v/>
      </c>
      <c r="G169" s="64" t="e">
        <f ca="1">DAY(需打标签!I169)</f>
        <v>#VALUE!</v>
      </c>
      <c r="H169" s="64" t="e">
        <f ca="1">TEXT(MONTH(需打标签!I169)*28,"mmm")</f>
        <v>#VALUE!</v>
      </c>
      <c r="I169" s="64" t="e">
        <f ca="1">YEAR(需打标签!I169)</f>
        <v>#VALUE!</v>
      </c>
    </row>
    <row r="170" spans="4:9" x14ac:dyDescent="0.25">
      <c r="D170" t="str">
        <f>IF(LEN(需打标签!B170),H170&amp;"/"&amp;G170&amp;"/"&amp;I170,"")</f>
        <v/>
      </c>
      <c r="G170" s="64" t="e">
        <f ca="1">DAY(需打标签!I170)</f>
        <v>#VALUE!</v>
      </c>
      <c r="H170" s="64" t="e">
        <f ca="1">TEXT(MONTH(需打标签!I170)*28,"mmm")</f>
        <v>#VALUE!</v>
      </c>
      <c r="I170" s="64" t="e">
        <f ca="1">YEAR(需打标签!I170)</f>
        <v>#VALUE!</v>
      </c>
    </row>
    <row r="171" spans="4:9" x14ac:dyDescent="0.25">
      <c r="D171" t="str">
        <f>IF(LEN(需打标签!B171),H171&amp;"/"&amp;G171&amp;"/"&amp;I171,"")</f>
        <v/>
      </c>
      <c r="G171" s="64" t="e">
        <f ca="1">DAY(需打标签!I171)</f>
        <v>#VALUE!</v>
      </c>
      <c r="H171" s="64" t="e">
        <f ca="1">TEXT(MONTH(需打标签!I171)*28,"mmm")</f>
        <v>#VALUE!</v>
      </c>
      <c r="I171" s="64" t="e">
        <f ca="1">YEAR(需打标签!I171)</f>
        <v>#VALUE!</v>
      </c>
    </row>
    <row r="172" spans="4:9" x14ac:dyDescent="0.25">
      <c r="D172" t="str">
        <f>IF(LEN(需打标签!B172),H172&amp;"/"&amp;G172&amp;"/"&amp;I172,"")</f>
        <v/>
      </c>
      <c r="G172" s="64" t="e">
        <f ca="1">DAY(需打标签!I172)</f>
        <v>#VALUE!</v>
      </c>
      <c r="H172" s="64" t="e">
        <f ca="1">TEXT(MONTH(需打标签!I172)*28,"mmm")</f>
        <v>#VALUE!</v>
      </c>
      <c r="I172" s="64" t="e">
        <f ca="1">YEAR(需打标签!I172)</f>
        <v>#VALUE!</v>
      </c>
    </row>
    <row r="173" spans="4:9" x14ac:dyDescent="0.25">
      <c r="D173" t="str">
        <f>IF(LEN(需打标签!B173),H173&amp;"/"&amp;G173&amp;"/"&amp;I173,"")</f>
        <v/>
      </c>
      <c r="G173" s="64" t="e">
        <f ca="1">DAY(需打标签!I173)</f>
        <v>#VALUE!</v>
      </c>
      <c r="H173" s="64" t="e">
        <f ca="1">TEXT(MONTH(需打标签!I173)*28,"mmm")</f>
        <v>#VALUE!</v>
      </c>
      <c r="I173" s="64" t="e">
        <f ca="1">YEAR(需打标签!I173)</f>
        <v>#VALUE!</v>
      </c>
    </row>
    <row r="174" spans="4:9" x14ac:dyDescent="0.25">
      <c r="D174" t="str">
        <f>IF(LEN(需打标签!B174),H174&amp;"/"&amp;G174&amp;"/"&amp;I174,"")</f>
        <v/>
      </c>
      <c r="G174" s="64" t="e">
        <f ca="1">DAY(需打标签!I174)</f>
        <v>#VALUE!</v>
      </c>
      <c r="H174" s="64" t="e">
        <f ca="1">TEXT(MONTH(需打标签!I174)*28,"mmm")</f>
        <v>#VALUE!</v>
      </c>
      <c r="I174" s="64" t="e">
        <f ca="1">YEAR(需打标签!I174)</f>
        <v>#VALUE!</v>
      </c>
    </row>
    <row r="175" spans="4:9" x14ac:dyDescent="0.25">
      <c r="D175" t="str">
        <f>IF(LEN(需打标签!B175),H175&amp;"/"&amp;G175&amp;"/"&amp;I175,"")</f>
        <v/>
      </c>
      <c r="G175" s="64" t="e">
        <f ca="1">DAY(需打标签!I175)</f>
        <v>#VALUE!</v>
      </c>
      <c r="H175" s="64" t="e">
        <f ca="1">TEXT(MONTH(需打标签!I175)*28,"mmm")</f>
        <v>#VALUE!</v>
      </c>
      <c r="I175" s="64" t="e">
        <f ca="1">YEAR(需打标签!I175)</f>
        <v>#VALUE!</v>
      </c>
    </row>
    <row r="176" spans="4:9" x14ac:dyDescent="0.25">
      <c r="D176" t="str">
        <f>IF(LEN(需打标签!B176),H176&amp;"/"&amp;G176&amp;"/"&amp;I176,"")</f>
        <v/>
      </c>
      <c r="G176" s="64" t="e">
        <f ca="1">DAY(需打标签!I176)</f>
        <v>#VALUE!</v>
      </c>
      <c r="H176" s="64" t="e">
        <f ca="1">TEXT(MONTH(需打标签!I176)*28,"mmm")</f>
        <v>#VALUE!</v>
      </c>
      <c r="I176" s="64" t="e">
        <f ca="1">YEAR(需打标签!I176)</f>
        <v>#VALUE!</v>
      </c>
    </row>
    <row r="177" spans="4:9" x14ac:dyDescent="0.25">
      <c r="D177" t="str">
        <f>IF(LEN(需打标签!B177),H177&amp;"/"&amp;G177&amp;"/"&amp;I177,"")</f>
        <v/>
      </c>
      <c r="G177" s="64" t="e">
        <f ca="1">DAY(需打标签!I177)</f>
        <v>#VALUE!</v>
      </c>
      <c r="H177" s="64" t="e">
        <f ca="1">TEXT(MONTH(需打标签!I177)*28,"mmm")</f>
        <v>#VALUE!</v>
      </c>
      <c r="I177" s="64" t="e">
        <f ca="1">YEAR(需打标签!I177)</f>
        <v>#VALUE!</v>
      </c>
    </row>
    <row r="178" spans="4:9" x14ac:dyDescent="0.25">
      <c r="D178" t="str">
        <f>IF(LEN(需打标签!B178),H178&amp;"/"&amp;G178&amp;"/"&amp;I178,"")</f>
        <v/>
      </c>
      <c r="G178" s="64" t="e">
        <f ca="1">DAY(需打标签!I178)</f>
        <v>#VALUE!</v>
      </c>
      <c r="H178" s="64" t="e">
        <f ca="1">TEXT(MONTH(需打标签!I178)*28,"mmm")</f>
        <v>#VALUE!</v>
      </c>
      <c r="I178" s="64" t="e">
        <f ca="1">YEAR(需打标签!I178)</f>
        <v>#VALUE!</v>
      </c>
    </row>
    <row r="179" spans="4:9" x14ac:dyDescent="0.25">
      <c r="D179" t="str">
        <f>IF(LEN(需打标签!B179),H179&amp;"/"&amp;G179&amp;"/"&amp;I179,"")</f>
        <v/>
      </c>
      <c r="G179" s="64" t="e">
        <f ca="1">DAY(需打标签!I179)</f>
        <v>#VALUE!</v>
      </c>
      <c r="H179" s="64" t="e">
        <f ca="1">TEXT(MONTH(需打标签!I179)*28,"mmm")</f>
        <v>#VALUE!</v>
      </c>
      <c r="I179" s="64" t="e">
        <f ca="1">YEAR(需打标签!I179)</f>
        <v>#VALUE!</v>
      </c>
    </row>
    <row r="180" spans="4:9" x14ac:dyDescent="0.25">
      <c r="D180" t="str">
        <f>IF(LEN(需打标签!B180),H180&amp;"/"&amp;G180&amp;"/"&amp;I180,"")</f>
        <v/>
      </c>
      <c r="G180" s="64" t="e">
        <f ca="1">DAY(需打标签!I180)</f>
        <v>#VALUE!</v>
      </c>
      <c r="H180" s="64" t="e">
        <f ca="1">TEXT(MONTH(需打标签!I180)*28,"mmm")</f>
        <v>#VALUE!</v>
      </c>
      <c r="I180" s="64" t="e">
        <f ca="1">YEAR(需打标签!I180)</f>
        <v>#VALUE!</v>
      </c>
    </row>
    <row r="181" spans="4:9" x14ac:dyDescent="0.25">
      <c r="D181" t="str">
        <f>IF(LEN(需打标签!B181),H181&amp;"/"&amp;G181&amp;"/"&amp;I181,"")</f>
        <v/>
      </c>
      <c r="G181" s="64" t="e">
        <f ca="1">DAY(需打标签!I181)</f>
        <v>#VALUE!</v>
      </c>
      <c r="H181" s="64" t="e">
        <f ca="1">TEXT(MONTH(需打标签!I181)*28,"mmm")</f>
        <v>#VALUE!</v>
      </c>
      <c r="I181" s="64" t="e">
        <f ca="1">YEAR(需打标签!I181)</f>
        <v>#VALUE!</v>
      </c>
    </row>
    <row r="182" spans="4:9" x14ac:dyDescent="0.25">
      <c r="D182" t="str">
        <f>IF(LEN(需打标签!B182),H182&amp;"/"&amp;G182&amp;"/"&amp;I182,"")</f>
        <v/>
      </c>
      <c r="G182" s="64" t="e">
        <f ca="1">DAY(需打标签!I182)</f>
        <v>#VALUE!</v>
      </c>
      <c r="H182" s="64" t="e">
        <f ca="1">TEXT(MONTH(需打标签!I182)*28,"mmm")</f>
        <v>#VALUE!</v>
      </c>
      <c r="I182" s="64" t="e">
        <f ca="1">YEAR(需打标签!I182)</f>
        <v>#VALUE!</v>
      </c>
    </row>
    <row r="183" spans="4:9" x14ac:dyDescent="0.25">
      <c r="D183" t="str">
        <f>IF(LEN(需打标签!B183),H183&amp;"/"&amp;G183&amp;"/"&amp;I183,"")</f>
        <v/>
      </c>
      <c r="G183" s="64" t="e">
        <f ca="1">DAY(需打标签!I183)</f>
        <v>#VALUE!</v>
      </c>
      <c r="H183" s="64" t="e">
        <f ca="1">TEXT(MONTH(需打标签!I183)*28,"mmm")</f>
        <v>#VALUE!</v>
      </c>
      <c r="I183" s="64" t="e">
        <f ca="1">YEAR(需打标签!I183)</f>
        <v>#VALUE!</v>
      </c>
    </row>
    <row r="184" spans="4:9" x14ac:dyDescent="0.25">
      <c r="D184" t="str">
        <f>IF(LEN(需打标签!B184),H184&amp;"/"&amp;G184&amp;"/"&amp;I184,"")</f>
        <v/>
      </c>
      <c r="G184" s="64" t="e">
        <f ca="1">DAY(需打标签!I184)</f>
        <v>#VALUE!</v>
      </c>
      <c r="H184" s="64" t="e">
        <f ca="1">TEXT(MONTH(需打标签!I184)*28,"mmm")</f>
        <v>#VALUE!</v>
      </c>
      <c r="I184" s="64" t="e">
        <f ca="1">YEAR(需打标签!I184)</f>
        <v>#VALUE!</v>
      </c>
    </row>
    <row r="185" spans="4:9" x14ac:dyDescent="0.25">
      <c r="D185" t="str">
        <f>IF(LEN(需打标签!B185),H185&amp;"/"&amp;G185&amp;"/"&amp;I185,"")</f>
        <v/>
      </c>
      <c r="G185" s="64" t="e">
        <f ca="1">DAY(需打标签!I185)</f>
        <v>#VALUE!</v>
      </c>
      <c r="H185" s="64" t="e">
        <f ca="1">TEXT(MONTH(需打标签!I185)*28,"mmm")</f>
        <v>#VALUE!</v>
      </c>
      <c r="I185" s="64" t="e">
        <f ca="1">YEAR(需打标签!I185)</f>
        <v>#VALUE!</v>
      </c>
    </row>
    <row r="186" spans="4:9" x14ac:dyDescent="0.25">
      <c r="D186" t="str">
        <f>IF(LEN(需打标签!B186),H186&amp;"/"&amp;G186&amp;"/"&amp;I186,"")</f>
        <v/>
      </c>
      <c r="G186" s="64" t="e">
        <f ca="1">DAY(需打标签!I186)</f>
        <v>#VALUE!</v>
      </c>
      <c r="H186" s="64" t="e">
        <f ca="1">TEXT(MONTH(需打标签!I186)*28,"mmm")</f>
        <v>#VALUE!</v>
      </c>
      <c r="I186" s="64" t="e">
        <f ca="1">YEAR(需打标签!I186)</f>
        <v>#VALUE!</v>
      </c>
    </row>
    <row r="187" spans="4:9" x14ac:dyDescent="0.25">
      <c r="D187" t="str">
        <f>IF(LEN(需打标签!B187),H187&amp;"/"&amp;G187&amp;"/"&amp;I187,"")</f>
        <v/>
      </c>
      <c r="G187" s="64" t="e">
        <f ca="1">DAY(需打标签!I187)</f>
        <v>#VALUE!</v>
      </c>
      <c r="H187" s="64" t="e">
        <f ca="1">TEXT(MONTH(需打标签!I187)*28,"mmm")</f>
        <v>#VALUE!</v>
      </c>
      <c r="I187" s="64" t="e">
        <f ca="1">YEAR(需打标签!I187)</f>
        <v>#VALUE!</v>
      </c>
    </row>
    <row r="188" spans="4:9" x14ac:dyDescent="0.25">
      <c r="D188" t="str">
        <f>IF(LEN(需打标签!B188),H188&amp;"/"&amp;G188&amp;"/"&amp;I188,"")</f>
        <v/>
      </c>
      <c r="G188" s="64" t="e">
        <f ca="1">DAY(需打标签!I188)</f>
        <v>#VALUE!</v>
      </c>
      <c r="H188" s="64" t="e">
        <f ca="1">TEXT(MONTH(需打标签!I188)*28,"mmm")</f>
        <v>#VALUE!</v>
      </c>
      <c r="I188" s="64" t="e">
        <f ca="1">YEAR(需打标签!I188)</f>
        <v>#VALUE!</v>
      </c>
    </row>
    <row r="189" spans="4:9" x14ac:dyDescent="0.25">
      <c r="D189" t="str">
        <f>IF(LEN(需打标签!B189),H189&amp;"/"&amp;G189&amp;"/"&amp;I189,"")</f>
        <v/>
      </c>
      <c r="G189" s="64" t="e">
        <f ca="1">DAY(需打标签!I189)</f>
        <v>#VALUE!</v>
      </c>
      <c r="H189" s="64" t="e">
        <f ca="1">TEXT(MONTH(需打标签!I189)*28,"mmm")</f>
        <v>#VALUE!</v>
      </c>
      <c r="I189" s="64" t="e">
        <f ca="1">YEAR(需打标签!I189)</f>
        <v>#VALUE!</v>
      </c>
    </row>
    <row r="190" spans="4:9" x14ac:dyDescent="0.25">
      <c r="D190" t="str">
        <f>IF(LEN(需打标签!B190),H190&amp;"/"&amp;G190&amp;"/"&amp;I190,"")</f>
        <v/>
      </c>
      <c r="G190" s="64" t="e">
        <f ca="1">DAY(需打标签!I190)</f>
        <v>#VALUE!</v>
      </c>
      <c r="H190" s="64" t="e">
        <f ca="1">TEXT(MONTH(需打标签!I190)*28,"mmm")</f>
        <v>#VALUE!</v>
      </c>
      <c r="I190" s="64" t="e">
        <f ca="1">YEAR(需打标签!I190)</f>
        <v>#VALUE!</v>
      </c>
    </row>
    <row r="191" spans="4:9" x14ac:dyDescent="0.25">
      <c r="D191" t="str">
        <f>IF(LEN(需打标签!B191),H191&amp;"/"&amp;G191&amp;"/"&amp;I191,"")</f>
        <v/>
      </c>
      <c r="G191" s="64" t="e">
        <f ca="1">DAY(需打标签!I191)</f>
        <v>#VALUE!</v>
      </c>
      <c r="H191" s="64" t="e">
        <f ca="1">TEXT(MONTH(需打标签!I191)*28,"mmm")</f>
        <v>#VALUE!</v>
      </c>
      <c r="I191" s="64" t="e">
        <f ca="1">YEAR(需打标签!I191)</f>
        <v>#VALUE!</v>
      </c>
    </row>
    <row r="192" spans="4:9" x14ac:dyDescent="0.25">
      <c r="D192" t="str">
        <f>IF(LEN(需打标签!B192),H192&amp;"/"&amp;G192&amp;"/"&amp;I192,"")</f>
        <v/>
      </c>
      <c r="G192" s="64" t="e">
        <f ca="1">DAY(需打标签!I192)</f>
        <v>#VALUE!</v>
      </c>
      <c r="H192" s="64" t="e">
        <f ca="1">TEXT(MONTH(需打标签!I192)*28,"mmm")</f>
        <v>#VALUE!</v>
      </c>
      <c r="I192" s="64" t="e">
        <f ca="1">YEAR(需打标签!I192)</f>
        <v>#VALUE!</v>
      </c>
    </row>
    <row r="193" spans="4:9" x14ac:dyDescent="0.25">
      <c r="D193" t="str">
        <f>IF(LEN(需打标签!B193),H193&amp;"/"&amp;G193&amp;"/"&amp;I193,"")</f>
        <v/>
      </c>
      <c r="G193" s="64" t="e">
        <f ca="1">DAY(需打标签!I193)</f>
        <v>#VALUE!</v>
      </c>
      <c r="H193" s="64" t="e">
        <f ca="1">TEXT(MONTH(需打标签!I193)*28,"mmm")</f>
        <v>#VALUE!</v>
      </c>
      <c r="I193" s="64" t="e">
        <f ca="1">YEAR(需打标签!I193)</f>
        <v>#VALUE!</v>
      </c>
    </row>
    <row r="194" spans="4:9" x14ac:dyDescent="0.25">
      <c r="D194" t="str">
        <f>IF(LEN(需打标签!B194),H194&amp;"/"&amp;G194&amp;"/"&amp;I194,"")</f>
        <v/>
      </c>
      <c r="G194" s="64" t="e">
        <f ca="1">DAY(需打标签!I194)</f>
        <v>#VALUE!</v>
      </c>
      <c r="H194" s="64" t="e">
        <f ca="1">TEXT(MONTH(需打标签!I194)*28,"mmm")</f>
        <v>#VALUE!</v>
      </c>
      <c r="I194" s="64" t="e">
        <f ca="1">YEAR(需打标签!I194)</f>
        <v>#VALUE!</v>
      </c>
    </row>
    <row r="195" spans="4:9" x14ac:dyDescent="0.25">
      <c r="D195" t="str">
        <f>IF(LEN(需打标签!B195),H195&amp;"/"&amp;G195&amp;"/"&amp;I195,"")</f>
        <v/>
      </c>
      <c r="G195" s="64" t="e">
        <f ca="1">DAY(需打标签!I195)</f>
        <v>#VALUE!</v>
      </c>
      <c r="H195" s="64" t="e">
        <f ca="1">TEXT(MONTH(需打标签!I195)*28,"mmm")</f>
        <v>#VALUE!</v>
      </c>
      <c r="I195" s="64" t="e">
        <f ca="1">YEAR(需打标签!I195)</f>
        <v>#VALUE!</v>
      </c>
    </row>
    <row r="196" spans="4:9" x14ac:dyDescent="0.25">
      <c r="D196" t="str">
        <f>IF(LEN(需打标签!B196),H196&amp;"/"&amp;G196&amp;"/"&amp;I196,"")</f>
        <v/>
      </c>
      <c r="G196" s="64" t="e">
        <f ca="1">DAY(需打标签!I196)</f>
        <v>#VALUE!</v>
      </c>
      <c r="H196" s="64" t="e">
        <f ca="1">TEXT(MONTH(需打标签!I196)*28,"mmm")</f>
        <v>#VALUE!</v>
      </c>
      <c r="I196" s="64" t="e">
        <f ca="1">YEAR(需打标签!I196)</f>
        <v>#VALUE!</v>
      </c>
    </row>
    <row r="197" spans="4:9" x14ac:dyDescent="0.25">
      <c r="D197" t="str">
        <f>IF(LEN(需打标签!B197),H197&amp;"/"&amp;G197&amp;"/"&amp;I197,"")</f>
        <v/>
      </c>
      <c r="G197" s="64" t="e">
        <f ca="1">DAY(需打标签!I197)</f>
        <v>#VALUE!</v>
      </c>
      <c r="H197" s="64" t="e">
        <f ca="1">TEXT(MONTH(需打标签!I197)*28,"mmm")</f>
        <v>#VALUE!</v>
      </c>
      <c r="I197" s="64" t="e">
        <f ca="1">YEAR(需打标签!I197)</f>
        <v>#VALUE!</v>
      </c>
    </row>
    <row r="198" spans="4:9" x14ac:dyDescent="0.25">
      <c r="D198" t="str">
        <f>IF(LEN(需打标签!B198),H198&amp;"/"&amp;G198&amp;"/"&amp;I198,"")</f>
        <v/>
      </c>
      <c r="G198" s="64" t="e">
        <f ca="1">DAY(需打标签!I198)</f>
        <v>#VALUE!</v>
      </c>
      <c r="H198" s="64" t="e">
        <f ca="1">TEXT(MONTH(需打标签!I198)*28,"mmm")</f>
        <v>#VALUE!</v>
      </c>
      <c r="I198" s="64" t="e">
        <f ca="1">YEAR(需打标签!I198)</f>
        <v>#VALUE!</v>
      </c>
    </row>
    <row r="199" spans="4:9" x14ac:dyDescent="0.25">
      <c r="D199" t="str">
        <f>IF(LEN(需打标签!B199),H199&amp;"/"&amp;G199&amp;"/"&amp;I199,"")</f>
        <v/>
      </c>
      <c r="G199" s="64" t="e">
        <f ca="1">DAY(需打标签!I199)</f>
        <v>#VALUE!</v>
      </c>
      <c r="H199" s="64" t="e">
        <f ca="1">TEXT(MONTH(需打标签!I199)*28,"mmm")</f>
        <v>#VALUE!</v>
      </c>
      <c r="I199" s="64" t="e">
        <f ca="1">YEAR(需打标签!I199)</f>
        <v>#VALUE!</v>
      </c>
    </row>
    <row r="200" spans="4:9" x14ac:dyDescent="0.25">
      <c r="D200" t="str">
        <f>IF(LEN(需打标签!B200),H200&amp;"/"&amp;G200&amp;"/"&amp;I200,"")</f>
        <v/>
      </c>
      <c r="G200" s="64" t="e">
        <f ca="1">DAY(需打标签!I200)</f>
        <v>#VALUE!</v>
      </c>
      <c r="H200" s="64" t="e">
        <f ca="1">TEXT(MONTH(需打标签!I200)*28,"mmm")</f>
        <v>#VALUE!</v>
      </c>
      <c r="I200" s="64" t="e">
        <f ca="1">YEAR(需打标签!I200)</f>
        <v>#VALUE!</v>
      </c>
    </row>
    <row r="201" spans="4:9" x14ac:dyDescent="0.25">
      <c r="D201" t="str">
        <f>IF(LEN(需打标签!B201),H201&amp;"/"&amp;G201&amp;"/"&amp;I201,"")</f>
        <v/>
      </c>
      <c r="G201" s="64" t="e">
        <f ca="1">DAY(需打标签!I201)</f>
        <v>#VALUE!</v>
      </c>
      <c r="H201" s="64" t="e">
        <f ca="1">TEXT(MONTH(需打标签!I201)*28,"mmm")</f>
        <v>#VALUE!</v>
      </c>
      <c r="I201" s="64" t="e">
        <f ca="1">YEAR(需打标签!I201)</f>
        <v>#VALUE!</v>
      </c>
    </row>
    <row r="202" spans="4:9" x14ac:dyDescent="0.25">
      <c r="D202" t="str">
        <f>IF(LEN(需打标签!B202),H202&amp;"/"&amp;G202&amp;"/"&amp;I202,"")</f>
        <v/>
      </c>
      <c r="G202" s="64" t="e">
        <f ca="1">DAY(需打标签!I202)</f>
        <v>#VALUE!</v>
      </c>
      <c r="H202" s="64" t="e">
        <f ca="1">TEXT(MONTH(需打标签!I202)*28,"mmm")</f>
        <v>#VALUE!</v>
      </c>
      <c r="I202" s="64" t="e">
        <f ca="1">YEAR(需打标签!I202)</f>
        <v>#VALUE!</v>
      </c>
    </row>
    <row r="203" spans="4:9" x14ac:dyDescent="0.25">
      <c r="D203" t="str">
        <f>IF(LEN(需打标签!B203),H203&amp;"/"&amp;G203&amp;"/"&amp;I203,"")</f>
        <v/>
      </c>
      <c r="G203" s="64" t="e">
        <f ca="1">DAY(需打标签!I203)</f>
        <v>#VALUE!</v>
      </c>
      <c r="H203" s="64" t="e">
        <f ca="1">TEXT(MONTH(需打标签!I203)*28,"mmm")</f>
        <v>#VALUE!</v>
      </c>
      <c r="I203" s="64" t="e">
        <f ca="1">YEAR(需打标签!I203)</f>
        <v>#VALUE!</v>
      </c>
    </row>
    <row r="204" spans="4:9" x14ac:dyDescent="0.25">
      <c r="D204" t="str">
        <f>IF(LEN(需打标签!B204),H204&amp;"/"&amp;G204&amp;"/"&amp;I204,"")</f>
        <v/>
      </c>
      <c r="G204" s="64" t="e">
        <f ca="1">DAY(需打标签!I204)</f>
        <v>#VALUE!</v>
      </c>
      <c r="H204" s="64" t="e">
        <f ca="1">TEXT(MONTH(需打标签!I204)*28,"mmm")</f>
        <v>#VALUE!</v>
      </c>
      <c r="I204" s="64" t="e">
        <f ca="1">YEAR(需打标签!I204)</f>
        <v>#VALUE!</v>
      </c>
    </row>
    <row r="205" spans="4:9" x14ac:dyDescent="0.25">
      <c r="D205" t="str">
        <f>IF(LEN(需打标签!B205),H205&amp;"/"&amp;G205&amp;"/"&amp;I205,"")</f>
        <v/>
      </c>
      <c r="G205" s="64" t="e">
        <f ca="1">DAY(需打标签!I205)</f>
        <v>#VALUE!</v>
      </c>
      <c r="H205" s="64" t="e">
        <f ca="1">TEXT(MONTH(需打标签!I205)*28,"mmm")</f>
        <v>#VALUE!</v>
      </c>
      <c r="I205" s="64" t="e">
        <f ca="1">YEAR(需打标签!I205)</f>
        <v>#VALUE!</v>
      </c>
    </row>
    <row r="206" spans="4:9" x14ac:dyDescent="0.25">
      <c r="D206" t="str">
        <f>IF(LEN(需打标签!B206),H206&amp;"/"&amp;G206&amp;"/"&amp;I206,"")</f>
        <v/>
      </c>
      <c r="G206" s="64" t="e">
        <f ca="1">DAY(需打标签!I206)</f>
        <v>#VALUE!</v>
      </c>
      <c r="H206" s="64" t="e">
        <f ca="1">TEXT(MONTH(需打标签!I206)*28,"mmm")</f>
        <v>#VALUE!</v>
      </c>
      <c r="I206" s="64" t="e">
        <f ca="1">YEAR(需打标签!I206)</f>
        <v>#VALUE!</v>
      </c>
    </row>
    <row r="207" spans="4:9" x14ac:dyDescent="0.25">
      <c r="D207" t="str">
        <f>IF(LEN(需打标签!B207),H207&amp;"/"&amp;G207&amp;"/"&amp;I207,"")</f>
        <v/>
      </c>
      <c r="G207" s="64" t="e">
        <f ca="1">DAY(需打标签!I207)</f>
        <v>#VALUE!</v>
      </c>
      <c r="H207" s="64" t="e">
        <f ca="1">TEXT(MONTH(需打标签!I207)*28,"mmm")</f>
        <v>#VALUE!</v>
      </c>
      <c r="I207" s="64" t="e">
        <f ca="1">YEAR(需打标签!I207)</f>
        <v>#VALUE!</v>
      </c>
    </row>
    <row r="208" spans="4:9" x14ac:dyDescent="0.25">
      <c r="D208" t="str">
        <f>IF(LEN(需打标签!B208),H208&amp;"/"&amp;G208&amp;"/"&amp;I208,"")</f>
        <v/>
      </c>
      <c r="G208" s="64" t="e">
        <f ca="1">DAY(需打标签!I208)</f>
        <v>#VALUE!</v>
      </c>
      <c r="H208" s="64" t="e">
        <f ca="1">TEXT(MONTH(需打标签!I208)*28,"mmm")</f>
        <v>#VALUE!</v>
      </c>
      <c r="I208" s="64" t="e">
        <f ca="1">YEAR(需打标签!I208)</f>
        <v>#VALUE!</v>
      </c>
    </row>
    <row r="209" spans="4:9" x14ac:dyDescent="0.25">
      <c r="D209" t="str">
        <f>IF(LEN(需打标签!B209),H209&amp;"/"&amp;G209&amp;"/"&amp;I209,"")</f>
        <v/>
      </c>
      <c r="G209" s="64" t="e">
        <f ca="1">DAY(需打标签!I209)</f>
        <v>#VALUE!</v>
      </c>
      <c r="H209" s="64" t="e">
        <f ca="1">TEXT(MONTH(需打标签!I209)*28,"mmm")</f>
        <v>#VALUE!</v>
      </c>
      <c r="I209" s="64" t="e">
        <f ca="1">YEAR(需打标签!I209)</f>
        <v>#VALUE!</v>
      </c>
    </row>
    <row r="210" spans="4:9" x14ac:dyDescent="0.25">
      <c r="D210" t="str">
        <f>IF(LEN(需打标签!B210),H210&amp;"/"&amp;G210&amp;"/"&amp;I210,"")</f>
        <v/>
      </c>
      <c r="G210" s="64" t="e">
        <f ca="1">DAY(需打标签!I210)</f>
        <v>#VALUE!</v>
      </c>
      <c r="H210" s="64" t="e">
        <f ca="1">TEXT(MONTH(需打标签!I210)*28,"mmm")</f>
        <v>#VALUE!</v>
      </c>
      <c r="I210" s="64" t="e">
        <f ca="1">YEAR(需打标签!I210)</f>
        <v>#VALUE!</v>
      </c>
    </row>
    <row r="211" spans="4:9" x14ac:dyDescent="0.25">
      <c r="D211" t="str">
        <f>IF(LEN(需打标签!B211),H211&amp;"/"&amp;G211&amp;"/"&amp;I211,"")</f>
        <v/>
      </c>
      <c r="G211" s="64" t="e">
        <f ca="1">DAY(需打标签!I211)</f>
        <v>#VALUE!</v>
      </c>
      <c r="H211" s="64" t="e">
        <f ca="1">TEXT(MONTH(需打标签!I211)*28,"mmm")</f>
        <v>#VALUE!</v>
      </c>
      <c r="I211" s="64" t="e">
        <f ca="1">YEAR(需打标签!I211)</f>
        <v>#VALUE!</v>
      </c>
    </row>
    <row r="212" spans="4:9" x14ac:dyDescent="0.25">
      <c r="D212" t="str">
        <f>IF(LEN(需打标签!B212),H212&amp;"/"&amp;G212&amp;"/"&amp;I212,"")</f>
        <v/>
      </c>
      <c r="G212" s="64" t="e">
        <f ca="1">DAY(需打标签!I212)</f>
        <v>#VALUE!</v>
      </c>
      <c r="H212" s="64" t="e">
        <f ca="1">TEXT(MONTH(需打标签!I212)*28,"mmm")</f>
        <v>#VALUE!</v>
      </c>
      <c r="I212" s="64" t="e">
        <f ca="1">YEAR(需打标签!I212)</f>
        <v>#VALUE!</v>
      </c>
    </row>
    <row r="213" spans="4:9" x14ac:dyDescent="0.25">
      <c r="D213" t="str">
        <f>IF(LEN(需打标签!B213),H213&amp;"/"&amp;G213&amp;"/"&amp;I213,"")</f>
        <v/>
      </c>
      <c r="G213" s="64" t="e">
        <f ca="1">DAY(需打标签!I213)</f>
        <v>#VALUE!</v>
      </c>
      <c r="H213" s="64" t="e">
        <f ca="1">TEXT(MONTH(需打标签!I213)*28,"mmm")</f>
        <v>#VALUE!</v>
      </c>
      <c r="I213" s="64" t="e">
        <f ca="1">YEAR(需打标签!I213)</f>
        <v>#VALUE!</v>
      </c>
    </row>
    <row r="214" spans="4:9" x14ac:dyDescent="0.25">
      <c r="D214" t="str">
        <f>IF(LEN(需打标签!B214),H214&amp;"/"&amp;G214&amp;"/"&amp;I214,"")</f>
        <v/>
      </c>
      <c r="G214" s="64" t="e">
        <f ca="1">DAY(需打标签!I214)</f>
        <v>#VALUE!</v>
      </c>
      <c r="H214" s="64" t="e">
        <f ca="1">TEXT(MONTH(需打标签!I214)*28,"mmm")</f>
        <v>#VALUE!</v>
      </c>
      <c r="I214" s="64" t="e">
        <f ca="1">YEAR(需打标签!I214)</f>
        <v>#VALUE!</v>
      </c>
    </row>
    <row r="215" spans="4:9" x14ac:dyDescent="0.25">
      <c r="D215" t="str">
        <f>IF(LEN(需打标签!B215),H215&amp;"/"&amp;G215&amp;"/"&amp;I215,"")</f>
        <v/>
      </c>
      <c r="G215" s="64" t="e">
        <f ca="1">DAY(需打标签!I215)</f>
        <v>#VALUE!</v>
      </c>
      <c r="H215" s="64" t="e">
        <f ca="1">TEXT(MONTH(需打标签!I215)*28,"mmm")</f>
        <v>#VALUE!</v>
      </c>
      <c r="I215" s="64" t="e">
        <f ca="1">YEAR(需打标签!I215)</f>
        <v>#VALUE!</v>
      </c>
    </row>
    <row r="216" spans="4:9" x14ac:dyDescent="0.25">
      <c r="D216" t="str">
        <f>IF(LEN(需打标签!B216),H216&amp;"/"&amp;G216&amp;"/"&amp;I216,"")</f>
        <v/>
      </c>
      <c r="G216" s="64" t="e">
        <f ca="1">DAY(需打标签!I216)</f>
        <v>#VALUE!</v>
      </c>
      <c r="H216" s="64" t="e">
        <f ca="1">TEXT(MONTH(需打标签!I216)*28,"mmm")</f>
        <v>#VALUE!</v>
      </c>
      <c r="I216" s="64" t="e">
        <f ca="1">YEAR(需打标签!I216)</f>
        <v>#VALUE!</v>
      </c>
    </row>
    <row r="217" spans="4:9" x14ac:dyDescent="0.25">
      <c r="D217" t="str">
        <f>IF(LEN(需打标签!B217),H217&amp;"/"&amp;G217&amp;"/"&amp;I217,"")</f>
        <v/>
      </c>
      <c r="G217" s="64" t="e">
        <f ca="1">DAY(需打标签!I217)</f>
        <v>#VALUE!</v>
      </c>
      <c r="H217" s="64" t="e">
        <f ca="1">TEXT(MONTH(需打标签!I217)*28,"mmm")</f>
        <v>#VALUE!</v>
      </c>
      <c r="I217" s="64" t="e">
        <f ca="1">YEAR(需打标签!I217)</f>
        <v>#VALUE!</v>
      </c>
    </row>
    <row r="218" spans="4:9" x14ac:dyDescent="0.25">
      <c r="D218" t="str">
        <f>IF(LEN(需打标签!B218),H218&amp;"/"&amp;G218&amp;"/"&amp;I218,"")</f>
        <v/>
      </c>
      <c r="G218" s="64" t="e">
        <f ca="1">DAY(需打标签!I218)</f>
        <v>#VALUE!</v>
      </c>
      <c r="H218" s="64" t="e">
        <f ca="1">TEXT(MONTH(需打标签!I218)*28,"mmm")</f>
        <v>#VALUE!</v>
      </c>
      <c r="I218" s="64" t="e">
        <f ca="1">YEAR(需打标签!I218)</f>
        <v>#VALUE!</v>
      </c>
    </row>
    <row r="219" spans="4:9" x14ac:dyDescent="0.25">
      <c r="D219" t="str">
        <f>IF(LEN(需打标签!B219),H219&amp;"/"&amp;G219&amp;"/"&amp;I219,"")</f>
        <v/>
      </c>
      <c r="G219" s="64" t="e">
        <f ca="1">DAY(需打标签!I219)</f>
        <v>#VALUE!</v>
      </c>
      <c r="H219" s="64" t="e">
        <f ca="1">TEXT(MONTH(需打标签!I219)*28,"mmm")</f>
        <v>#VALUE!</v>
      </c>
      <c r="I219" s="64" t="e">
        <f ca="1">YEAR(需打标签!I219)</f>
        <v>#VALUE!</v>
      </c>
    </row>
    <row r="220" spans="4:9" x14ac:dyDescent="0.25">
      <c r="D220" t="str">
        <f>IF(LEN(需打标签!B220),H220&amp;"/"&amp;G220&amp;"/"&amp;I220,"")</f>
        <v/>
      </c>
      <c r="G220" s="64" t="e">
        <f ca="1">DAY(需打标签!I220)</f>
        <v>#VALUE!</v>
      </c>
      <c r="H220" s="64" t="e">
        <f ca="1">TEXT(MONTH(需打标签!I220)*28,"mmm")</f>
        <v>#VALUE!</v>
      </c>
      <c r="I220" s="64" t="e">
        <f ca="1">YEAR(需打标签!I220)</f>
        <v>#VALUE!</v>
      </c>
    </row>
    <row r="221" spans="4:9" x14ac:dyDescent="0.25">
      <c r="D221" t="str">
        <f>IF(LEN(需打标签!B221),H221&amp;"/"&amp;G221&amp;"/"&amp;I221,"")</f>
        <v/>
      </c>
      <c r="G221" s="64" t="e">
        <f ca="1">DAY(需打标签!I221)</f>
        <v>#VALUE!</v>
      </c>
      <c r="H221" s="64" t="e">
        <f ca="1">TEXT(MONTH(需打标签!I221)*28,"mmm")</f>
        <v>#VALUE!</v>
      </c>
      <c r="I221" s="64" t="e">
        <f ca="1">YEAR(需打标签!I221)</f>
        <v>#VALUE!</v>
      </c>
    </row>
    <row r="222" spans="4:9" x14ac:dyDescent="0.25">
      <c r="D222" t="str">
        <f>IF(LEN(需打标签!B222),H222&amp;"/"&amp;G222&amp;"/"&amp;I222,"")</f>
        <v/>
      </c>
      <c r="G222" s="64" t="e">
        <f ca="1">DAY(需打标签!I222)</f>
        <v>#VALUE!</v>
      </c>
      <c r="H222" s="64" t="e">
        <f ca="1">TEXT(MONTH(需打标签!I222)*28,"mmm")</f>
        <v>#VALUE!</v>
      </c>
      <c r="I222" s="64" t="e">
        <f ca="1">YEAR(需打标签!I222)</f>
        <v>#VALUE!</v>
      </c>
    </row>
    <row r="223" spans="4:9" x14ac:dyDescent="0.25">
      <c r="D223" t="str">
        <f>IF(LEN(需打标签!B223),H223&amp;"/"&amp;G223&amp;"/"&amp;I223,"")</f>
        <v/>
      </c>
      <c r="G223" s="64" t="e">
        <f ca="1">DAY(需打标签!I223)</f>
        <v>#VALUE!</v>
      </c>
      <c r="H223" s="64" t="e">
        <f ca="1">TEXT(MONTH(需打标签!I223)*28,"mmm")</f>
        <v>#VALUE!</v>
      </c>
      <c r="I223" s="64" t="e">
        <f ca="1">YEAR(需打标签!I223)</f>
        <v>#VALUE!</v>
      </c>
    </row>
    <row r="224" spans="4:9" x14ac:dyDescent="0.25">
      <c r="D224" t="str">
        <f>IF(LEN(需打标签!B224),H224&amp;"/"&amp;G224&amp;"/"&amp;I224,"")</f>
        <v/>
      </c>
      <c r="G224" s="64" t="e">
        <f ca="1">DAY(需打标签!I224)</f>
        <v>#VALUE!</v>
      </c>
      <c r="H224" s="64" t="e">
        <f ca="1">TEXT(MONTH(需打标签!I224)*28,"mmm")</f>
        <v>#VALUE!</v>
      </c>
      <c r="I224" s="64" t="e">
        <f ca="1">YEAR(需打标签!I224)</f>
        <v>#VALUE!</v>
      </c>
    </row>
    <row r="225" spans="4:9" x14ac:dyDescent="0.25">
      <c r="D225" t="str">
        <f>IF(LEN(需打标签!B225),H225&amp;"/"&amp;G225&amp;"/"&amp;I225,"")</f>
        <v/>
      </c>
      <c r="G225" s="64" t="e">
        <f ca="1">DAY(需打标签!I225)</f>
        <v>#VALUE!</v>
      </c>
      <c r="H225" s="64" t="e">
        <f ca="1">TEXT(MONTH(需打标签!I225)*28,"mmm")</f>
        <v>#VALUE!</v>
      </c>
      <c r="I225" s="64" t="e">
        <f ca="1">YEAR(需打标签!I225)</f>
        <v>#VALUE!</v>
      </c>
    </row>
    <row r="226" spans="4:9" x14ac:dyDescent="0.25">
      <c r="D226" t="str">
        <f>IF(LEN(需打标签!B226),H226&amp;"/"&amp;G226&amp;"/"&amp;I226,"")</f>
        <v/>
      </c>
      <c r="G226" s="64" t="e">
        <f ca="1">DAY(需打标签!I226)</f>
        <v>#VALUE!</v>
      </c>
      <c r="H226" s="64" t="e">
        <f ca="1">TEXT(MONTH(需打标签!I226)*28,"mmm")</f>
        <v>#VALUE!</v>
      </c>
      <c r="I226" s="64" t="e">
        <f ca="1">YEAR(需打标签!I226)</f>
        <v>#VALUE!</v>
      </c>
    </row>
    <row r="227" spans="4:9" x14ac:dyDescent="0.25">
      <c r="D227" t="str">
        <f>IF(LEN(需打标签!B227),H227&amp;"/"&amp;G227&amp;"/"&amp;I227,"")</f>
        <v/>
      </c>
      <c r="G227" s="64" t="e">
        <f ca="1">DAY(需打标签!I227)</f>
        <v>#VALUE!</v>
      </c>
      <c r="H227" s="64" t="e">
        <f ca="1">TEXT(MONTH(需打标签!I227)*28,"mmm")</f>
        <v>#VALUE!</v>
      </c>
      <c r="I227" s="64" t="e">
        <f ca="1">YEAR(需打标签!I227)</f>
        <v>#VALUE!</v>
      </c>
    </row>
    <row r="228" spans="4:9" x14ac:dyDescent="0.25">
      <c r="D228" t="str">
        <f>IF(LEN(需打标签!B228),H228&amp;"/"&amp;G228&amp;"/"&amp;I228,"")</f>
        <v/>
      </c>
      <c r="G228" s="64" t="e">
        <f ca="1">DAY(需打标签!I228)</f>
        <v>#VALUE!</v>
      </c>
      <c r="H228" s="64" t="e">
        <f ca="1">TEXT(MONTH(需打标签!I228)*28,"mmm")</f>
        <v>#VALUE!</v>
      </c>
      <c r="I228" s="64" t="e">
        <f ca="1">YEAR(需打标签!I228)</f>
        <v>#VALUE!</v>
      </c>
    </row>
    <row r="229" spans="4:9" x14ac:dyDescent="0.25">
      <c r="D229" t="str">
        <f>IF(LEN(需打标签!B229),H229&amp;"/"&amp;G229&amp;"/"&amp;I229,"")</f>
        <v/>
      </c>
      <c r="G229" s="64" t="e">
        <f ca="1">DAY(需打标签!I229)</f>
        <v>#VALUE!</v>
      </c>
      <c r="H229" s="64" t="e">
        <f ca="1">TEXT(MONTH(需打标签!I229)*28,"mmm")</f>
        <v>#VALUE!</v>
      </c>
      <c r="I229" s="64" t="e">
        <f ca="1">YEAR(需打标签!I229)</f>
        <v>#VALUE!</v>
      </c>
    </row>
    <row r="230" spans="4:9" x14ac:dyDescent="0.25">
      <c r="D230" t="str">
        <f>IF(LEN(需打标签!B230),H230&amp;"/"&amp;G230&amp;"/"&amp;I230,"")</f>
        <v/>
      </c>
      <c r="G230" s="64" t="e">
        <f ca="1">DAY(需打标签!I230)</f>
        <v>#VALUE!</v>
      </c>
      <c r="H230" s="64" t="e">
        <f ca="1">TEXT(MONTH(需打标签!I230)*28,"mmm")</f>
        <v>#VALUE!</v>
      </c>
      <c r="I230" s="64" t="e">
        <f ca="1">YEAR(需打标签!I230)</f>
        <v>#VALUE!</v>
      </c>
    </row>
    <row r="231" spans="4:9" x14ac:dyDescent="0.25">
      <c r="D231" t="str">
        <f>IF(LEN(需打标签!B231),H231&amp;"/"&amp;G231&amp;"/"&amp;I231,"")</f>
        <v/>
      </c>
      <c r="G231" s="64" t="e">
        <f ca="1">DAY(需打标签!I231)</f>
        <v>#VALUE!</v>
      </c>
      <c r="H231" s="64" t="e">
        <f ca="1">TEXT(MONTH(需打标签!I231)*28,"mmm")</f>
        <v>#VALUE!</v>
      </c>
      <c r="I231" s="64" t="e">
        <f ca="1">YEAR(需打标签!I231)</f>
        <v>#VALUE!</v>
      </c>
    </row>
    <row r="232" spans="4:9" x14ac:dyDescent="0.25">
      <c r="D232" t="str">
        <f>IF(LEN(需打标签!B232),H232&amp;"/"&amp;G232&amp;"/"&amp;I232,"")</f>
        <v/>
      </c>
      <c r="G232" s="64" t="e">
        <f ca="1">DAY(需打标签!I232)</f>
        <v>#VALUE!</v>
      </c>
      <c r="H232" s="64" t="e">
        <f ca="1">TEXT(MONTH(需打标签!I232)*28,"mmm")</f>
        <v>#VALUE!</v>
      </c>
      <c r="I232" s="64" t="e">
        <f ca="1">YEAR(需打标签!I232)</f>
        <v>#VALUE!</v>
      </c>
    </row>
    <row r="233" spans="4:9" x14ac:dyDescent="0.25">
      <c r="D233" t="str">
        <f>IF(LEN(需打标签!B233),H233&amp;"/"&amp;G233&amp;"/"&amp;I233,"")</f>
        <v/>
      </c>
      <c r="G233" s="64" t="e">
        <f ca="1">DAY(需打标签!I233)</f>
        <v>#VALUE!</v>
      </c>
      <c r="H233" s="64" t="e">
        <f ca="1">TEXT(MONTH(需打标签!I233)*28,"mmm")</f>
        <v>#VALUE!</v>
      </c>
      <c r="I233" s="64" t="e">
        <f ca="1">YEAR(需打标签!I233)</f>
        <v>#VALUE!</v>
      </c>
    </row>
    <row r="234" spans="4:9" x14ac:dyDescent="0.25">
      <c r="D234" t="str">
        <f>IF(LEN(需打标签!B234),H234&amp;"/"&amp;G234&amp;"/"&amp;I234,"")</f>
        <v/>
      </c>
      <c r="G234" s="64" t="e">
        <f ca="1">DAY(需打标签!I234)</f>
        <v>#VALUE!</v>
      </c>
      <c r="H234" s="64" t="e">
        <f ca="1">TEXT(MONTH(需打标签!I234)*28,"mmm")</f>
        <v>#VALUE!</v>
      </c>
      <c r="I234" s="64" t="e">
        <f ca="1">YEAR(需打标签!I234)</f>
        <v>#VALUE!</v>
      </c>
    </row>
    <row r="235" spans="4:9" x14ac:dyDescent="0.25">
      <c r="D235" t="str">
        <f>IF(LEN(需打标签!B235),H235&amp;"/"&amp;G235&amp;"/"&amp;I235,"")</f>
        <v/>
      </c>
      <c r="G235" s="64" t="e">
        <f ca="1">DAY(需打标签!I235)</f>
        <v>#VALUE!</v>
      </c>
      <c r="H235" s="64" t="e">
        <f ca="1">TEXT(MONTH(需打标签!I235)*28,"mmm")</f>
        <v>#VALUE!</v>
      </c>
      <c r="I235" s="64" t="e">
        <f ca="1">YEAR(需打标签!I235)</f>
        <v>#VALUE!</v>
      </c>
    </row>
    <row r="236" spans="4:9" x14ac:dyDescent="0.25">
      <c r="D236" t="str">
        <f>IF(LEN(需打标签!B236),H236&amp;"/"&amp;G236&amp;"/"&amp;I236,"")</f>
        <v/>
      </c>
      <c r="G236" s="64" t="e">
        <f ca="1">DAY(需打标签!I236)</f>
        <v>#VALUE!</v>
      </c>
      <c r="H236" s="64" t="e">
        <f ca="1">TEXT(MONTH(需打标签!I236)*28,"mmm")</f>
        <v>#VALUE!</v>
      </c>
      <c r="I236" s="64" t="e">
        <f ca="1">YEAR(需打标签!I236)</f>
        <v>#VALUE!</v>
      </c>
    </row>
    <row r="237" spans="4:9" x14ac:dyDescent="0.25">
      <c r="D237" t="str">
        <f>IF(LEN(需打标签!B237),H237&amp;"/"&amp;G237&amp;"/"&amp;I237,"")</f>
        <v/>
      </c>
      <c r="G237" s="64" t="e">
        <f ca="1">DAY(需打标签!I237)</f>
        <v>#VALUE!</v>
      </c>
      <c r="H237" s="64" t="e">
        <f ca="1">TEXT(MONTH(需打标签!I237)*28,"mmm")</f>
        <v>#VALUE!</v>
      </c>
      <c r="I237" s="64" t="e">
        <f ca="1">YEAR(需打标签!I237)</f>
        <v>#VALUE!</v>
      </c>
    </row>
    <row r="238" spans="4:9" x14ac:dyDescent="0.25">
      <c r="D238" t="str">
        <f>IF(LEN(需打标签!B238),H238&amp;"/"&amp;G238&amp;"/"&amp;I238,"")</f>
        <v/>
      </c>
      <c r="G238" s="64" t="e">
        <f ca="1">DAY(需打标签!I238)</f>
        <v>#VALUE!</v>
      </c>
      <c r="H238" s="64" t="e">
        <f ca="1">TEXT(MONTH(需打标签!I238)*28,"mmm")</f>
        <v>#VALUE!</v>
      </c>
      <c r="I238" s="64" t="e">
        <f ca="1">YEAR(需打标签!I238)</f>
        <v>#VALUE!</v>
      </c>
    </row>
    <row r="239" spans="4:9" x14ac:dyDescent="0.25">
      <c r="D239" t="str">
        <f>IF(LEN(需打标签!B239),H239&amp;"/"&amp;G239&amp;"/"&amp;I239,"")</f>
        <v/>
      </c>
      <c r="G239" s="64" t="e">
        <f ca="1">DAY(需打标签!I239)</f>
        <v>#VALUE!</v>
      </c>
      <c r="H239" s="64" t="e">
        <f ca="1">TEXT(MONTH(需打标签!I239)*28,"mmm")</f>
        <v>#VALUE!</v>
      </c>
      <c r="I239" s="64" t="e">
        <f ca="1">YEAR(需打标签!I239)</f>
        <v>#VALUE!</v>
      </c>
    </row>
    <row r="240" spans="4:9" x14ac:dyDescent="0.25">
      <c r="D240" t="str">
        <f>IF(LEN(需打标签!B240),H240&amp;"/"&amp;G240&amp;"/"&amp;I240,"")</f>
        <v/>
      </c>
      <c r="G240" s="64" t="e">
        <f ca="1">DAY(需打标签!I240)</f>
        <v>#VALUE!</v>
      </c>
      <c r="H240" s="64" t="e">
        <f ca="1">TEXT(MONTH(需打标签!I240)*28,"mmm")</f>
        <v>#VALUE!</v>
      </c>
      <c r="I240" s="64" t="e">
        <f ca="1">YEAR(需打标签!I240)</f>
        <v>#VALUE!</v>
      </c>
    </row>
    <row r="241" spans="4:9" x14ac:dyDescent="0.25">
      <c r="D241" t="str">
        <f>IF(LEN(需打标签!B241),H241&amp;"/"&amp;G241&amp;"/"&amp;I241,"")</f>
        <v/>
      </c>
      <c r="G241" s="64" t="e">
        <f ca="1">DAY(需打标签!I241)</f>
        <v>#VALUE!</v>
      </c>
      <c r="H241" s="64" t="e">
        <f ca="1">TEXT(MONTH(需打标签!I241)*28,"mmm")</f>
        <v>#VALUE!</v>
      </c>
      <c r="I241" s="64" t="e">
        <f ca="1">YEAR(需打标签!I241)</f>
        <v>#VALUE!</v>
      </c>
    </row>
    <row r="242" spans="4:9" x14ac:dyDescent="0.25">
      <c r="D242" t="str">
        <f>IF(LEN(需打标签!B242),H242&amp;"/"&amp;G242&amp;"/"&amp;I242,"")</f>
        <v/>
      </c>
      <c r="G242" s="64" t="e">
        <f ca="1">DAY(需打标签!I242)</f>
        <v>#VALUE!</v>
      </c>
      <c r="H242" s="64" t="e">
        <f ca="1">TEXT(MONTH(需打标签!I242)*28,"mmm")</f>
        <v>#VALUE!</v>
      </c>
      <c r="I242" s="64" t="e">
        <f ca="1">YEAR(需打标签!I242)</f>
        <v>#VALUE!</v>
      </c>
    </row>
    <row r="243" spans="4:9" x14ac:dyDescent="0.25">
      <c r="D243" t="str">
        <f>IF(LEN(需打标签!B243),H243&amp;"/"&amp;G243&amp;"/"&amp;I243,"")</f>
        <v/>
      </c>
      <c r="G243" s="64" t="e">
        <f ca="1">DAY(需打标签!I243)</f>
        <v>#VALUE!</v>
      </c>
      <c r="H243" s="64" t="e">
        <f ca="1">TEXT(MONTH(需打标签!I243)*28,"mmm")</f>
        <v>#VALUE!</v>
      </c>
      <c r="I243" s="64" t="e">
        <f ca="1">YEAR(需打标签!I243)</f>
        <v>#VALUE!</v>
      </c>
    </row>
    <row r="244" spans="4:9" x14ac:dyDescent="0.25">
      <c r="D244" t="str">
        <f>IF(LEN(需打标签!B244),H244&amp;"/"&amp;G244&amp;"/"&amp;I244,"")</f>
        <v/>
      </c>
      <c r="G244" s="64" t="e">
        <f ca="1">DAY(需打标签!I244)</f>
        <v>#VALUE!</v>
      </c>
      <c r="H244" s="64" t="e">
        <f ca="1">TEXT(MONTH(需打标签!I244)*28,"mmm")</f>
        <v>#VALUE!</v>
      </c>
      <c r="I244" s="64" t="e">
        <f ca="1">YEAR(需打标签!I244)</f>
        <v>#VALUE!</v>
      </c>
    </row>
    <row r="245" spans="4:9" x14ac:dyDescent="0.25">
      <c r="D245" t="str">
        <f>IF(LEN(需打标签!B245),H245&amp;"/"&amp;G245&amp;"/"&amp;I245,"")</f>
        <v/>
      </c>
      <c r="G245" s="64" t="e">
        <f ca="1">DAY(需打标签!I245)</f>
        <v>#VALUE!</v>
      </c>
      <c r="H245" s="64" t="e">
        <f ca="1">TEXT(MONTH(需打标签!I245)*28,"mmm")</f>
        <v>#VALUE!</v>
      </c>
      <c r="I245" s="64" t="e">
        <f ca="1">YEAR(需打标签!I245)</f>
        <v>#VALUE!</v>
      </c>
    </row>
    <row r="246" spans="4:9" x14ac:dyDescent="0.25">
      <c r="D246" t="str">
        <f>IF(LEN(需打标签!B246),H246&amp;"/"&amp;G246&amp;"/"&amp;I246,"")</f>
        <v/>
      </c>
      <c r="G246" s="64" t="e">
        <f ca="1">DAY(需打标签!I246)</f>
        <v>#VALUE!</v>
      </c>
      <c r="H246" s="64" t="e">
        <f ca="1">TEXT(MONTH(需打标签!I246)*28,"mmm")</f>
        <v>#VALUE!</v>
      </c>
      <c r="I246" s="64" t="e">
        <f ca="1">YEAR(需打标签!I246)</f>
        <v>#VALUE!</v>
      </c>
    </row>
    <row r="247" spans="4:9" x14ac:dyDescent="0.25">
      <c r="D247" t="str">
        <f>IF(LEN(需打标签!B247),H247&amp;"/"&amp;G247&amp;"/"&amp;I247,"")</f>
        <v/>
      </c>
      <c r="G247" s="64" t="e">
        <f ca="1">DAY(需打标签!I247)</f>
        <v>#VALUE!</v>
      </c>
      <c r="H247" s="64" t="e">
        <f ca="1">TEXT(MONTH(需打标签!I247)*28,"mmm")</f>
        <v>#VALUE!</v>
      </c>
      <c r="I247" s="64" t="e">
        <f ca="1">YEAR(需打标签!I247)</f>
        <v>#VALUE!</v>
      </c>
    </row>
    <row r="248" spans="4:9" x14ac:dyDescent="0.25">
      <c r="D248" t="str">
        <f>IF(LEN(需打标签!B248),H248&amp;"/"&amp;G248&amp;"/"&amp;I248,"")</f>
        <v/>
      </c>
      <c r="G248" s="64" t="e">
        <f ca="1">DAY(需打标签!I248)</f>
        <v>#VALUE!</v>
      </c>
      <c r="H248" s="64" t="e">
        <f ca="1">TEXT(MONTH(需打标签!I248)*28,"mmm")</f>
        <v>#VALUE!</v>
      </c>
      <c r="I248" s="64" t="e">
        <f ca="1">YEAR(需打标签!I248)</f>
        <v>#VALUE!</v>
      </c>
    </row>
    <row r="249" spans="4:9" x14ac:dyDescent="0.25">
      <c r="D249" t="str">
        <f>IF(LEN(需打标签!B249),H249&amp;"/"&amp;G249&amp;"/"&amp;I249,"")</f>
        <v/>
      </c>
      <c r="G249" s="64" t="e">
        <f ca="1">DAY(需打标签!I249)</f>
        <v>#VALUE!</v>
      </c>
      <c r="H249" s="64" t="e">
        <f ca="1">TEXT(MONTH(需打标签!I249)*28,"mmm")</f>
        <v>#VALUE!</v>
      </c>
      <c r="I249" s="64" t="e">
        <f ca="1">YEAR(需打标签!I249)</f>
        <v>#VALUE!</v>
      </c>
    </row>
    <row r="250" spans="4:9" x14ac:dyDescent="0.25">
      <c r="D250" t="str">
        <f>IF(LEN(需打标签!B250),H250&amp;"/"&amp;G250&amp;"/"&amp;I250,"")</f>
        <v/>
      </c>
      <c r="G250" s="64" t="e">
        <f ca="1">DAY(需打标签!I250)</f>
        <v>#VALUE!</v>
      </c>
      <c r="H250" s="64" t="e">
        <f ca="1">TEXT(MONTH(需打标签!I250)*28,"mmm")</f>
        <v>#VALUE!</v>
      </c>
      <c r="I250" s="64" t="e">
        <f ca="1">YEAR(需打标签!I250)</f>
        <v>#VALUE!</v>
      </c>
    </row>
  </sheetData>
  <phoneticPr fontId="5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new info</vt:lpstr>
      <vt:lpstr>form</vt:lpstr>
      <vt:lpstr>标签details</vt:lpstr>
      <vt:lpstr>需打标签</vt:lpstr>
      <vt:lpstr>挂钩标签</vt:lpstr>
      <vt:lpstr>样布标签</vt:lpstr>
      <vt:lpstr>船样标签</vt:lpstr>
      <vt:lpstr>报价标签</vt:lpstr>
      <vt:lpstr>意大利库存标签</vt:lpstr>
      <vt:lpstr>如需更改标签内容，复制数值到此表单A列更改</vt:lpstr>
      <vt:lpstr>texworld</vt:lpstr>
      <vt:lpstr>意大利库存款</vt:lpstr>
      <vt:lpstr>固定信息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Frostblue</cp:lastModifiedBy>
  <cp:lastPrinted>2017-07-11T08:57:30Z</cp:lastPrinted>
  <dcterms:created xsi:type="dcterms:W3CDTF">2006-09-16T00:00:00Z</dcterms:created>
  <dcterms:modified xsi:type="dcterms:W3CDTF">2017-07-26T10:56:18Z</dcterms:modified>
</cp:coreProperties>
</file>